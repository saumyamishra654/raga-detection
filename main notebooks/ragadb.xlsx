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ma" sheetId="1" r:id="rId4"/>
    <sheet state="visible" name="Database" sheetId="2" r:id="rId5"/>
    <sheet state="visible" name="Tonic vs Gender" sheetId="3" r:id="rId6"/>
    <sheet state="visible" name="median pitch" sheetId="4" r:id="rId7"/>
    <sheet state="visible" name="Sheet12" sheetId="5" r:id="rId8"/>
    <sheet state="hidden" name="Copy of Database" sheetId="6" r:id="rId9"/>
    <sheet state="visible" name="ArtistGender" sheetId="7" r:id="rId10"/>
    <sheet state="hidden" name="Bad Recordings" sheetId="8" r:id="rId11"/>
    <sheet state="hidden" name="Non-Mainstream" sheetId="9" r:id="rId12"/>
    <sheet state="visible" name="MainLists" sheetId="10" r:id="rId13"/>
    <sheet state="visible" name="RagaCount" sheetId="11" r:id="rId14"/>
    <sheet state="visible" name="InstrumentCount" sheetId="12" r:id="rId15"/>
    <sheet state="visible" name="ArtistCount" sheetId="13" r:id="rId16"/>
    <sheet state="visible" name="Chart1 Frequency of Each Tonic " sheetId="14" r:id="rId17"/>
    <sheet state="visible" name="Chart1 Distribution of Median P" sheetId="15" r:id="rId18"/>
    <sheet state="visible" name="Sheet13" sheetId="16" r:id="rId19"/>
  </sheets>
  <definedNames>
    <definedName name="ArtistNames">MainLists!$A$2:$A$982</definedName>
    <definedName name="InstrumentNames">MainLists!$B$2:$B$982</definedName>
    <definedName name="RagaNames">MainLists!$C$2:$C$982</definedName>
    <definedName name="TonicNames">MainLists!$D$2:$D$13</definedName>
    <definedName hidden="1" localSheetId="1" name="_xlnm._FilterDatabase">Database!$A$1:$L$1096</definedName>
    <definedName hidden="1" localSheetId="5" name="_xlnm._FilterDatabase">'Copy of Database'!$A$1:$L$1099</definedName>
  </definedNames>
  <calcPr/>
</workbook>
</file>

<file path=xl/sharedStrings.xml><?xml version="1.0" encoding="utf-8"?>
<sst xmlns="http://schemas.openxmlformats.org/spreadsheetml/2006/main" count="13277" uniqueCount="2446">
  <si>
    <t>Column Name</t>
  </si>
  <si>
    <t>Description</t>
  </si>
  <si>
    <t>Raga</t>
  </si>
  <si>
    <t>Canonical name of the raga</t>
  </si>
  <si>
    <t>Name</t>
  </si>
  <si>
    <t>Name of video/Title of songs + link</t>
  </si>
  <si>
    <t>Instrument</t>
  </si>
  <si>
    <t>Main instrument (vocal being one)</t>
  </si>
  <si>
    <t>Artist name</t>
  </si>
  <si>
    <t>Artist full name</t>
  </si>
  <si>
    <t>Channel</t>
  </si>
  <si>
    <t>Name of channel on Youtube (TBD for other sources)</t>
  </si>
  <si>
    <t>Start time</t>
  </si>
  <si>
    <t>Start time of period of interest for analysis</t>
  </si>
  <si>
    <t>End time</t>
  </si>
  <si>
    <t>End time of period of interest for analysis</t>
  </si>
  <si>
    <t>Tonic</t>
  </si>
  <si>
    <t>File_name</t>
  </si>
  <si>
    <t>Link</t>
  </si>
  <si>
    <t>Artist</t>
  </si>
  <si>
    <t>Gender</t>
  </si>
  <si>
    <t>Bandish</t>
  </si>
  <si>
    <t>Notes</t>
  </si>
  <si>
    <t>Abhogi</t>
  </si>
  <si>
    <t>C#</t>
  </si>
  <si>
    <t>Vocal</t>
  </si>
  <si>
    <t>Bhimsen Joshi</t>
  </si>
  <si>
    <t>CompMusic DB</t>
  </si>
  <si>
    <t>E</t>
  </si>
  <si>
    <t>A</t>
  </si>
  <si>
    <t>Sanjeev Abhyankar</t>
  </si>
  <si>
    <t>Jagdish Prasad</t>
  </si>
  <si>
    <t>D</t>
  </si>
  <si>
    <t>Anol Chatterjee</t>
  </si>
  <si>
    <t>Rashid Khan</t>
  </si>
  <si>
    <t>Salamat Ali Khan</t>
  </si>
  <si>
    <t>C</t>
  </si>
  <si>
    <t>Ajoy Chakraborti</t>
  </si>
  <si>
    <t>A#</t>
  </si>
  <si>
    <t>Girija Devi</t>
  </si>
  <si>
    <t>Adana</t>
  </si>
  <si>
    <t>Raag Adana | Pt. Ajoy Chakraborty | Hindustani Classical Vocal | Part 5/7</t>
  </si>
  <si>
    <t>Komal Nishad</t>
  </si>
  <si>
    <t>D#</t>
  </si>
  <si>
    <t>https://youtu.be/HyrXaj896jA?si=_z_Hbbdns67FtXyv</t>
  </si>
  <si>
    <t>Umrao Khan</t>
  </si>
  <si>
    <t>The Dream Journey</t>
  </si>
  <si>
    <t>https://youtu.be/yQfyusksjt4?si=oksGRG3MlcBQgqYN</t>
  </si>
  <si>
    <t>Jayateerth Mevundi</t>
  </si>
  <si>
    <t>https://youtu.be/59fzA3Ipn-E?si=5onUBzyHCrs1EwOP</t>
  </si>
  <si>
    <t>Uday Bhawalkar</t>
  </si>
  <si>
    <t>https://youtu.be/Oi_6zNupJvk?si=GLKimNqBgC6NqVaa</t>
  </si>
  <si>
    <t>Venkatesh Kumar</t>
  </si>
  <si>
    <t>https://youtu.be/Hnw3BF08xSk?si=WKfZ_CIvRkC29Ij1</t>
  </si>
  <si>
    <t>Ustad Salamat Ali &amp; Ustad Nazakat Ali</t>
  </si>
  <si>
    <t>https://youtu.be/1dTwD7dDzL4?si=4OA4jayRi8GqH7kp</t>
  </si>
  <si>
    <t>Pt. Jasraj</t>
  </si>
  <si>
    <t>https://youtu.be/7AYHKNG_qBo?si=BckiNEhrb8k-hRb3</t>
  </si>
  <si>
    <t>F</t>
  </si>
  <si>
    <t>https://youtu.be/RmBivLu-8HQ?si=odS481-bF8FvzzWI</t>
  </si>
  <si>
    <t>Aniruddh Aithal</t>
  </si>
  <si>
    <t>Recording is not great</t>
  </si>
  <si>
    <t>B</t>
  </si>
  <si>
    <t>https://www.youtube.com/watch?v=B4w6ZlhWVIs</t>
  </si>
  <si>
    <t>Veena Sahasrabuddhe</t>
  </si>
  <si>
    <t>Ahir Bhairav</t>
  </si>
  <si>
    <t>Kaivalyakumar</t>
  </si>
  <si>
    <t>F#</t>
  </si>
  <si>
    <t>Kumar Gandharv</t>
  </si>
  <si>
    <t>Amir Khan</t>
  </si>
  <si>
    <t>Omkar Dadarkar</t>
  </si>
  <si>
    <t>Hirabai Barodekar</t>
  </si>
  <si>
    <t>Alhaiya Bilawal</t>
  </si>
  <si>
    <t>Dattatreya L Velankar</t>
  </si>
  <si>
    <t>Basavraj Rajaguru</t>
  </si>
  <si>
    <t>Kishori Amonkar</t>
  </si>
  <si>
    <t>Abdul Rashid Khan</t>
  </si>
  <si>
    <t>Aslam Khan</t>
  </si>
  <si>
    <t>Asavari (komal re)</t>
  </si>
  <si>
    <t>https://youtu.be/QxuDG00m3-Y?si=0_Zgoy1s3GWoH2Ka</t>
  </si>
  <si>
    <t>First Edition Arts</t>
  </si>
  <si>
    <t>https://youtu.be/4lHpL82SM3g?si=jLhiatiJWRHKXrSi</t>
  </si>
  <si>
    <t>https://youtu.be/juftd3yg_wY?si=LrX1g7ur3pZOeox3</t>
  </si>
  <si>
    <t>Ulhas Kashalkar</t>
  </si>
  <si>
    <t>https://youtu.be/s7WRnU0Fi0U?si=IC5cSqLJ9MFvF3zf</t>
  </si>
  <si>
    <t>Moinuddin and Nasir Aminuddin Dagar</t>
  </si>
  <si>
    <t>Some note between D# and E but not either of them</t>
  </si>
  <si>
    <t>https://youtu.be/Z-SUL_6JiKs?si=EGl5zWM__bU5C9Kn</t>
  </si>
  <si>
    <t>https://youtu.be/lahaD7-B8DQ?si=-jxgx294FjSrNzjE</t>
  </si>
  <si>
    <t>G</t>
  </si>
  <si>
    <t>https://youtu.be/Hl6OLEfrY98?si=Tv-rPhxDpLiTxtJ</t>
  </si>
  <si>
    <t>Sarangi</t>
  </si>
  <si>
    <t>Dhruba Ghosh</t>
  </si>
  <si>
    <t>https://youtu.be/EYfX-4mAJWc?si=XC7arDDtDQCmO_Cc</t>
  </si>
  <si>
    <t>Rajan Sajan Mishra</t>
  </si>
  <si>
    <t>https://youtu.be/tjE8Z9IEPPY?si=PdBNNjTzUfmg-V7s</t>
  </si>
  <si>
    <t>Zia Fariduddin Dagar</t>
  </si>
  <si>
    <t>https://youtu.be/ozEjPPZ_014?si=DC1lsY8W5As8UzWp</t>
  </si>
  <si>
    <t>Omkarnath Thakur</t>
  </si>
  <si>
    <t>Bageshri</t>
  </si>
  <si>
    <t>Mukul Shivaputra Bhanumatey</t>
  </si>
  <si>
    <t>Prabhakar Karekar</t>
  </si>
  <si>
    <t>Satyasheel Deshpande</t>
  </si>
  <si>
    <t>Malini Rajurkar</t>
  </si>
  <si>
    <t>Bahar</t>
  </si>
  <si>
    <t>https://youtu.be/cnBqvwZ-Wio?si=Tv6cJinyv1HPe4YQ</t>
  </si>
  <si>
    <t>https://youtu.be/6MjXt46zwTM?si=Czu62FopZFVFtsKA</t>
  </si>
  <si>
    <t>Nusrat Fateh Ali Khan</t>
  </si>
  <si>
    <t>https://youtu.be/jhT45HzPDoI?si=6xwhhK84LIJ7xZZM</t>
  </si>
  <si>
    <t>https://youtu.be/N18UOzwV7Ic?si=aZ3bmV06R3CIXztm</t>
  </si>
  <si>
    <t>Farid Ayaz</t>
  </si>
  <si>
    <t>https://youtu.be/GcPekkQADWs?si=bG-eZ3L2Yil_upeE</t>
  </si>
  <si>
    <t>D V Paluskar</t>
  </si>
  <si>
    <r>
      <rPr>
        <color rgb="FF1155CC"/>
        <u/>
      </rPr>
      <t>Ustad Vilayat KHAN   Râga Bahar -</t>
    </r>
    <r>
      <rPr>
        <color rgb="FF000000"/>
      </rPr>
      <t xml:space="preserve"> </t>
    </r>
  </si>
  <si>
    <t>Sitar</t>
  </si>
  <si>
    <t>Vilayat Khan</t>
  </si>
  <si>
    <t>https://youtu.be/pW4CktanGlc?si=533Wsz1DOMZBDE25</t>
  </si>
  <si>
    <t>https://youtu.be/o5CBNlP8wmE?si=Y9rUu-yxpDc7zL60</t>
  </si>
  <si>
    <t>https://youtu.be/neue14ZN3RQ?si=m-3x0zeqGtYAz9FZ</t>
  </si>
  <si>
    <t>https://youtu.be/3oTmAUuYdN4?si=5HBEeCZQ_gJt3tkR</t>
  </si>
  <si>
    <t>Gandhar Deshpande</t>
  </si>
  <si>
    <t>Bairagi</t>
  </si>
  <si>
    <t>Kumar Mardur</t>
  </si>
  <si>
    <t>Brajeshwar Mukherjee</t>
  </si>
  <si>
    <t>Bairagi Todi</t>
  </si>
  <si>
    <t>https://youtu.be/7IFNhVLCrOU?si=IuN7AcQ4wU65eZXN</t>
  </si>
  <si>
    <t>Devaki Pandit</t>
  </si>
  <si>
    <t>G#</t>
  </si>
  <si>
    <t>https://youtu.be/1whY3cq5JGc?si=Wq0B2buH36dOFwJP</t>
  </si>
  <si>
    <t>Moumita Mitra</t>
  </si>
  <si>
    <t>https://youtu.be/X0jcynzqO_4?si=bDGrLGOD3_SLzFer</t>
  </si>
  <si>
    <t>Jaubi</t>
  </si>
  <si>
    <t>Not clear who the artiste is. Multiple instruments</t>
  </si>
  <si>
    <t>https://youtu.be/kVfRvglG2zE?si=Ynhlf08oOfwBvIp2</t>
  </si>
  <si>
    <t>Ashwini Bhide</t>
  </si>
  <si>
    <t>https://youtu.be/-wrLGBySWY0?si=0ad23L91Yw55USiq</t>
  </si>
  <si>
    <t>Samaresh Chowdhury</t>
  </si>
  <si>
    <t>https://youtu.be/5qBAwkxGMLw?si=GQalxnMjb-UZp-gD</t>
  </si>
  <si>
    <t>Ashwini Khaparde</t>
  </si>
  <si>
    <t>https://youtu.be/zFyu3I7Pj98?si=cQHpJ-EpeMI4QtWf</t>
  </si>
  <si>
    <t>Saniya Patankar</t>
  </si>
  <si>
    <t>Basant</t>
  </si>
  <si>
    <t>Prabha Atre</t>
  </si>
  <si>
    <t>C R Vyas</t>
  </si>
  <si>
    <t>Gauri Pathare</t>
  </si>
  <si>
    <t>Basant Mukhari</t>
  </si>
  <si>
    <t>https://youtu.be/T84xGh2RFzU?si=-1ncTrUUymFXOksq</t>
  </si>
  <si>
    <t>Music Today</t>
  </si>
  <si>
    <t>https://youtu.be/nnOYvP9kFOo?si=lLGRXeTTLUSqFMBQ</t>
  </si>
  <si>
    <t>https://youtu.be/Ycae84vHcdo?si=8j1sKp8h_CpU0hvd</t>
  </si>
  <si>
    <t>Siddhartha Belmannu</t>
  </si>
  <si>
    <t>Also called Hijaz Bhairav according to the recording</t>
  </si>
  <si>
    <t>https://youtu.be/MdQiGj9yVdw?si=ypaQbFSfZwEF4Xvo</t>
  </si>
  <si>
    <t>Manali Bose</t>
  </si>
  <si>
    <t>1001 Bandishes</t>
  </si>
  <si>
    <t>https://youtu.be/VMZdQJB6Fi4?si=BhgkGw76FYJ7cM8N</t>
  </si>
  <si>
    <t>https://youtu.be/lXExts3WHyY?si=rAgsjiR8PwT-Rt0I</t>
  </si>
  <si>
    <t>Kaushiki Chakraborti</t>
  </si>
  <si>
    <t>https://youtu.be/O5nfIpwiah0?si=Pro5pwWimEW2TG2e</t>
  </si>
  <si>
    <t>https://youtu.be/DWSqFPCIrwM?si=pK-cwkvUm6Dhtpjb</t>
  </si>
  <si>
    <t>Nagesh Adagaonkar</t>
  </si>
  <si>
    <t>https://youtu.be/XEYTuTI9gqw?si=H6siwTa1lRJexfMM</t>
  </si>
  <si>
    <t>Sarod</t>
  </si>
  <si>
    <t>Abhishek Lahiri</t>
  </si>
  <si>
    <t>Bhairav</t>
  </si>
  <si>
    <t>Bhairavi</t>
  </si>
  <si>
    <t>https://youtu.be/tLXNNejKhJs?si=JD3pcV6-44uEaOII</t>
  </si>
  <si>
    <t>Flute</t>
  </si>
  <si>
    <t>Hariprasad Chaurasia</t>
  </si>
  <si>
    <t>https://youtu.be/ZtOQ49_hO8s?si=9-ZVCntvCpSFNl3N</t>
  </si>
  <si>
    <t>Niladri Kumar</t>
  </si>
  <si>
    <t>Darbar</t>
  </si>
  <si>
    <t>https://youtu.be/uKjhHebmZJM?si=Ekp98katXml9CM2N</t>
  </si>
  <si>
    <t>https://youtu.be/RLpJCLxacUc?si=CMoPYgc86X86x1mD</t>
  </si>
  <si>
    <t>https://youtu.be/nZq0lvclejg?si=EwOyfr7Dyv_bZLbJ</t>
  </si>
  <si>
    <t>https://youtu.be/7JRLyQNMwV8?si=OfjsjR4i2FpAVrGw</t>
  </si>
  <si>
    <t>https://youtu.be/VwE5Fc_hz6o?si=_2N16CaugV_pL4Vg</t>
  </si>
  <si>
    <t>Shehenai</t>
  </si>
  <si>
    <t>Bismillah Khan</t>
  </si>
  <si>
    <r>
      <rPr>
        <color rgb="FF1155CC"/>
        <u/>
      </rPr>
      <t>The Queen of Sitar | Roopa Panesar  |3| Bhairavi Dhun</t>
    </r>
    <r>
      <rPr/>
      <t xml:space="preserve"> </t>
    </r>
  </si>
  <si>
    <t>Roopa Panesar</t>
  </si>
  <si>
    <r>
      <rPr>
        <color rgb="FF1155CC"/>
        <u/>
      </rPr>
      <t>Raga Bhairavi</t>
    </r>
    <r>
      <rPr/>
      <t xml:space="preserve"> </t>
    </r>
  </si>
  <si>
    <t>Ali Akbar Khan</t>
  </si>
  <si>
    <t>https://youtu.be/OX6Da7jmYP8?si=Ld4lAAxTiTlC1J6R</t>
  </si>
  <si>
    <t>Bhatiyar</t>
  </si>
  <si>
    <t>https://youtu.be/fveOYRT4DDw?si=ayohgCIio_S5qfY3</t>
  </si>
  <si>
    <t>https://youtu.be/XEOo5F0THbA?si=2CYncgT3-yKKRjyF</t>
  </si>
  <si>
    <t>https://youtu.be/7hhX-Ru6YU4?si=Y9Ri4XfQ70RjcK-E</t>
  </si>
  <si>
    <t>https://youtu.be/O-aL9CSdjnQ?si=21Ii6i9VDst_SI1m</t>
  </si>
  <si>
    <t>https://youtu.be/PsXWOBNb-VE?si=vAoqYxilexSTib2w</t>
  </si>
  <si>
    <t>https://youtu.be/B6AgVc2gqUM?si=HtIKyj6iODREzTbs</t>
  </si>
  <si>
    <r>
      <rPr>
        <color rgb="FF1155CC"/>
        <u/>
      </rPr>
      <t>Ustad Amir Khan sings Bhatiyar</t>
    </r>
    <r>
      <rPr/>
      <t xml:space="preserve"> </t>
    </r>
  </si>
  <si>
    <t>https://youtu.be/RzvGFnD6Yqc?si=fDsN8k5-8zN7ZQ4y</t>
  </si>
  <si>
    <t>Mallikarjun Mansur</t>
  </si>
  <si>
    <t>https://youtu.be/kUkmPBoHyI0?si=HAVpiu8qLw9Xz5KH</t>
  </si>
  <si>
    <t>https://youtu.be/5RdN8jzEl4Y?si=tsyml49DnAB3qaWw</t>
  </si>
  <si>
    <t>Bheem</t>
  </si>
  <si>
    <t>https://youtu.be/dmGhakW9MXc?si=YH8x-rbLFY7yOsZ2</t>
  </si>
  <si>
    <t>Pournima Dhumale</t>
  </si>
  <si>
    <t>https://youtu.be/uSNtEIp-Ew0?si=Srk-i7LKiwhXzFPG</t>
  </si>
  <si>
    <t>Paar na Payo</t>
  </si>
  <si>
    <t>https://youtu.be/687FtBgKVeg?si=knEoOXVacNuEjv7D</t>
  </si>
  <si>
    <t>Devashish Dey</t>
  </si>
  <si>
    <t>Bhimpalasi</t>
  </si>
  <si>
    <t>https://youtu.be/uEqYzdz3Zvg?si=8YfgooQwApos2hOS</t>
  </si>
  <si>
    <t>https://youtu.be/hujzTIKN-nA?si=p0lVDAbehq_6xcGR</t>
  </si>
  <si>
    <t>Apoorva Gokhale</t>
  </si>
  <si>
    <t>https://youtu.be/G5YOMD6tmUY?si=0d2I50XaI2C-7dWo</t>
  </si>
  <si>
    <t>https://youtu.be/_PyplT2u9K8?si=N_kRJCdznvTkOt7P</t>
  </si>
  <si>
    <t>https://youtu.be/F-pH-fTwXiU?si=jCw39fBjmlr0cxZ-</t>
  </si>
  <si>
    <t>https://youtu.be/D31qsk4Zho0?si=l2g_apZuvM4IlM0H</t>
  </si>
  <si>
    <t>Shahid Parvez</t>
  </si>
  <si>
    <t>Bazm-e-Khas</t>
  </si>
  <si>
    <t>https://youtu.be/tnzKppPRW4g?si=NWcaOt58Y0NR18Z5</t>
  </si>
  <si>
    <t>Surel Sabha</t>
  </si>
  <si>
    <t>https://youtu.be/L8K0SME1oGI?si=AlBwlhW_AVf7yt-G</t>
  </si>
  <si>
    <t>https://youtu.be/-lzurpNhpIQ?si=zBS3XZ1YaC39Gmoz</t>
  </si>
  <si>
    <t>Bhupali Todi</t>
  </si>
  <si>
    <t>https://youtu.be/dBoTBWrc1cg?si=gC-Evmw6xajpqDQP</t>
  </si>
  <si>
    <t>https://youtu.be/36PHXHVWwQc?si=qCkoZ5DzGps89C4W</t>
  </si>
  <si>
    <t>Basavaraj Vandali</t>
  </si>
  <si>
    <t>https://youtu.be/7sxH7bRkRe8?si=f88EzkkKDsN3pHa5</t>
  </si>
  <si>
    <t>Jitendra Abhisheki</t>
  </si>
  <si>
    <t>https://youtu.be/sMHuOklcxLc?si=Vlp9TKtru8PW5Zjc</t>
  </si>
  <si>
    <t>https://youtu.be/ufm7VhDVUk8?si=rhMHf350e22exBZE</t>
  </si>
  <si>
    <t>Santoor</t>
  </si>
  <si>
    <t>Harjinderpal Matharu</t>
  </si>
  <si>
    <t>https://youtu.be/3AmM3-E8-HA?si=rGnrVsEMjTQBJq1P</t>
  </si>
  <si>
    <t>https://youtu.be/OdKG1yvTlUU?si=Tal4KfJAjNw11RJU</t>
  </si>
  <si>
    <t>https://youtu.be/gHNDkDTMTCQ?si=Hr8wQPksGmXqeufd</t>
  </si>
  <si>
    <t>https://youtu.be/bdSH8e-7Eg4?si=7pzeQvOKg37JiYc6</t>
  </si>
  <si>
    <t>Michael Griska</t>
  </si>
  <si>
    <t>Bhupali</t>
  </si>
  <si>
    <t>Bade Ghulam Ali Khan</t>
  </si>
  <si>
    <t>Bibhas</t>
  </si>
  <si>
    <t>https://youtu.be/kFLCQaW1oE8?si=6pmV58ebKQeB5xeS</t>
  </si>
  <si>
    <t>Violin</t>
  </si>
  <si>
    <t>Manas Kumar</t>
  </si>
  <si>
    <t>https://youtu.be/V_bUsF30j88?si=-VW8wbQrJfx4gmOV</t>
  </si>
  <si>
    <t>Sharad Sathe</t>
  </si>
  <si>
    <t>https://youtu.be/qINe_MlOKz0?si=cCOfoQ2J-2MFab1c</t>
  </si>
  <si>
    <t>https://youtu.be/UO3FZgiq2Ac?si=0YCrn8GS7gpQAdev</t>
  </si>
  <si>
    <t>https://youtu.be/OHMVGrHhoYs?si=LKgVaOV_dNKevFLX</t>
  </si>
  <si>
    <t>https://youtu.be/9OnY_SGgwtA?si=OrzpCFohdq_MVKHe</t>
  </si>
  <si>
    <t>Apoorva Gokhale, Pallavi Joshi</t>
  </si>
  <si>
    <t>https://youtu.be/8chQmqNFdDU?si=g2GKGY_SoX7a8riI</t>
  </si>
  <si>
    <t>https://youtu.be/vBPYPhu7Gm8?si=0V2v1SG1Oln8eHkv</t>
  </si>
  <si>
    <t>https://youtu.be/EqTNRii6LRA?si=BoWMWGFUQR_fKfMq</t>
  </si>
  <si>
    <t>Shruti Sadolikar</t>
  </si>
  <si>
    <t>Bihag</t>
  </si>
  <si>
    <t>Deborshee Bhattacharya</t>
  </si>
  <si>
    <t>Manik Bhide</t>
  </si>
  <si>
    <t>Bihagda</t>
  </si>
  <si>
    <t>https://youtu.be/_uUhQLUqF9o?si=zkLllbLz20mPpSWd</t>
  </si>
  <si>
    <t>https://youtu.be/K0eXpE1OjI4?si=ec8it5caCnSHhXYC</t>
  </si>
  <si>
    <t>https://youtu.be/zszwh_XJs5M?si=irqlQt2EIcjQYFt3</t>
  </si>
  <si>
    <t>Ranjani Ramachandran</t>
  </si>
  <si>
    <t>https://youtu.be/0UNxX59oj_o?si=BBrk5wjFwsul_zg0</t>
  </si>
  <si>
    <t>https://youtu.be/2qrxsvACByw?si=YAj9TCYN3SAZxQwh</t>
  </si>
  <si>
    <t>https://youtu.be/7hIOa5fOEl4?si=cJWd25bxdxzelRvh</t>
  </si>
  <si>
    <t>https://youtu.be/l3WrolnLUNw?si=7yRtTi3uICLONWzu</t>
  </si>
  <si>
    <t>https://youtu.be/_RnkEjtlaHc?si=WD1iXqUSXyzqwOYT</t>
  </si>
  <si>
    <t>Shashank Maktedar</t>
  </si>
  <si>
    <t>https://youtu.be/LxNT_mL_FnM?si=TaWovIlxVki-cr8u</t>
  </si>
  <si>
    <t>Nishad Bakre</t>
  </si>
  <si>
    <t>Bihari</t>
  </si>
  <si>
    <t>https://youtu.be/sDaPoNBX65A?si=8fY984QEHlsP-Ptm</t>
  </si>
  <si>
    <t>https://youtu.be/OJzIbmJemA8?si=PXPM6w2oob9w52P3</t>
  </si>
  <si>
    <t>Pratima Tilak</t>
  </si>
  <si>
    <t>https://youtu.be/17Z8bSRxhUM?si=KvOhfB07PLrtxAuU</t>
  </si>
  <si>
    <t>https://www.youtube.com/watch?v=X2767Q1iBN8</t>
  </si>
  <si>
    <t>Amjad Ali Khan</t>
  </si>
  <si>
    <t>https://youtu.be/VOQusm9-1NI?si=9juVaLU-R6JFxHyL</t>
  </si>
  <si>
    <t>Arun Dravid</t>
  </si>
  <si>
    <t>https://youtu.be/ksfYVfh-mBk?si=Nao0Jl1yRIOKY0vh</t>
  </si>
  <si>
    <t>https://youtu.be/W01XQbLWL0A?si=yYXCYs1FPxM6xGKw</t>
  </si>
  <si>
    <t>Nishad Matange</t>
  </si>
  <si>
    <t>https://youtu.be/t9WAREKVaW0?si=jmePA_e4SJQbhMNh</t>
  </si>
  <si>
    <t>Bilaskhani Todi</t>
  </si>
  <si>
    <t>Bilawal</t>
  </si>
  <si>
    <t>https://youtu.be/ZYQITiocNfk?si=kQ2M2GQciy3KVVuJ</t>
  </si>
  <si>
    <t>https://youtu.be/oTg3QBVYFSc?si=C4yWmmafrmuJD9G9</t>
  </si>
  <si>
    <t>https://youtu.be/Pk8odDzE-Ps?si=_7dQkUGxcOg3H4An</t>
  </si>
  <si>
    <t>Esraj</t>
  </si>
  <si>
    <t>Pamalka Manjitha Karunanayake</t>
  </si>
  <si>
    <t>https://youtu.be/1UHjnQRMvIE?si=1iTxJM6Q5C76HnIZ</t>
  </si>
  <si>
    <t>Vasantrao Deshpande</t>
  </si>
  <si>
    <t>https://youtu.be/wH3rLKhhw30?si=ITxaWFwbNc2Yy0Er</t>
  </si>
  <si>
    <t>Bhola Nath Prasanna</t>
  </si>
  <si>
    <t>https://youtu.be/g2fHVAOtUdg?si=17AyqKRnxU10mDNr</t>
  </si>
  <si>
    <t>Champakali</t>
  </si>
  <si>
    <t>https://youtu.be/f5nqGiNuTIk?si=aBgbSjbTMzvvM-q_</t>
  </si>
  <si>
    <t>https://youtu.be/ZQcGxPrTGgY?si=HZTjZ2i2DR09WRhd</t>
  </si>
  <si>
    <t>Zohaib Ali</t>
  </si>
  <si>
    <t>https://youtu.be/7An8yztP95Y?si=Hx8xtKj2XJ0MiYNs</t>
  </si>
  <si>
    <t>Akbar Ali khan</t>
  </si>
  <si>
    <r>
      <rPr>
        <color rgb="FF1155CC"/>
        <u/>
      </rPr>
      <t>Champakali (Live) | Anirudh Varma Collective feat. Saptak Chatterjee | Suyash Gabriel | Kavya Singh</t>
    </r>
    <r>
      <rPr/>
      <t xml:space="preserve"> </t>
    </r>
  </si>
  <si>
    <t>Anirudh Verma Collective</t>
  </si>
  <si>
    <t>https://youtu.be/qrbD9q49n0c?si=IfENTuiNFGUb331t</t>
  </si>
  <si>
    <t>Momin Khan</t>
  </si>
  <si>
    <t>https://youtu.be/wshs9Mqq9Eo?si=m6IpUpStKbESFr-T</t>
  </si>
  <si>
    <t>Fareed Hassan</t>
  </si>
  <si>
    <t>Bazm E Khas</t>
  </si>
  <si>
    <t>https://youtu.be/htv0idteKnQ?si=ILtAkeP4zg_L8jDy</t>
  </si>
  <si>
    <r>
      <rPr>
        <color rgb="FF1155CC"/>
        <u/>
      </rPr>
      <t>Pandit Jagdish Prasad (vocal) - Raga Vachaspati</t>
    </r>
    <r>
      <rPr/>
      <t xml:space="preserve"> </t>
    </r>
  </si>
  <si>
    <t>https://youtu.be/JUvXCpZW-o4?si=11Ata7NDQuWq-hE1</t>
  </si>
  <si>
    <t>https://youtu.be/TQ5Hm0M62yA?si=Np0s2-_aQGusA0Cy</t>
  </si>
  <si>
    <t>Flute, Sitar</t>
  </si>
  <si>
    <t>Kushal Das, Shashank Subramanyam</t>
  </si>
  <si>
    <t>Chandrakauns</t>
  </si>
  <si>
    <t>https://youtu.be/kZTC4eB-DKU?si=nBeykx8ZK3ZWjz5i</t>
  </si>
  <si>
    <t>Ranjani and Gayatri</t>
  </si>
  <si>
    <t>https://youtu.be/PfiEPZE9w7M?si=WSHeU5cwpy6jkAhj</t>
  </si>
  <si>
    <t>Rudra Veena</t>
  </si>
  <si>
    <t>Jyoti Hegde</t>
  </si>
  <si>
    <t>https://youtu.be/eIlzQPm5PYQ?si=sItHKxkxE5ln9GYU</t>
  </si>
  <si>
    <t>https://youtu.be/g22BWgZ2cCE?si=F_dzgaXbaOEp63Lp</t>
  </si>
  <si>
    <t>https://youtu.be/C-l-BZMlYJA?si=_XYCTVlroeTPF9Sz</t>
  </si>
  <si>
    <t>https://youtu.be/WHmB9UK6D_w?si=Pcr4igIkAFbH0dGD</t>
  </si>
  <si>
    <t>https://youtu.be/j2vYHWssJHQ?si=jITN6d-TnDgivOmS</t>
  </si>
  <si>
    <t>probably 432</t>
  </si>
  <si>
    <t>https://youtu.be/yLa9Y1zECdw?si=lA9hQTDuF2ep9M17</t>
  </si>
  <si>
    <t>https://youtu.be/YhSl69_G5Ws?si=InKmhDJ3T1pzoxlz</t>
  </si>
  <si>
    <t>https://youtu.be/c_KWyF1E41s?si=kiCyHmqblfqbtt9c</t>
  </si>
  <si>
    <t>Mohan Veena</t>
  </si>
  <si>
    <t>Vishwamohan Bhatt</t>
  </si>
  <si>
    <t>https://youtu.be/djv4bJH8250?si=Sz2zEcBrNrmsyM2i</t>
  </si>
  <si>
    <t>https://youtu.be/QsvBJ914reg?si=_foCWI57VkSmri-u</t>
  </si>
  <si>
    <t>Multiple</t>
  </si>
  <si>
    <t>https://youtu.be/BZTwmLoKZ2U?si=MlueF8nfgp1NXgu5</t>
  </si>
  <si>
    <t>Sayeeduddin Dagar</t>
  </si>
  <si>
    <t>https://youtu.be/vPib32E1fXs?si=OnY4zKnAMNVjyKUx</t>
  </si>
  <si>
    <t>Madhuvanti Pal</t>
  </si>
  <si>
    <t>https://youtu.be/xRy5_iJIYZo?si=J4_9DNQN3kNM6IM7</t>
  </si>
  <si>
    <t>Shantanu Bhattacharyya</t>
  </si>
  <si>
    <t>Chandranandan</t>
  </si>
  <si>
    <t>https://youtu.be/2UeSDbLyKU4?si=efvy9GoZbKq_s1ja</t>
  </si>
  <si>
    <t>Abhishek Borkar</t>
  </si>
  <si>
    <t>https://youtu.be/QNV0No4U96c?si=CNjVziy-2a9FDxJD</t>
  </si>
  <si>
    <t>Alam Khan</t>
  </si>
  <si>
    <t>https://youtu.be/Csnd2DXsJL4?si=6Y-0XILswaHd0P_5</t>
  </si>
  <si>
    <t>Purbayan Chatterjee</t>
  </si>
  <si>
    <t>https://youtu.be/Gl3a75jFdeE?si=TaPhethlfFxm5zly</t>
  </si>
  <si>
    <t>Ken Zuckerman</t>
  </si>
  <si>
    <t>https://youtu.be/Nn33rsSi8ZA?si=ZmGXXDbRaCSdBn66</t>
  </si>
  <si>
    <t>Alam Khan and others</t>
  </si>
  <si>
    <t>played with some western musicians</t>
  </si>
  <si>
    <t>https://youtu.be/mhYIePQDLO4?si=sRCvYqBMbwwkLRVs</t>
  </si>
  <si>
    <t>Tejendra Narayan Majumdar</t>
  </si>
  <si>
    <t>Charukeshi</t>
  </si>
  <si>
    <t>https://youtu.be/A-wVsNjigbY?si=JHpom2T5RqlxeEk-</t>
  </si>
  <si>
    <t>https://youtu.be/f0X6kQ5s5Uw?si=ctMfrSY9WbmTKYU2</t>
  </si>
  <si>
    <t>https://youtu.be/IBHgJamPOm8?si=bx_GTdyLXAVQNJ12</t>
  </si>
  <si>
    <t>https://youtu.be/X3GbWOegovU?si=qUR7SlET5_IhSOB0</t>
  </si>
  <si>
    <t>https://youtu.be/uQamzyf3RwU?si=fDtYvBcuaINyYDcP</t>
  </si>
  <si>
    <t>https://youtu.be/NKzWJG--URg?si=DwQnx0TrLsKWiHMS</t>
  </si>
  <si>
    <t>Sitar, Sarod</t>
  </si>
  <si>
    <t>https://youtu.be/3nb28JVb3-4?si=XynPXMTeXvbjxS8I</t>
  </si>
  <si>
    <t>https://youtu.be/HPdg75gadgc?si=wv5i_Mkjm1zXBABj</t>
  </si>
  <si>
    <t>Ajay Prasanna</t>
  </si>
  <si>
    <t>https://youtu.be/Th8e6xxyg5E?si=QjpwZIEwFbiHLiQh</t>
  </si>
  <si>
    <t>Sultan Khan</t>
  </si>
  <si>
    <t>https://youtu.be/98FLpKeOtNA?si=n-VPUtBc-M9hlx7q</t>
  </si>
  <si>
    <t>Chhayanat</t>
  </si>
  <si>
    <t>https://youtu.be/S_vXFqdaaJQ?si=6w8R_RrI72_qmKzl</t>
  </si>
  <si>
    <t>https://youtu.be/UKBck_KGjPo?si=SsjpIhrXuotEG88A</t>
  </si>
  <si>
    <t>HCL Masters</t>
  </si>
  <si>
    <t>https://youtu.be/DuzwJ2jI15U?si=KlJ8ZZeTnHr5xaPv</t>
  </si>
  <si>
    <t>Malabika Kanan</t>
  </si>
  <si>
    <t>https://youtu.be/Omp0w2dBQhk?si=ajL5_6OWZZjK_zZp</t>
  </si>
  <si>
    <t>https://youtu.be/AQlc_HFI6H0?si=PsmsCxpaGqagfgmH</t>
  </si>
  <si>
    <t>https://youtu.be/S_Bzrk7e6G4?si=nMZxW9cND1YAEVA7</t>
  </si>
  <si>
    <t>https://youtu.be/gPmBuhO1hzI?si=1rbuGdTGnL53YxwV</t>
  </si>
  <si>
    <t>Jayshree Patnekar</t>
  </si>
  <si>
    <t>https://youtu.be/zUPqAx3FG68?si=8VAzRtzYkO8J6Oip</t>
  </si>
  <si>
    <t>https://youtu.be/JuG7NLLCmos?si=Rli3XfwtqGKAn_2P</t>
  </si>
  <si>
    <t>Shubhada Paradkar</t>
  </si>
  <si>
    <t>Darbari Kanada</t>
  </si>
  <si>
    <t>Ustad Ghulam Mustafa</t>
  </si>
  <si>
    <t>Ajay Pohankar</t>
  </si>
  <si>
    <t>Madhup Mudgal</t>
  </si>
  <si>
    <t>Desh</t>
  </si>
  <si>
    <t>Deshkar</t>
  </si>
  <si>
    <t>https://youtu.be/E8CFmo7tRWA?si=v_Wq7D6pn4Zb_7ni</t>
  </si>
  <si>
    <t>https://youtu.be/0GZ7UdDiRDU?si=mIy7YM3r-S9Zv164</t>
  </si>
  <si>
    <t>https://youtu.be/B2YT_CJEn2k?si=miyiu1JgUsYXjvOs</t>
  </si>
  <si>
    <t>https://youtu.be/TPLnZQfQvWc?si=vMmS_oZkGXbpmrNu</t>
  </si>
  <si>
    <t>https://youtu.be/7oQj5Qh5ScU?si=0L1W1k3TqbtZxsFE</t>
  </si>
  <si>
    <t>https://youtu.be/6zOPQGJXmZI?si=IWgY2rRgBAq_UGT7</t>
  </si>
  <si>
    <t>Manjiri Alegaonkar</t>
  </si>
  <si>
    <t>https://youtu.be/y17mvudCNA4?si=PPx4basqXFIQAB4R</t>
  </si>
  <si>
    <t>https://youtu.be/n58fm2qqYTI?si=RIF1TWn5x3S14BIs</t>
  </si>
  <si>
    <t>https://youtu.be/vMmsqeCrl38?si=7Q8cT39F-F24ZTkN</t>
  </si>
  <si>
    <t>https://www.youtube.com/watch?v=5p2IUDczkrM</t>
  </si>
  <si>
    <t>Live at Sawai Gandharva festival</t>
  </si>
  <si>
    <t>Desi</t>
  </si>
  <si>
    <t>https://youtu.be/rPy2E9-PRW0?si=2DIh0SM8-fOLtucN</t>
  </si>
  <si>
    <t>https://youtu.be/a6mTJ4hXjnk?si=PG9h2VdcB64EUeXo</t>
  </si>
  <si>
    <t>https://youtu.be/k1QEo8fqvic?si=jgG58FO86E_dxVmh</t>
  </si>
  <si>
    <t>https://youtu.be/BdlUztybVro?si=kMTaFDvzmsE-1nfL</t>
  </si>
  <si>
    <t>https://youtu.be/6Lh1886X_4s?si=dEkzDCrV0IcgkHxR</t>
  </si>
  <si>
    <t>Kedar Bodas</t>
  </si>
  <si>
    <t>https://youtu.be/K9ruffturYY?si=ms5DGpG3oyNU38fk</t>
  </si>
  <si>
    <t>Pannalal Ghosh</t>
  </si>
  <si>
    <t>https://youtu.be/vF1pvk8sNsY?si=wTQhWIoWkObQ0PWM</t>
  </si>
  <si>
    <t>https://youtu.be/0jmUOK-gsRs?si=4qXPDgl7szoSTBul</t>
  </si>
  <si>
    <t>https://youtu.be/BAzm0gT4Yuw?si=8daNIkyViDofBEZ3</t>
  </si>
  <si>
    <t>Dev Gandhar</t>
  </si>
  <si>
    <t>https://youtu.be/IEodibJCZbI?si=-HcK6gNkKPSEkLuz</t>
  </si>
  <si>
    <t>https://youtu.be/wv3-esnuZzE?si=2TyjDgqwttADx5Tf</t>
  </si>
  <si>
    <t>Vinod Digrajkar</t>
  </si>
  <si>
    <t>https://youtu.be/Y5j5QVeXHy8?si=3Lwty-xNrSOWLARb</t>
  </si>
  <si>
    <t>Sawani Shende</t>
  </si>
  <si>
    <t>https://youtu.be/tJVHkdYFxmY?si=OBPuy0eO2lvDboUU</t>
  </si>
  <si>
    <t xml:space="preserve">Buddhadev Chatterjee </t>
  </si>
  <si>
    <t>https://youtu.be/1gLTeABf5hY?si=bS9BDUhnfEFCd-RF</t>
  </si>
  <si>
    <t>L K Pandir</t>
  </si>
  <si>
    <t>https://youtu.be/XN2YrhbJRbc?si=QEotu_VOwxukx7Ef</t>
  </si>
  <si>
    <t>https://youtu.be/_PMlV0V_7TI?si=R3h2YC6mwIOgFwIr</t>
  </si>
  <si>
    <t>Krishnarao Shankar Pandit</t>
  </si>
  <si>
    <t>https://youtu.be/k2M5WTYHKKM?si=WJMiCOcaHHr0ym5v</t>
  </si>
  <si>
    <t>Vidhyadhar Vyas</t>
  </si>
  <si>
    <t>https://youtu.be/fxFbtJDptPU?si=VOCSoNgk-XEchgUJ</t>
  </si>
  <si>
    <t>Suresh Bapat</t>
  </si>
  <si>
    <t>Devgiri Bilawal</t>
  </si>
  <si>
    <t>https://youtu.be/3mVtWjHMADs?si=YLgiQ-A2NvQa2dZ_</t>
  </si>
  <si>
    <t>Shashwati Mandal</t>
  </si>
  <si>
    <t>https://youtu.be/4CeGpb2aSsg?si=H2UcdcPuCli_DmYh</t>
  </si>
  <si>
    <t>https://youtu.be/41BhHSq5-5w?si=EtnAw8qNsHDpn0GA</t>
  </si>
  <si>
    <t>Vikas Kashalkar</t>
  </si>
  <si>
    <t>https://youtu.be/226Usqahn3Y?si=XmcgQJCmQEuHczow</t>
  </si>
  <si>
    <t>https://youtu.be/LmRUXZAw8l0?si=GamK7TP-RrS57DtO</t>
  </si>
  <si>
    <t>N Rajam</t>
  </si>
  <si>
    <t>https://youtu.be/jrIYQBqLBGg?si=B9G0uWKD44RfsoqO</t>
  </si>
  <si>
    <t>https://youtu.be/Rz4SFzNgVMI?si=OkVZHecigvfZHEgN</t>
  </si>
  <si>
    <t>https://youtu.be/kc3VHrJdjJ0?si=7tcH0KH_uuq4eruJ</t>
  </si>
  <si>
    <t>Ramashreya Jha</t>
  </si>
  <si>
    <t>https://youtu.be/4pJKKMYfN00?si=XHSBvqx9R2rYPaA-</t>
  </si>
  <si>
    <t>https://youtu.be/tKyyVj6TLG4?si=6tmFerkxYDF61mNZ</t>
  </si>
  <si>
    <t>Nivrutti Sarnaik</t>
  </si>
  <si>
    <t>Poor recording</t>
  </si>
  <si>
    <t>Dhani</t>
  </si>
  <si>
    <t>https://youtu.be/PKUO-nqbABg?si=uLVj6vFWIDukUMyf</t>
  </si>
  <si>
    <t>https://youtu.be/tLYfXjPsPq4?si=VtaZ7Uv2Di9Q0UpM</t>
  </si>
  <si>
    <t>https://youtu.be/Km0WC0ISX20?si=-5VDsnbKBJmgxmq_</t>
  </si>
  <si>
    <t>https://youtu.be/05MaWBpkNvE?si=roQEa-Psq9XfPh1r</t>
  </si>
  <si>
    <t>Dyuthi &amp; Snigdha Jahagirdar</t>
  </si>
  <si>
    <t>Playlist</t>
  </si>
  <si>
    <t>https://youtu.be/VzoKlWVcGIg?si=ZoZMQbl_gimA1RYR</t>
  </si>
  <si>
    <t>https://youtu.be/wRVar1lhzL8?si=1Oho3ZL6-g_aZpsz</t>
  </si>
  <si>
    <t>https://youtu.be/MlFkMRnPk_Q?si=h1CPwWQ_vWYYr5u1</t>
  </si>
  <si>
    <t>https://youtu.be/VUjQ__gqBJc?si=H4wiHfU2wBXy9vdb</t>
  </si>
  <si>
    <t>Srijan Deshpande</t>
  </si>
  <si>
    <t>https://youtu.be/2Z2ALPvXIig?si=7tTwdkacifpWw33V</t>
  </si>
  <si>
    <t>Lakshmi Shankar</t>
  </si>
  <si>
    <t>Durga</t>
  </si>
  <si>
    <t>https://youtu.be/K7H-ptuxlr8?si=P_efCm5kyB74TOuy</t>
  </si>
  <si>
    <t>https://youtu.be/XfbTpq6cDTk?si=_87VBbQ6KLlQOc4Z</t>
  </si>
  <si>
    <t>https://youtu.be/3Cj14wrWHqw?si=7wXsmm5YDqlCGkIG</t>
  </si>
  <si>
    <t>https://youtu.be/I4FTKvoVWl8?si=hpFkmIvAGRYfx3pf</t>
  </si>
  <si>
    <t>Riyaz Daily</t>
  </si>
  <si>
    <t>Riyaz channel</t>
  </si>
  <si>
    <t>https://youtu.be/rTEHQJ5ld6E?si=0TgLTC1-ErN16wt2</t>
  </si>
  <si>
    <t>https://youtu.be/KzZVMsqhU-o?si=vtFNSNvGAeFv0v07</t>
  </si>
  <si>
    <t>Rajan Mishra</t>
  </si>
  <si>
    <t>https://youtu.be/gR7yqkEzQxI?si=sQ1QnYNwOS9YrGg7</t>
  </si>
  <si>
    <t>https://youtu.be/f1CRp6kCyZQ?si=hzIiS5FdETF7_VF1</t>
  </si>
  <si>
    <t>https://youtu.be/wvkQweUvkQI?si=NJmSK2jhWstTnQT9</t>
  </si>
  <si>
    <t>https://youtu.be/ybqhHmwMADI?si=q1qLNkYm9WpIEcAe</t>
  </si>
  <si>
    <t>Anuradha Kuber</t>
  </si>
  <si>
    <t>Gaud Malhar</t>
  </si>
  <si>
    <t>Gaud Sarang</t>
  </si>
  <si>
    <t>https://youtu.be/20AL-bG4q6Y?si=TGAG12irt0unRsLs</t>
  </si>
  <si>
    <t>https://youtu.be/9YoXGh1s5KA?si=Fni-OfgM-Mixi9eA</t>
  </si>
  <si>
    <t>https://youtu.be/dchgqcMKp7M?si=H1DuqOZccWrtH6BO</t>
  </si>
  <si>
    <t>Manjiri Kelkar</t>
  </si>
  <si>
    <t>https://youtu.be/vApho8HCFh4?si=_-gBkKL45gxriXa2</t>
  </si>
  <si>
    <t>https://youtu.be/WubrSEQG36Y?si=fVhaliTFaAoT6kHi</t>
  </si>
  <si>
    <t>https://youtu.be/dmssVlsU9vg?si=F-niD-D8w5AcEMMa</t>
  </si>
  <si>
    <t>https://youtu.be/3xptxMNlNhA?si=vSEM2FbZpk9NG_UN</t>
  </si>
  <si>
    <t>https://youtu.be/8Gh3J3bK0O8?si=j9VszrGjNvnR_SzY</t>
  </si>
  <si>
    <t>https://youtu.be/FrSCKDYet3s?si=uzp-mQYK-buywxeP</t>
  </si>
  <si>
    <t>https://youtu.be/PEN-EeKGQk0?si=iMRPMqSNJnC5D1rj</t>
  </si>
  <si>
    <t>Gauri</t>
  </si>
  <si>
    <t>https://youtu.be/QdI2DjLdoOs?si=WyXNi80i4MIL7AXd</t>
  </si>
  <si>
    <t>https://youtu.be/a2V7Bm1gPWQ?si=k2BEf-G3jnacIPEy</t>
  </si>
  <si>
    <t>https://youtu.be/YIEnyayjl-w?si=EfNgzEKpM2-bfg-h</t>
  </si>
  <si>
    <t>Gurmeet Singh</t>
  </si>
  <si>
    <t>https://youtu.be/aprAWoTtVy8?si=ckJxGbV1ljv329Wo</t>
  </si>
  <si>
    <t>https://youtu.be/DGEV8Yui5VI?si=Za-1ew-2sZDF7BTG</t>
  </si>
  <si>
    <t>https://youtu.be/t3nXcAPO_Us?si=7IgQe7hEt1g_T-AO</t>
  </si>
  <si>
    <t>https://youtu.be/szgaHp_wYN4?si=r4honytk5mfTVUtN</t>
  </si>
  <si>
    <t>https://youtu.be/_qqF_-KpxtY?si=0mROpPRBNCoGwRYo</t>
  </si>
  <si>
    <t>Satninder Singh</t>
  </si>
  <si>
    <t>https://youtu.be/c4BL5zyM0XA?si=KS5h_X3ywyLCcZrT</t>
  </si>
  <si>
    <t>Swarangi Marathe</t>
  </si>
  <si>
    <t>Gavati</t>
  </si>
  <si>
    <t>https://youtu.be/OctxFgBlXPw?si=_iO1WwhiPapat3cm</t>
  </si>
  <si>
    <t>Bazm-e-khas</t>
  </si>
  <si>
    <t>https://youtu.be/bE1LEFfzMv0?si=d2yZ2ZrQ1E8qhTAr</t>
  </si>
  <si>
    <t>https://youtu.be/mQMauYtuBwM?si=1Oi_XmMZ72UjM974</t>
  </si>
  <si>
    <t>https://youtu.be/vFdUHWpbscU?si=Rn5RinmHpHspvpcc</t>
  </si>
  <si>
    <t>https://youtu.be/oqIlHxoI7s4?si=MlocAwpn-YhLQj2k</t>
  </si>
  <si>
    <t>First Edition Arts Channel</t>
  </si>
  <si>
    <t>https://youtu.be/Pc-X5ltv_wY?si=dCyqA35wtzBJ2e98</t>
  </si>
  <si>
    <t>https://youtu.be/rxpHNzo_FgU?si=GHtWvstIgegzV19o</t>
  </si>
  <si>
    <t>Monika Soni</t>
  </si>
  <si>
    <t>https://youtu.be/zQ5QP52lrrc?si=4J8ycEi2kX75Uj5a</t>
  </si>
  <si>
    <t>Mahesh Kale</t>
  </si>
  <si>
    <t>https://youtu.be/YXI1rXrLKzU?si=N5er406VhvJrL1Eo</t>
  </si>
  <si>
    <t>https://youtu.be/AjHzJOwl2kY?si=isjJPFvTzZQ_tSJP</t>
  </si>
  <si>
    <t>Gopika Basant</t>
  </si>
  <si>
    <t>https://youtu.be/gM1TNiKTkpQ?si=S5xft1Ej3pcnDwMX</t>
  </si>
  <si>
    <t>Rewa Natu</t>
  </si>
  <si>
    <t>https://youtu.be/w68H93Gd5s8?si=NNkZb7E_dY2HakC_</t>
  </si>
  <si>
    <t>Abhijith Shenoy</t>
  </si>
  <si>
    <t>https://youtu.be/OWsqT8FvPW8?si=u49_AmLFvhvb5W6P</t>
  </si>
  <si>
    <t>Jayanta Bose</t>
  </si>
  <si>
    <t>https://youtu.be/5IXJc_4Ecik?si=TzckKxJFW__lwO8u</t>
  </si>
  <si>
    <t>Sunder Lal Gandharv</t>
  </si>
  <si>
    <t>https://youtu.be/ji_65YOSXNg?si=-oq2UN9GVpcgiOYP</t>
  </si>
  <si>
    <t>Haridutt Sharma</t>
  </si>
  <si>
    <t>https://youtu.be/qghEFd3hPq4?si=ueN1nH_hcYsC_00I</t>
  </si>
  <si>
    <t>Gorakh Kalyan</t>
  </si>
  <si>
    <t>https://youtu.be/m7eULGoGmUE?si=a6ahs86SUi_8t-N7</t>
  </si>
  <si>
    <t>https://youtu.be/Mshi-7hfKJM?si=rDb-VwRUC70-302u</t>
  </si>
  <si>
    <t>Soumik Datta</t>
  </si>
  <si>
    <t>https://youtu.be/M3Pf6fRus1U?si=YZLsPRD-ZQ22bKa5</t>
  </si>
  <si>
    <t>Armaan Khan</t>
  </si>
  <si>
    <t>https://youtu.be/ZE8eoA8Z7Sc?si=Je4jdsST5LoLWQTz</t>
  </si>
  <si>
    <t>https://youtu.be/_g0KzKlu_mE?si=Rk_C0ccbpEIZRcd9</t>
  </si>
  <si>
    <t>https://youtu.be/cm-sFotvxJA?si=9I_E33NVctJpQxka</t>
  </si>
  <si>
    <t>https://youtu.be/bo4wSpAa1iY?si=kk1-ctkr1cW---r-</t>
  </si>
  <si>
    <t>Praveen Sheolikar</t>
  </si>
  <si>
    <t>https://youtu.be/vyUIYk8Rwj4?si=Nv-CmbC7fMZ_DHYi</t>
  </si>
  <si>
    <t>https://youtu.be/qUDGh5g2qko?si=-9GV9bSTkFGKLPtt</t>
  </si>
  <si>
    <t>Gunakri</t>
  </si>
  <si>
    <t>https://youtu.be/jE-VBSOvmDE?si=-PLQoff3WVIoeAGV</t>
  </si>
  <si>
    <t>Tapasi Ghosh</t>
  </si>
  <si>
    <t>https://youtu.be/LXLyEPU77CM?si=W0nvz_6BsqJTHBwY</t>
  </si>
  <si>
    <t>Alka Maulkar</t>
  </si>
  <si>
    <t>https://youtu.be/_hmFArybf28?si=h0Y6Y_-DlN_8XmZD</t>
  </si>
  <si>
    <t>Atul Nene</t>
  </si>
  <si>
    <t>https://youtu.be/S5VRlnJzdEI?si=euEUT61kutRZdMv4</t>
  </si>
  <si>
    <t>https://youtu.be/UCd62tLKkWc?si=GtmDR3e92s6UkHLv</t>
  </si>
  <si>
    <t>Rajendra Kandalgaonkar</t>
  </si>
  <si>
    <t>https://youtu.be/DlL1rmoDSI8?si=XUBdx8Ki3YItfFgB</t>
  </si>
  <si>
    <t>Ashwini Gokhale</t>
  </si>
  <si>
    <t>https://youtu.be/PrrOhka-qHc?si=jpKMtNR2obpfyWPZ</t>
  </si>
  <si>
    <t>Suhasini Koratkar</t>
  </si>
  <si>
    <t>https://youtu.be/5WPJ3WxBRds?si=unXxJ8qaGAx5M0sV</t>
  </si>
  <si>
    <t>Jnan Prakash Ghosh</t>
  </si>
  <si>
    <t>https://youtu.be/wS_iCHZTsc4?si=HMRvPU-QEOPtCrY7</t>
  </si>
  <si>
    <t>https://youtu.be/ka0DZJSb5Dw?si=V8b2Yo6MGQQqtiO0</t>
  </si>
  <si>
    <t>Gurjari Todi</t>
  </si>
  <si>
    <t>https://youtu.be/4tIxcWz8ofY?si=jzsFXM375-DVv0V2</t>
  </si>
  <si>
    <t>https://youtu.be/-zIm1sK1m7w?si=PKHg4Sxkk0Qu_hbr</t>
  </si>
  <si>
    <t>https://youtu.be/9a4ydru4K88?si=1YDSKD1zcrJE-aFr</t>
  </si>
  <si>
    <t>Parveen Sultana</t>
  </si>
  <si>
    <t>https://youtu.be/2yUiHcp01cQ?si=yy5pUEd9SJ2mHEYE</t>
  </si>
  <si>
    <t>https://youtu.be/BL8FDnJMkjo?si=Q7xYR7tqILFb9BNi</t>
  </si>
  <si>
    <t>https://youtu.be/ZXrkENWHbT8?si=6rRCTtK8S2yiblxG</t>
  </si>
  <si>
    <t>https://youtu.be/uSsgvmvijUM?si=gbI_7gzrEFgo5bha</t>
  </si>
  <si>
    <t>Fateh Ali Khan</t>
  </si>
  <si>
    <t>https://youtu.be/X5GXomDTrBg?si=GdZN0FJnEKbmcj7l</t>
  </si>
  <si>
    <t>Shehnai</t>
  </si>
  <si>
    <t>https://youtu.be/PdWenqMtpas?si=Lyj02F1t2Tx7_9fh</t>
  </si>
  <si>
    <t>Hameer</t>
  </si>
  <si>
    <t>https://youtu.be/2l4gq0C0SPM?si=ydNewf0T9wz5ip1W</t>
  </si>
  <si>
    <t>https://youtu.be/dTbY0FdrmLU?si=9E-PWBrVvh_z54PV</t>
  </si>
  <si>
    <t>https://youtu.be/wPXQmdZH7Ew?si=IX6g7b-HrCXZeTvq</t>
  </si>
  <si>
    <t>https://youtu.be/7k_mH9gKBic?si=KaaR0N5bVOjJMS6p</t>
  </si>
  <si>
    <t>https://youtu.be/7tdkWTR0jTs?si=8mHDHTLd7GEC1zau</t>
  </si>
  <si>
    <t>Ahsan Ali Khan</t>
  </si>
  <si>
    <t>https://youtu.be/W8PnzbWG2UU?si=MONZP8yo9avpyXai</t>
  </si>
  <si>
    <t>Priya Purushothaman</t>
  </si>
  <si>
    <t>https://youtu.be/NUnGBfxwE54?si=LdUP8jd4ELQpWXhH</t>
  </si>
  <si>
    <t>Arun Kashalkar</t>
  </si>
  <si>
    <t>https://youtu.be/oGzz3ERRyj8?si=Pk_i9VYTiIB-MV5j</t>
  </si>
  <si>
    <t>Paramjeet Singh</t>
  </si>
  <si>
    <t>https://youtu.be/yEMFA82tMv8?si=dk9Eh3NNiRCM3ZeI</t>
  </si>
  <si>
    <t>https://youtu.be/Q6O5KrywLVo?si=coA_Zvqv3ILioUIY</t>
  </si>
  <si>
    <t>Hansadhwani</t>
  </si>
  <si>
    <t>Raghunandan Panshikar</t>
  </si>
  <si>
    <t>Hanskinki</t>
  </si>
  <si>
    <t>https://youtu.be/M8YD0P8vtHQ?si=Hnt4atkyCZfckdsu</t>
  </si>
  <si>
    <t>Adnan Khan</t>
  </si>
  <si>
    <t>https://youtu.be/HMi-k1wo2oc?si=SYgvAvTmzhIiNz1T</t>
  </si>
  <si>
    <t>https://youtu.be/Z2uGa1rKzBE?si=5_qwnlcj4DzDEAId</t>
  </si>
  <si>
    <t>https://youtu.be/NoMzkUml-EA?si=eCCgYS4m655QXwX_</t>
  </si>
  <si>
    <t>https://youtu.be/FwMxgPVAz80?si=Z4tTIhQBMyztl482</t>
  </si>
  <si>
    <t>https://youtu.be/U2ZC4fvqgGE?si=WfVMJdjDMlrTHbAd</t>
  </si>
  <si>
    <t>https://youtu.be/g82xMt2hcTk?si=gqWJB00dMaW5w-Qo</t>
  </si>
  <si>
    <t>https://www.youtube.com/watch?v=2eWFDV00gIw</t>
  </si>
  <si>
    <t>Chandra Chakraborti</t>
  </si>
  <si>
    <t>Hari Kauns</t>
  </si>
  <si>
    <t>https://youtu.be/eLek0SU9MUg?si=8tifU8mlcd9mqHes</t>
  </si>
  <si>
    <t>https://youtu.be/Qqqb1gQHXQk?si=ADfczjC6mkCY175Y</t>
  </si>
  <si>
    <t>Shivkumar Shukla</t>
  </si>
  <si>
    <t>https://youtu.be/WMCN-cd1DpE?si=cN8V4FxhsXPDCmbj</t>
  </si>
  <si>
    <t>https://youtu.be/WbuoINNvoQ0?si=46G_jm5FaG0hge8h</t>
  </si>
  <si>
    <t>Mandolin</t>
  </si>
  <si>
    <t>Nasir Ahmed</t>
  </si>
  <si>
    <t>https://www.youtube.com/watch?v=O1CTD93OOTc</t>
  </si>
  <si>
    <t>Aamir Sherazi</t>
  </si>
  <si>
    <t>https://www.youtube.com/watch?v=2fTQ6C8h4xc</t>
  </si>
  <si>
    <t>Shaunak Abhisheki, Rahul Deshpande</t>
  </si>
  <si>
    <t>Hem Bihag</t>
  </si>
  <si>
    <t>https://www.youtube.com/watch?v=Y0nyfGmTsL4</t>
  </si>
  <si>
    <t>https://youtu.be/cb3Nx3L1Qck?si=ExJKX13lRfspnooY</t>
  </si>
  <si>
    <t>Taimur Khan</t>
  </si>
  <si>
    <t>https://youtu.be/JnnXfprWPkg?si=iVZNPX4X6czGUvwg</t>
  </si>
  <si>
    <t>Nikhil Banerjee</t>
  </si>
  <si>
    <t>https://youtu.be/Vh2SFMP2U0U?si=1LyXsBYI08K7dXNE</t>
  </si>
  <si>
    <t>https://www.youtube.com/watch?v=PWp9pIXAetw</t>
  </si>
  <si>
    <t>Hemant</t>
  </si>
  <si>
    <t>https://www.youtube.com/watch?v=YvGWTBZRsjE</t>
  </si>
  <si>
    <t>Poornima Kulkarni</t>
  </si>
  <si>
    <t>https://www.youtube.com/watch?v=HFXhK2RScvU</t>
  </si>
  <si>
    <t>https://www.youtube.com/watch?v=4tV4Y56wQlE</t>
  </si>
  <si>
    <t>https://www.youtube.com/watch?v=fHW1-8JOFy8</t>
  </si>
  <si>
    <t>https://www.youtube.com/watch?v=L63G-Rme0Q0</t>
  </si>
  <si>
    <t>Sabir Khan</t>
  </si>
  <si>
    <t>https://www.youtube.com/watch?v=RqVxvpfJ_xQ</t>
  </si>
  <si>
    <t>https://www.youtube.com/watch?v=bygJfvOBzTM</t>
  </si>
  <si>
    <t>https://youtu.be/neWuw5NQblM?si=rNwyRW6nlgjBvfIw</t>
  </si>
  <si>
    <t>https://youtu.be/OsqGNDyVNPs?si=Q4eSiZmRx8gvFTNd</t>
  </si>
  <si>
    <t>https://youtu.be/pN1rrC28Ga4?si=rle7vw-KGMlRveTK</t>
  </si>
  <si>
    <t>Pramod Deshmukh</t>
  </si>
  <si>
    <t>Hemshri</t>
  </si>
  <si>
    <t>https://youtu.be/LxhhGoAfWrE?si=SwZM8YR7N-Id3E9z</t>
  </si>
  <si>
    <t>Vishwajeet Ringe</t>
  </si>
  <si>
    <t>https://www.youtube.com/watch?v=dJImITW7mz4</t>
  </si>
  <si>
    <t>Krishna Toley</t>
  </si>
  <si>
    <t>https://www.youtube.com/watch?v=LBj90_hbtAo</t>
  </si>
  <si>
    <t>Hindol</t>
  </si>
  <si>
    <t>https://www.youtube.com/watch?v=kcm9TmlUJhk</t>
  </si>
  <si>
    <t>https://www.youtube.com/watch?v=nW2wh4op8NE</t>
  </si>
  <si>
    <t>https://www.youtube.com/watch?v=AmpUY_YbQAc</t>
  </si>
  <si>
    <t>https://www.youtube.com/watch?v=KJRLjsShqRU&amp;list=RDQMSV6ZQV5OPqg&amp;start_radio=1</t>
  </si>
  <si>
    <t>https://www.youtube.com/watch?v=o-nhJp4m5XA&amp;list=RDQMSV6ZQV5OPqg&amp;index=2</t>
  </si>
  <si>
    <t>https://www.youtube.com/watch?v=QaWOYuNci9w&amp;list=RDQMSV6ZQV5OPqg&amp;index=6</t>
  </si>
  <si>
    <t>https://www.youtube.com/watch?v=dd_owIm8nsA&amp;list=RDQMSV6ZQV5OPqg&amp;index=12</t>
  </si>
  <si>
    <t>https://youtu.be/pMLiKbuik9k?si=8mjoFiHLtnC1ymoo</t>
  </si>
  <si>
    <t>https://youtu.be/Zfagfqf9R4c?si=XeRL_1zk2QPiJVoZ</t>
  </si>
  <si>
    <t>Jaijaiwanti</t>
  </si>
  <si>
    <t>https://youtu.be/jFRUQaUEuSs?si=0DGhrSc53Z96oT4R</t>
  </si>
  <si>
    <t>https://youtu.be/LFL2QU19_Hg?si=t1w4un-LbVaYxTT6</t>
  </si>
  <si>
    <t>https://youtu.be/Ii3ZKKV5FEw?si=fuFC589jUI8hkePr</t>
  </si>
  <si>
    <t>https://youtu.be/kAzxck6ijxg?si=OX4VJ4cf-tMhp9Zf</t>
  </si>
  <si>
    <t>https://youtu.be/MzEr0Z3a5UE?si=UgQxysrkG-UmU8kF</t>
  </si>
  <si>
    <t>https://youtu.be/X-O-aKH_vNQ?si=2w2jqTCrfZQrkVIi</t>
  </si>
  <si>
    <t>https://youtu.be/s0mqOz3F6qQ?si=ohhzsVt2k7mU9q9N</t>
  </si>
  <si>
    <t>https://youtu.be/JXCU8PInAYA?si=7j9GW3a0GiQM7TKc</t>
  </si>
  <si>
    <t>https://youtu.be/HIgqgVocOrQ?si=72wfp44GK04le573</t>
  </si>
  <si>
    <t>https://youtu.be/1JlKvzPVFJY?si=QnMJiteQIcxlS0pl</t>
  </si>
  <si>
    <t>Jaldhar Kedar</t>
  </si>
  <si>
    <t>https://www.youtube.com/watch?v=p1WHScB-Bx8</t>
  </si>
  <si>
    <t>https://www.youtube.com/watch?v=9WZX8lSyGSw</t>
  </si>
  <si>
    <t>Sudhree Jyostsana Keshav Bhole</t>
  </si>
  <si>
    <t>https://youtu.be/C2vMvlJlYDg?si=K8c4O5fW-sTEnVyw</t>
  </si>
  <si>
    <t>Jaldhar Basanti</t>
  </si>
  <si>
    <t>https://www.youtube.com/watch?v=VF3SYl0udts</t>
  </si>
  <si>
    <t>Bhuvanesh Komkali</t>
  </si>
  <si>
    <t>https://www.youtube.com/watch?v=BkXDu8L0d9M</t>
  </si>
  <si>
    <t>K. G. Ginde</t>
  </si>
  <si>
    <t>https://www.youtube.com/watch?v=yV1dYi3HoGY</t>
  </si>
  <si>
    <t>Umesh Munavalli</t>
  </si>
  <si>
    <t>https://youtu.be/heqmHue-6Vk?si=5AcubSU9z9l9cAch</t>
  </si>
  <si>
    <t>Kumar Prasad Mukherjee</t>
  </si>
  <si>
    <t>https://youtu.be/ovP2jobtPv4?si=dEOmmSNObOTAdJrv</t>
  </si>
  <si>
    <t>Ram Marathe</t>
  </si>
  <si>
    <t>Jaunpuri</t>
  </si>
  <si>
    <t>https://youtu.be/hR2W1VKIJOE?si=RYvhXN69li1n4BQD</t>
  </si>
  <si>
    <t>https://www.youtube.com/watch?v=BxNYA-2uNVc&amp;list=RDQM848WvTr7J8M&amp;start_radio=1</t>
  </si>
  <si>
    <t>https://youtu.be/qe7pEBUhnq8?si=6GSTPZ_a84Wt1sip</t>
  </si>
  <si>
    <t>https://youtu.be/E9YvtB1-YNw?si=JjT7Dw1wOBsvzRQk</t>
  </si>
  <si>
    <t>https://youtu.be/B8aqvMLfJyk?si=6j9MAjUgC7bBfmmW</t>
  </si>
  <si>
    <t>https://youtu.be/JGKiEbGqdkY?si=yIEVsf5FMHGeDMVh</t>
  </si>
  <si>
    <t>Rajan Sajan mishra</t>
  </si>
  <si>
    <t>https://youtu.be/Prv2-80sJ1I?si=OC69vd06MqXhPD1r</t>
  </si>
  <si>
    <t>https://youtu.be/A9xzW0SP4hs?si=i1VLR00zr56HbBQ0</t>
  </si>
  <si>
    <t>https://youtu.be/wYnXdKHyxHM?si=iepgAT7x3_Gdeew1</t>
  </si>
  <si>
    <t>Jayat</t>
  </si>
  <si>
    <t>https://youtu.be/D_NgPkRt89c?si=0nhVmMJ8H-8lGyAn</t>
  </si>
  <si>
    <t>https://youtu.be/D0kCJWegcMg?si=Vck_hQvBYKqozIQ2</t>
  </si>
  <si>
    <t>https://youtu.be/BZKo4o3hBB4?si=9q77-y1r-Cq8QK21</t>
  </si>
  <si>
    <t>Bhaskar Das</t>
  </si>
  <si>
    <t>https://youtu.be/cjF0VxYXv1Q?si=osY_1zDbC5rwL0DY</t>
  </si>
  <si>
    <t>Sharad Gokhale</t>
  </si>
  <si>
    <t>https://youtu.be/QSDGCtchpfQ?si=ca2SxxxvjgDmCk93</t>
  </si>
  <si>
    <t>https://youtu.be/2_xtgEsQVyo?si=eCtrOyDnJuRyaBiu</t>
  </si>
  <si>
    <t>Vijaya Jadhav Gatlewal</t>
  </si>
  <si>
    <t>https://youtu.be/orj543WjUC0?si=iqjUl_TGS-gh4uHK</t>
  </si>
  <si>
    <t>Jhinjoti</t>
  </si>
  <si>
    <t>https://youtu.be/gPfg701K_CU?si=QAETZqFOBR9AylVC</t>
  </si>
  <si>
    <t>https://youtu.be/T0mXtyi1Gsg?si=IMLPLEqfA8va4Hyg</t>
  </si>
  <si>
    <t>https://youtu.be/BxnmSAD81Sc?si=mzWysLl-Rb6H68fp</t>
  </si>
  <si>
    <t>https://youtu.be/racYrXYRJQc?si=YqSTUkBCrLoMUydq</t>
  </si>
  <si>
    <t>https://youtu.be/ufUCBbMrk1g?si=ejTWGolnofc78OGJ</t>
  </si>
  <si>
    <t>https://youtu.be/Es3sea4IRes?si=NCZyAaW8LPiEZzqh</t>
  </si>
  <si>
    <t>Harish Tiwari</t>
  </si>
  <si>
    <t>https://youtu.be/TvVtcfXZgWY?si=-DJQItQtr0FMIrxo</t>
  </si>
  <si>
    <t>https://youtu.be/NQVNe4pUWs0?si=VKoxjUyh4kk2QL_l</t>
  </si>
  <si>
    <t>https://www.youtube.com/watch?v=ZyV2pyRg8S8</t>
  </si>
  <si>
    <t>Madan Mohan</t>
  </si>
  <si>
    <t>https://www.youtube.com/watch?v=dA8y4dQuq3c</t>
  </si>
  <si>
    <t>Mohammad Rafi</t>
  </si>
  <si>
    <t>Jog</t>
  </si>
  <si>
    <t>Shrinivas Joshi</t>
  </si>
  <si>
    <t>Kaustav Kanti Ganguly</t>
  </si>
  <si>
    <t>Jogkauns</t>
  </si>
  <si>
    <t>https://youtu.be/Zm45sk5Ef18?si=agtrBPayagg9ogfO</t>
  </si>
  <si>
    <t>https://youtu.be/OImw3pgLgYI?si=UWfDyQzyc3LtCrmw</t>
  </si>
  <si>
    <t>https://youtu.be/45T5nM3dBoA?si=odYK0dy9q27lYj5w</t>
  </si>
  <si>
    <t>https://youtu.be/TTKY92oj2uw?si=OIHfu68g1w40TDDd</t>
  </si>
  <si>
    <t>https://youtu.be/xPf3BAdVcXU?si=PTfB3wxrv3jtnd6L</t>
  </si>
  <si>
    <t>https://youtu.be/jNj-n3QvVPs?si=uuV5n9V2UWmanhwq</t>
  </si>
  <si>
    <t>https://youtu.be/6_Q983uTU_8?si=WnrBJjbLiAxAQxp3</t>
  </si>
  <si>
    <t>https://youtu.be/oa2czuykJCE?si=9Wj2IT-f4Gi3TOP1</t>
  </si>
  <si>
    <t>Kashyap Bandhu</t>
  </si>
  <si>
    <t>https://youtu.be/6UyMyr7YRKQ?si=IzNugk3BdvoSMKRK</t>
  </si>
  <si>
    <t>https://youtu.be/4a9WMtbsCFs?si=AHihUGk04zPI8fxH</t>
  </si>
  <si>
    <t>Kafi</t>
  </si>
  <si>
    <t>https://youtu.be/DFqqyzKUmjs?si=Ka2XujnjSjNwW1yS</t>
  </si>
  <si>
    <t>https://youtu.be/mtY7ByTh0es?si=GplgkILSDsgD4zLp</t>
  </si>
  <si>
    <t>Pratik Shrivastava</t>
  </si>
  <si>
    <t>https://youtu.be/zDh0kHAVBcQ?si=WGvL_kdsmiFvj6sb</t>
  </si>
  <si>
    <t>Kala Ramnath</t>
  </si>
  <si>
    <t>https://youtu.be/2g11f-P5sHA?si=qTT6jJEhODxhLV3E</t>
  </si>
  <si>
    <t>https://youtu.be/PdBnw8lfK8A?si=ur3ZPpZRg6dllpYT</t>
  </si>
  <si>
    <t>https://youtu.be/FdWEI-RvScU?si=cM-ktoowy0ch6BaW</t>
  </si>
  <si>
    <t>https://youtu.be/ncL5lc-pszQ?si=RdqC_YBZ4__vmbPc</t>
  </si>
  <si>
    <t>https://youtu.be/ZNxorE2hZn0?si=Xfr5iSTT2bhfgUSm</t>
  </si>
  <si>
    <t>https://youtu.be/cYtARn9x0NI?si=lC8O_hEmHy0QWe3t</t>
  </si>
  <si>
    <t>https://youtu.be/5WKd7zXf1wg?si=tHUz3B9n4Mj0aOwM</t>
  </si>
  <si>
    <t>Kamod</t>
  </si>
  <si>
    <t>https://youtu.be/LsXkq3Bc16E?si=RhMUuztcYOYVBtBW</t>
  </si>
  <si>
    <t>https://youtu.be/feWqgGAQ2Hs?si=zRBHRMTP3-T4EZDk</t>
  </si>
  <si>
    <t>https://youtu.be/u1-Y4lWOBtY?si=A-7v-59u4jIdTAA5</t>
  </si>
  <si>
    <t>https://youtu.be/4HBG8pMvwcw?si=WHu_7l66UQP8kYM_</t>
  </si>
  <si>
    <t>Aditya Modak</t>
  </si>
  <si>
    <t>https://youtu.be/SQu4DcDgtwY?si=stXUULYTbsZIC1Mt</t>
  </si>
  <si>
    <t>https://youtu.be/_Wrq9S5O4vw?si=Fw4C7dGOQd-6L8Sq</t>
  </si>
  <si>
    <t>https://youtu.be/y_PjbArrUYo?si=XDDbKw_11c0QT9Gl</t>
  </si>
  <si>
    <t>https://youtu.be/pKn_pYFHYXI?si=fqAGHe3Qa1Sak2Pm</t>
  </si>
  <si>
    <t>https://youtu.be/vX3MyKjP5vs?si=KIJhLfgcUc5Mexyj</t>
  </si>
  <si>
    <t>https://youtu.be/LPr1voQFWN4?si=3t1vUoooL6O2KHlY</t>
  </si>
  <si>
    <t>Rahul Deshpande</t>
  </si>
  <si>
    <t>Kaunsi Kanada</t>
  </si>
  <si>
    <t>https://youtu.be/G2OUrXkMlSQ?si=BvAx1RER21Pe0WJN</t>
  </si>
  <si>
    <t>https://youtu.be/8ODGpL-V_ZQ?si=jhVpoupwHtaUSv8M</t>
  </si>
  <si>
    <t>https://youtu.be/DNYk0cffr98?si=NrsEJfa4Rqd8nFDV</t>
  </si>
  <si>
    <t>https://youtu.be/bjVjWKpr-ag?si=UPiErlNXstPQnMDE</t>
  </si>
  <si>
    <t>https://youtu.be/rX73UeSEx6o?si=Jkl3UVztb7yFJes6</t>
  </si>
  <si>
    <t xml:space="preserve">Alla Rakha Kalawant </t>
  </si>
  <si>
    <t>https://youtu.be/iTlWT3aOitw?si=6OmZnBPioisxcLu6</t>
  </si>
  <si>
    <t>https://youtu.be/zNFHFMJktVU?si=9jlXI3nx4pezA6lC</t>
  </si>
  <si>
    <t>https://youtu.be/LdF8n5uRMZk?si=kI8xt4JE2ZdbhTbX</t>
  </si>
  <si>
    <t>Bahauddin Dagar</t>
  </si>
  <si>
    <t>https://youtu.be/bv1erGwRCBw?si=MAQkBfbHu6nHvuaC</t>
  </si>
  <si>
    <t>https://www.youtube.com/watch?v=jyb9LAY7BCA&amp;list=PL-sO0pd2ZajQzBFSEeX8IQ4nTP-cFZP9O</t>
  </si>
  <si>
    <t>Surbahar</t>
  </si>
  <si>
    <t>Annapurna Devi</t>
  </si>
  <si>
    <t>Kaushik Dhwani</t>
  </si>
  <si>
    <t>https://youtu.be/q69GQuZL6jI?si=VIPneXsiR5E37cgL</t>
  </si>
  <si>
    <t>https://youtu.be/tXY-Up7JDn0?si=ruFHB1ZbQVuzKPIC</t>
  </si>
  <si>
    <t>https://youtu.be/GeYe7sjzA_k?si=Nn98vFgdEoBMfb6r</t>
  </si>
  <si>
    <t>https://youtu.be/bvkuuo0Y5Ac?si=9Z9oNeyBUFE3eFkc</t>
  </si>
  <si>
    <t>https://youtu.be/ELzfGbt8xlM?si=BpBD0lyq3TD_QrN4</t>
  </si>
  <si>
    <t>https://youtu.be/t9hh_411RYQ?si=AAMGlTwL0M_FXpD9</t>
  </si>
  <si>
    <t>Rakesh Chaurasia</t>
  </si>
  <si>
    <t>https://youtu.be/TiGK1GOa_WU?si=Sane9YkUxBbJ5QEV</t>
  </si>
  <si>
    <t>https://youtu.be/vk-nmx17Y_k?si=N7bjVPd2xo7BhEw_</t>
  </si>
  <si>
    <t>Fariha Parvez</t>
  </si>
  <si>
    <t>https://youtu.be/r2APW1j9I8I?si=0V_frjQly7eifVz1</t>
  </si>
  <si>
    <t>https://youtu.be/SbsEHkcpSCw?si=1tE6ifNzTdAN80Zi</t>
  </si>
  <si>
    <t>Shahzad Ali Khan</t>
  </si>
  <si>
    <t>Kedar</t>
  </si>
  <si>
    <t>Khamaj</t>
  </si>
  <si>
    <t>Khambhavati</t>
  </si>
  <si>
    <t>https://youtu.be/3g4I0IzpBbQ?si=D0iCt3nD0GMc63NZ</t>
  </si>
  <si>
    <t>https://youtu.be/jS_hrCj-4wA?si=5QMJOZGcO6iRiO8O</t>
  </si>
  <si>
    <t>https://youtu.be/v1w61MlvKAU?si=g-HMb1vN5zTngubc</t>
  </si>
  <si>
    <t>https://youtu.be/DEld5lF_ms0?si=xNJFNay5tfIzKMZ2</t>
  </si>
  <si>
    <t>https://youtu.be/oPT03wh_CuM?si=aOGJhAoQgJO9Q4ZH</t>
  </si>
  <si>
    <t>Gangubhai Hangal</t>
  </si>
  <si>
    <t>https://youtu.be/QNC2oPxD3es?si=CqXHHPsJSG0XxgWw</t>
  </si>
  <si>
    <t>Vinayak Torvi</t>
  </si>
  <si>
    <t>https://youtu.be/nuCOB4dl9FA?si=53pKJrevFooLUBhI</t>
  </si>
  <si>
    <t>https://youtu.be/ALlftHVVlLk?si=3hYOPWy1sSzWLN8Y</t>
  </si>
  <si>
    <t>Kirwani</t>
  </si>
  <si>
    <t>https://youtu.be/wM65ML547Ho?si=-4dWUN3Vndh5YwJ-</t>
  </si>
  <si>
    <t>https://youtu.be/ncQaY1iA15U?si=FrCp_j_z6LpcNlWc</t>
  </si>
  <si>
    <t>https://youtu.be/xrhtPK5-RSM?si=Tz7WYiN_GUEGOhA0</t>
  </si>
  <si>
    <t>https://youtu.be/b_BMoFwbNQY?si=lUbe_wsFpAbLPgmI</t>
  </si>
  <si>
    <t>https://youtu.be/KEygiM7E8yU?si=rgaMA9Oup0U3Hrbq</t>
  </si>
  <si>
    <t>Vijay Koparkar</t>
  </si>
  <si>
    <t>https://youtu.be/_Uge3_CKQNU?si=V8TagcTjHv6hcGXX</t>
  </si>
  <si>
    <t>https://youtu.be/5r0mq_paPxg?si=P3En2mMtLq6rRCl_</t>
  </si>
  <si>
    <t>https://youtu.be/i051DNFnd68?si=w52mBivLcEBilrbA</t>
  </si>
  <si>
    <t>Krishna Bongane</t>
  </si>
  <si>
    <t>https://youtu.be/J-wt2snhhQc?si=RSF1xoxsW9umiUyu</t>
  </si>
  <si>
    <t>https://youtu.be/bRdrbdPif8E?si=FJv-Ui_g28iRZC4b</t>
  </si>
  <si>
    <t>Trina Chatterjee</t>
  </si>
  <si>
    <t>Lalit</t>
  </si>
  <si>
    <t>Lanka Dahan Sarang</t>
  </si>
  <si>
    <t>https://youtu.be/zV1IG1SepqA?si=dSrF3_Td_2MvB7Nf</t>
  </si>
  <si>
    <t>https://youtu.be/_zMinS2c9qA?si=N_z1Nw-l-D_PaKu-</t>
  </si>
  <si>
    <t>Manjini Asanare</t>
  </si>
  <si>
    <t>https://youtu.be/s83Fj8SEs-k?si=S1wYHvrY0U5TMb_1</t>
  </si>
  <si>
    <t>https://youtu.be/PV15vohXgG0?si=JhnYi21vmpgjqcE8</t>
  </si>
  <si>
    <t>Dinkar Panshikar</t>
  </si>
  <si>
    <t>https://youtu.be/KtmyOUEDpXA?si=wQUlaV84CPC6XFyg</t>
  </si>
  <si>
    <t xml:space="preserve">Vilayat Hussain Khan </t>
  </si>
  <si>
    <t>https://youtu.be/SprppaO9GYY?si=SwZLg6b6yVeSXMty</t>
  </si>
  <si>
    <t>Rajendra Prasanna</t>
  </si>
  <si>
    <t>https://youtu.be/k-RfFGPFUOQ?si=8sjZ45XV_f1NBxjf</t>
  </si>
  <si>
    <t xml:space="preserve">Rajeev Taranath </t>
  </si>
  <si>
    <t>https://youtu.be/CN48HtVdgVU?si=T3E56S3CVSVu5aQ5</t>
  </si>
  <si>
    <t>Khadim Hussain Khan</t>
  </si>
  <si>
    <t>https://youtu.be/1s35FHQlESY?si=dVbegNokUS1u9MbB</t>
  </si>
  <si>
    <t>Shakoor Khan</t>
  </si>
  <si>
    <t>Madhukauns</t>
  </si>
  <si>
    <t>Aarti Anklikar Tikekar</t>
  </si>
  <si>
    <t>Madhumand Sarang</t>
  </si>
  <si>
    <t>https://youtu.be/YZujnbeOaO8?si=TKCOs8zIAj2fdU1t</t>
  </si>
  <si>
    <t>https://youtu.be/vxGSeCi72nE?si=jGnP3hiWIMYz0XMY</t>
  </si>
  <si>
    <t>https://youtu.be/1WpuANyTX1s?si=-JrbVbNF3XNM5sPi</t>
  </si>
  <si>
    <t>https://youtu.be/VdostKXHFpo?si=u30Iy34GTvBbUpS5</t>
  </si>
  <si>
    <t>Mashkoor Ali Khan</t>
  </si>
  <si>
    <t>https://youtu.be/DerC0YmGft4?si=xJrcru3JiudaIvgN</t>
  </si>
  <si>
    <t>Geeta Gulvady</t>
  </si>
  <si>
    <t>https://youtu.be/1xv00HKtOcE?si=PZLyHciCSZHF3fsG</t>
  </si>
  <si>
    <t>https://youtu.be/ZqgW7I1tpkk?si=fyH16iE1t8aLgcxo</t>
  </si>
  <si>
    <t>https://youtu.be/glqTRXkbRbc?si=ia5zimQE49UwOfaL</t>
  </si>
  <si>
    <t>https://youtu.be/kjUZzGNqm5g?si=nBtLwXsVo6EH33xt</t>
  </si>
  <si>
    <t>https://youtu.be/lH15Iv2uX2g?si=i2NqCsPtMV9VWvqE</t>
  </si>
  <si>
    <t>Madhuvanti</t>
  </si>
  <si>
    <t>https://youtu.be/nMo351735os?si=LSQwbSaeIUiv5wY-</t>
  </si>
  <si>
    <t>https://youtu.be/mtCHo-53QGQ?si=H-xlPF6hLFZCO2NQ</t>
  </si>
  <si>
    <t>https://youtu.be/yFICh0o79bI?si=4bKaCSYB5L-LiRjL</t>
  </si>
  <si>
    <t>https://youtu.be/CTKBESpQVFY?si=PHyxC3oGIGaQYu3p</t>
  </si>
  <si>
    <t>https://youtu.be/F8Rlfm36dN8?si=HX1wMOa-ZVKSrnw4</t>
  </si>
  <si>
    <t>https://youtu.be/VTOX-_ecLC4?si=iZmI34Ju1J_b06on</t>
  </si>
  <si>
    <t>Subha Ghosh</t>
  </si>
  <si>
    <t>https://youtu.be/GZ3ihpi690I?si=BxnMHVSmei8vilGB</t>
  </si>
  <si>
    <t>https://youtu.be/zgdS5mnaSRU?si=UpE86_OfVaPYeAb5</t>
  </si>
  <si>
    <t>https://youtu.be/aWZdiCjtXC8?si=ZpgODbMQXcbkLN2E</t>
  </si>
  <si>
    <t>Rajnish Mishra, Ritesh Mishra</t>
  </si>
  <si>
    <t>Shubha Mudgal</t>
  </si>
  <si>
    <t>Malgunji</t>
  </si>
  <si>
    <t>https://youtu.be/2Yzi_PWuxLg?si=WDVl4IoAPG93WwWg</t>
  </si>
  <si>
    <t>https://youtu.be/ZO19_pYASog?si=7AMGQRQ8IV-0bE7p</t>
  </si>
  <si>
    <t>https://youtu.be/CYpjCJ1CRRk?si=NcU80oFY5Rn543Qd</t>
  </si>
  <si>
    <t>https://youtu.be/T7RXhwh6lTc?si=f3ZnjazQd9kdQ9Ms</t>
  </si>
  <si>
    <t>https://youtu.be/xhXRCYx_b_c?si=c0UCid5NWFvTNE-B</t>
  </si>
  <si>
    <t>https://youtu.be/arubSKCfNBA?si=muCe0Ywrqbg_LX8s</t>
  </si>
  <si>
    <t>https://youtu.be/XOMKtR3hPm8?si=x4Z4zPuyxx25X8MD</t>
  </si>
  <si>
    <t>https://youtu.be/bKQ2L8-qYDo?si=ZqUnnDaSUoCxtCz4</t>
  </si>
  <si>
    <t>https://youtu.be/oX8UKKBB4RI?si=GnawHFnuDVBU_jXj</t>
  </si>
  <si>
    <t>Vinayakrao Patwardhan</t>
  </si>
  <si>
    <t>Malkauns</t>
  </si>
  <si>
    <t>Kesarbai Kerkar</t>
  </si>
  <si>
    <t>Rattan Mohan Sharma</t>
  </si>
  <si>
    <t>Mand</t>
  </si>
  <si>
    <t>https://youtu.be/w8wsO4t3jK0?si=gWPNQYIGgQecOShy</t>
  </si>
  <si>
    <t>https://youtu.be/YjmAX7rqpNY?si=4NkVrspa-fW7hm8w</t>
  </si>
  <si>
    <t>https://youtu.be/Ie4Jwmzt8qU?si=GoUYr-zfrcA27IRy</t>
  </si>
  <si>
    <t>https://youtu.be/TndC4jTr2Xk?si=VRwn6zyDp8HpOc3-</t>
  </si>
  <si>
    <t>https://www.youtube.com/watch?v=emKJ5_cMEHk</t>
  </si>
  <si>
    <t>Lata Mangeshkar</t>
  </si>
  <si>
    <t>https://www.youtube.com/watch?v=e-g-GESCe20</t>
  </si>
  <si>
    <t>https://www.youtube.com/watch?v=yDeA4nvda3Q</t>
  </si>
  <si>
    <t>https://www.youtube.com/watch?v=anHvAeEYBQw</t>
  </si>
  <si>
    <t>https://www.youtube.com/watch?v=Mh0sQPQs6x0</t>
  </si>
  <si>
    <t>Manj Khamaj</t>
  </si>
  <si>
    <t>https://youtu.be/2MXKu617XBY?si=bp7VOYlHnLsa_t_W</t>
  </si>
  <si>
    <t>https://youtu.be/sUAhqXdPCoo?si=RZsyfuXP9TK-ypKN</t>
  </si>
  <si>
    <t>https://youtu.be/nVYvgQNokmo?si=FbdY1ofrT_jlkVxo</t>
  </si>
  <si>
    <t>https://youtu.be/K42ldGYcL70?si=hLquXGN_9PriMvVS</t>
  </si>
  <si>
    <t>Amol Gandharva</t>
  </si>
  <si>
    <t>https://youtu.be/FjOsaXzSVrI?si=BBxGA8pkmtsXNEZx</t>
  </si>
  <si>
    <t>https://youtu.be/s7-yc8DOxXY?si=xHp0Hr_lL7Awg-N2</t>
  </si>
  <si>
    <t>https://youtu.be/85xCjeGF4qM?si=Ee7rlxgg0axQen7Y</t>
  </si>
  <si>
    <t>https://youtu.be/A0r6HTE8PLw?si=vJ3cvZCuASEGrs7F</t>
  </si>
  <si>
    <t>https://youtu.be/BXygjtc5Oec?si=ffyKkMqY7nd9vRZ7</t>
  </si>
  <si>
    <t>https://youtu.be/NFi2K-rSR1Y?si=Ilg75Tx08L5lrXPg</t>
  </si>
  <si>
    <t>Maru Bihag</t>
  </si>
  <si>
    <t>Marwa</t>
  </si>
  <si>
    <t>Sameehan Kashalkar</t>
  </si>
  <si>
    <t>Megh</t>
  </si>
  <si>
    <t>https://youtu.be/gjJFISdrrB4?si=aMlph8ghJ3Q_byCx</t>
  </si>
  <si>
    <t>https://youtu.be/RXQRtAgZkyU?si=CFD2Y3bK12k-Jnn5</t>
  </si>
  <si>
    <t>https://youtu.be/0zZbbH1kuxc?si=pESgkmWiCbW0IepJ</t>
  </si>
  <si>
    <t>https://youtu.be/m-yqt5KBvqQ?si=C_jm8o68zVdwz9vy</t>
  </si>
  <si>
    <t>https://youtu.be/eA2_S9Pyds4?si=0EQBo9nr1Pow0OXL</t>
  </si>
  <si>
    <t>https://youtu.be/nriYn6EAq3U?si=QM-QGwEJXeRLmNmp</t>
  </si>
  <si>
    <t>https://youtu.be/jb-0SlklxzY?si=MMtXOLGUhgLY10Zu</t>
  </si>
  <si>
    <t>https://youtu.be/lnjhms7RgtI?si=IpCg7oYlojuMTUJL</t>
  </si>
  <si>
    <t>https://youtu.be/3wOvhJccIac?si=o3yt_4wBs4vSjVOM</t>
  </si>
  <si>
    <t>https://youtu.be/yODqTiXSCFA?si=InEvDWvcZoOuT0f7</t>
  </si>
  <si>
    <t>Megh Malhar</t>
  </si>
  <si>
    <t>https://youtu.be/HeBJ0LHliSo?si=ZNqf4U98krWUqi62</t>
  </si>
  <si>
    <t>https://youtu.be/Y1vG0Zyxp8U?si=0DOMnakEvEca1PsU</t>
  </si>
  <si>
    <t>https://youtu.be/PXWa6efHwcA?si=SzHmWJJOFJkjjXPI</t>
  </si>
  <si>
    <t>Arati Analikar, Devaki Pandit</t>
  </si>
  <si>
    <t>https://youtu.be/fu09lxVMHuw?si=qvYWuT43XdEOgDWJ</t>
  </si>
  <si>
    <t>https://youtu.be/Xj6WaAzyWBI?si=THLEHlmBu4xmC3v_</t>
  </si>
  <si>
    <t>Ruchi Fonesca</t>
  </si>
  <si>
    <t>https://www.youtube.com/watch?v=OHn6a-_Dt5w&amp;list=RDQMjqntcmzWFe4&amp;start_radio=1</t>
  </si>
  <si>
    <t>Miyan ki Malhar</t>
  </si>
  <si>
    <t>Multani</t>
  </si>
  <si>
    <t>https://youtu.be/HWukj_DQ8W8?si=_k_-JIUggtWlReBV</t>
  </si>
  <si>
    <t>https://youtu.be/dRkN_2y8Slc?si=IEXhaicHWyHujxj_</t>
  </si>
  <si>
    <t>Anand Gopal</t>
  </si>
  <si>
    <t>https://youtu.be/mvl0pOjzHXk?si=4JQ44b0f7BdVS0y7</t>
  </si>
  <si>
    <t>https://youtu.be/QwONU9X5c5c?si=gCUK52Cde6LNTL02</t>
  </si>
  <si>
    <t>https://youtu.be/Xvv5qpH_OT8?si=Zq6Hm3-667JWj6Kv</t>
  </si>
  <si>
    <t>https://youtu.be/bv6Q9G9w0VA?si=Ua945j5qFh3L9rH0</t>
  </si>
  <si>
    <t>https://youtu.be/1hWAOReJehw?si=MW-vx8ec70nko1r5</t>
  </si>
  <si>
    <t>https://youtu.be/kjgRHd6FaAo?si=MNMATSY8gE_RtbOP</t>
  </si>
  <si>
    <t>https://youtu.be/M2dIF09soQo?si=5sA8EdbiLal91aqv</t>
  </si>
  <si>
    <t>https://youtu.be/7yFnaXK2fNE?si=Cmd2iIF5XONqqDxt</t>
  </si>
  <si>
    <t>Nand</t>
  </si>
  <si>
    <t>https://youtu.be/9z_QhSnekHE?si=cPnCxMHoK9edJAS_</t>
  </si>
  <si>
    <t>https://youtu.be/Y5whMoPfE9s?si=GMjKGIPQPF6RqF3S</t>
  </si>
  <si>
    <t>https://youtu.be/BHeuhfWcqT0?si=M8fGDaWNdF6IY79D</t>
  </si>
  <si>
    <t>https://youtu.be/W3kCjgrStW8?si=zhId9Mgo0Kk4TtFn</t>
  </si>
  <si>
    <t>Omkarnath Havaldar</t>
  </si>
  <si>
    <t>https://youtu.be/W8gri1p51Qk?si=NMVY4xzwasJgyOpt</t>
  </si>
  <si>
    <t>https://youtu.be/49hTmBpJ-vc?si=ZlcVWrTHDeR4I66j</t>
  </si>
  <si>
    <t>https://youtu.be/32GqvgRfGn8?si=yeoj5zggaDo76CfO</t>
  </si>
  <si>
    <t>https://youtu.be/C8owHKOWTQE?si=MrhZxheSTjT3-3e4</t>
  </si>
  <si>
    <t>Shruti Abhyankar</t>
  </si>
  <si>
    <t>https://youtu.be/PQ7QxpvLo9M?si=bgYZjeSWMXGJv8ux</t>
  </si>
  <si>
    <t>https://www.youtube.com/watch?v=JHgsGsozAl0&amp;list=PLQHNKf9B6MduhBXoGjU3vRVMy5hNPAQ4W</t>
  </si>
  <si>
    <t>https://youtu.be/vdemybLmpss?si=L0MX205FcBc9I8lP</t>
  </si>
  <si>
    <t>Narayani</t>
  </si>
  <si>
    <t>https://youtu.be/8vR550wUJno?si=1_3NXlPfiYDN5mwv</t>
  </si>
  <si>
    <t>https://youtu.be/7nUARP2jpOs?si=DnR5eVWNRaB1aWRG</t>
  </si>
  <si>
    <t>https://youtu.be/ADGzWbZzElw?si=BWGk-GXNXd8BWukA</t>
  </si>
  <si>
    <t>https://youtu.be/MRNkYR9xtFU?si=lKHxQw4gjTpSslfW</t>
  </si>
  <si>
    <t>https://youtu.be/8cjbNwvgtCU?si=7tfuET4z9tTEmNKP</t>
  </si>
  <si>
    <t>Raj Rangayyan</t>
  </si>
  <si>
    <t>https://youtu.be/DTzLBeo676Q?si=bmGeJAmtI6s__PIm</t>
  </si>
  <si>
    <t>Debapriya Adhikary</t>
  </si>
  <si>
    <t>https://youtu.be/meSCEMoeJx8?si=wlZHgmS72vimremt</t>
  </si>
  <si>
    <t>S N Ratanjankar</t>
  </si>
  <si>
    <t>https://youtu.be/H7LqH8jWBJ4?si=tLx8-YjjA2muSYAd</t>
  </si>
  <si>
    <t>Mubarak Ali Khan</t>
  </si>
  <si>
    <t>Nat Bhairav</t>
  </si>
  <si>
    <t>https://youtu.be/JZnPFOH5vUg?si=4Y__JrNqlmY-ORkF</t>
  </si>
  <si>
    <t>https://youtu.be/3R0olDTS9wI?si=2FXvf17F_Tw3v-92</t>
  </si>
  <si>
    <t>https://youtu.be/7jPOwDapXiI?si=Mrrq3MUpShKFYCmP</t>
  </si>
  <si>
    <t>https://youtu.be/uMY_ECALRTU?si=04LjJP9gO3VtMQha</t>
  </si>
  <si>
    <t>https://youtu.be/YkJkwqJE0fU?si=1dmeuwBZ6ICKgTha</t>
  </si>
  <si>
    <t>https://youtu.be/M77-d0UISmw?si=NL8R7Yio1cJylyxc</t>
  </si>
  <si>
    <t>https://youtu.be/Crwj1Ze2T-A?si=4Q6jL3E4uEXadm-8</t>
  </si>
  <si>
    <t>https://youtu.be/xxAGsZzI7So?si=-s2bsG6H89aXZnqf</t>
  </si>
  <si>
    <t>https://youtu.be/jXHmB-wZDX0?si=khuYIUo8sxhGwa0b</t>
  </si>
  <si>
    <t>https://youtu.be/G0V0q_yA49U?si=6AOMjvVNrVq76p_9</t>
  </si>
  <si>
    <t>Nirali Kartik</t>
  </si>
  <si>
    <t>Nayaki Kanada</t>
  </si>
  <si>
    <t>https://youtu.be/BwIyLj7VpQ0?si=_W5DXikSIyc_AuKV</t>
  </si>
  <si>
    <t>https://youtu.be/VDDoGt2UM84?si=BMxcBLmcSGS9iz79</t>
  </si>
  <si>
    <t>https://youtu.be/ZiM72z7aPiQ?si=JNos2ySGrSV_GMki</t>
  </si>
  <si>
    <t>https://youtu.be/xZdI6oyOJa4?si=oFV5n-RBKZQgbP-M</t>
  </si>
  <si>
    <t>https://youtu.be/qMQqrooHn3c?si=-vYl72J5fXpplJb9</t>
  </si>
  <si>
    <t>https://youtu.be/J06A4nZ2lW4?si=cQPmjohJjrq86nj-</t>
  </si>
  <si>
    <t>https://youtu.be/YPSgoighuz4?si=grvI0bcKELirJCyt</t>
  </si>
  <si>
    <t>https://youtu.be/L2ZbygWGd7E?si=k5ZdYe0oaABkUdzs</t>
  </si>
  <si>
    <t>https://youtu.be/XQBSkESiuZI?si=OSzRoqWdwRRqT7ds</t>
  </si>
  <si>
    <t>Pahadi</t>
  </si>
  <si>
    <t>https://youtu.be/EpdeNA8FHUU?si=lFCo6OMrtMCKEqO6</t>
  </si>
  <si>
    <t>https://youtu.be/BdSodSMqNcA?si=6IW9yvLidgA7N8bD</t>
  </si>
  <si>
    <t>Abhishek Raghuram</t>
  </si>
  <si>
    <t>https://youtu.be/lGN8HyClErk?si=dl-6kAmzpnYHRxzZ</t>
  </si>
  <si>
    <t>Shivkumar Sharma</t>
  </si>
  <si>
    <t>https://youtu.be/oiyiMTKsAXI?si=JfC_jc_JELGvOTWS</t>
  </si>
  <si>
    <t>https://youtu.be/tA7R3WkE284?si=ydvck1zzyz8TjUiU</t>
  </si>
  <si>
    <t>https://youtu.be/PgCmcqIeN0w?si=-so5lMAizqmnabo-</t>
  </si>
  <si>
    <t>https://youtu.be/u3fJQ_XFoBI?si=Wq5EakdQDTYCbR6q</t>
  </si>
  <si>
    <t>https://youtu.be/lgifZKA_f2Y?si=qwqp77W2_OKtCUyM</t>
  </si>
  <si>
    <t>https://youtu.be/UNhXLW3Se74?si=lR-frGv8HUN3vGxz</t>
  </si>
  <si>
    <t>https://youtu.be/na3aEp1DeX4?si=gyJU5WRtZk6VyUW4</t>
  </si>
  <si>
    <t>Parameshwari</t>
  </si>
  <si>
    <t>https://youtu.be/dRs56S5O-v8?si=zb3DKU2U7JFXGXze</t>
  </si>
  <si>
    <t>https://youtu.be/2ywtkfHvbR8?si=XKkax8RpFaNt8z_-</t>
  </si>
  <si>
    <t>https://youtu.be/bYeMfRD3Hi8?si=eGQymHdNaG-q1tfq</t>
  </si>
  <si>
    <t>Kushal Das</t>
  </si>
  <si>
    <t>https://youtu.be/G8wHA-rEnHo?si=TaxYsBH-OmPACaaS</t>
  </si>
  <si>
    <t>https://youtu.be/Nin99dMWv_o?si=aM8l9CQnJYHrx0Y4</t>
  </si>
  <si>
    <t>https://youtu.be/HjR6o_TiPfA?si=wXax3HnMHmM5WNfA</t>
  </si>
  <si>
    <t>Ronu Majumdar</t>
  </si>
  <si>
    <t>https://youtu.be/88X-qa4P3Iw?si=ZZlr37VDzze98m_P</t>
  </si>
  <si>
    <t>https://youtu.be/dDGGVpQUrOo?si=rY2K_JCaWJ3zlj1A</t>
  </si>
  <si>
    <t>Tejas Koparkar</t>
  </si>
  <si>
    <t>Patdeep</t>
  </si>
  <si>
    <t>https://youtu.be/wXuIa6OFOCE?si=hHhQOseCa8iHREAs</t>
  </si>
  <si>
    <t>https://youtu.be/P4UwqxAnWZs?si=csc9fSBiN4ikmDrO</t>
  </si>
  <si>
    <t>https://youtu.be/eNKpNu9Ja8g?si=liKJmu92QvfV7nxF</t>
  </si>
  <si>
    <t>https://youtu.be/QxtUT8fUOS8?si=brVf736Jp4b1f7gj</t>
  </si>
  <si>
    <t>https://youtu.be/DJCXKGC1FuM?si=kjy4hKNXDypBazXZ</t>
  </si>
  <si>
    <t>https://youtu.be/lp7gAzKvl0M?si=iBmHOEFrmfOVXz3-</t>
  </si>
  <si>
    <t>https://youtu.be/fFdAR6znIlY?si=KsiZ9U60uWg_pLGA</t>
  </si>
  <si>
    <t>https://youtu.be/ZMNOeX9UALk?si=XIcBOjqoN-dKnnr_</t>
  </si>
  <si>
    <t>Dilshad Khan</t>
  </si>
  <si>
    <t>https://youtu.be/jZp1dmcwV3s?si=h3maQ8sf4FRY6DLL</t>
  </si>
  <si>
    <t>Atri Kotal</t>
  </si>
  <si>
    <t>https://youtu.be/ZwkjYAAsfKc?si=KgvettoULf_LTcqY</t>
  </si>
  <si>
    <t>Pilu</t>
  </si>
  <si>
    <t>https://youtu.be/b4axavWSFoo?si=HNOkmys0bUm5_Xc-</t>
  </si>
  <si>
    <t>https://youtu.be/smQYC1aARjA?si=or4y46qH9Tb8Xqm6</t>
  </si>
  <si>
    <t>https://youtu.be/SpvSt1q-VoU?si=EnHscuIK2tctkQnS</t>
  </si>
  <si>
    <t>https://youtu.be/_XuJvTUNeRU?si=RLLV5HsB0jkihO8M</t>
  </si>
  <si>
    <t>https://youtu.be/vWjjooBAFz8?si=9ESQ1ra3aOmc-P-0</t>
  </si>
  <si>
    <t>https://youtu.be/tIC9MSf0O_c?si=d0D8l1rQtdWG2DPJ</t>
  </si>
  <si>
    <t>https://youtu.be/xfrdURs549g?si=pzEXMAuCVG0xALVH</t>
  </si>
  <si>
    <t>Ghulam Ali</t>
  </si>
  <si>
    <t>Poorvi</t>
  </si>
  <si>
    <t>https://youtu.be/_qyGPiXBfwc?si=qo1_sU0UfBKB8mVs</t>
  </si>
  <si>
    <t>Mukul Kulkarni</t>
  </si>
  <si>
    <t>https://youtu.be/VD12iexjVqU?si=01MON3NdR2jJ71cm</t>
  </si>
  <si>
    <t>https://youtu.be/HjiBHC7Q8kM?si=xa-eQR3ch08DBmA3</t>
  </si>
  <si>
    <t>https://youtu.be/OGEqncJNu5o?si=2AsNAUBXm6FMEDVd</t>
  </si>
  <si>
    <t>https://youtu.be/_zpODC7mWNc?si=un2f0kK_XsOq0dD7</t>
  </si>
  <si>
    <t>Hiranmayee S</t>
  </si>
  <si>
    <t>https://youtu.be/ql3j5vHVhtY?si=zcllrXi7Jk-8YM4U</t>
  </si>
  <si>
    <t>https://youtu.be/1KpPthHsjMo?si=b2FJxFNhQEGat-Vo</t>
  </si>
  <si>
    <t>https://youtu.be/c6A6g8NlroM?si=tlQpit1A54F2Ia_M</t>
  </si>
  <si>
    <t>https://youtu.be/lxVz0J9ilvU?si=ILuEMIDz5hUg9Gyc</t>
  </si>
  <si>
    <t>https://youtu.be/TtePkZkSL-0?si=fEi8UZm4qyRJpT70</t>
  </si>
  <si>
    <t>Puriya</t>
  </si>
  <si>
    <t>https://youtu.be/d4o5hfzkXcw?si=q0jaD5fQhOOMkVvj</t>
  </si>
  <si>
    <t>Anupama Bhagwat</t>
  </si>
  <si>
    <t>https://youtu.be/8XRxGdO475E?si=3cPHlUc2FteWqrD8</t>
  </si>
  <si>
    <t>https://youtu.be/jondMRB3VRQ?si=3hCzs1Fxb083b8uj</t>
  </si>
  <si>
    <t>Zohrabai Agrewali</t>
  </si>
  <si>
    <t>https://youtu.be/B_sCkyPfkmY?si=aEEpfhi3FrlkEklE</t>
  </si>
  <si>
    <t>https://youtu.be/VYVzqMyeiDg?si=3Oztl3PoconWAMuL</t>
  </si>
  <si>
    <t>https://youtu.be/mSfbe2swHuU?si=4lcuDaIbfIblb_OT</t>
  </si>
  <si>
    <t>https://youtu.be/r335-qG--fE?si=ho_-gWHctsoz4n80</t>
  </si>
  <si>
    <t>https://youtu.be/oAzl-jkUJdE?si=9GQKLPy1RINlo1Yq</t>
  </si>
  <si>
    <t>https://youtu.be/LFP4Ff23gZ4?si=EVQQe0sYBniMx0Tu</t>
  </si>
  <si>
    <t>https://youtu.be/TY1T7KrvNX4?si=9ybyxBkPH4Ucfeys</t>
  </si>
  <si>
    <t>Puriya Dhanashree</t>
  </si>
  <si>
    <t>Puriya Kalyan</t>
  </si>
  <si>
    <t>https://youtu.be/WhuzYxmaPlc?si=qZlQUhpQmAooM5UC</t>
  </si>
  <si>
    <t>Prasad Bhandarkar</t>
  </si>
  <si>
    <t>https://youtu.be/enUqv-HZcLE?si=_nNfrfC-f-DMgtjx</t>
  </si>
  <si>
    <t>https://youtu.be/Xi3xlZyCqQQ?si=1oxKS5nPeaE6_nCv</t>
  </si>
  <si>
    <t>https://youtu.be/LVgVPrnTyJY?si=piIoVJfLbK_OP8UE</t>
  </si>
  <si>
    <t>https://youtu.be/MHL0wzLYrzQ?si=oQTSWi5W3ZrvoTwM</t>
  </si>
  <si>
    <t>https://youtu.be/CFAfu1gQ08Q?si=Ms6OVEHuv_ce8YEp</t>
  </si>
  <si>
    <t>https://youtu.be/AfEL3Fy61_Y?si=S79O3kBEI94SQrxI</t>
  </si>
  <si>
    <t>https://youtu.be/hA3A2xW9G0c?si=P6FOGzPIqhfIbVMt</t>
  </si>
  <si>
    <t>https://youtu.be/DWLFnfaOL3s?si=Oclq8CXyzTwgy2CG</t>
  </si>
  <si>
    <t>https://youtu.be/NvHsJPCPK3Q?si=TYaRklEpYmw2xH2-</t>
  </si>
  <si>
    <t>Rageshri</t>
  </si>
  <si>
    <t>Ramdasi Malhar</t>
  </si>
  <si>
    <t>https://youtu.be/2_-o72eMxR0?si=Z0JUE3gm-6dAjokj</t>
  </si>
  <si>
    <t>https://youtu.be/QnUxbihBh8Q?si=3i3cBkxqnKgJy5IN</t>
  </si>
  <si>
    <t>https://youtu.be/VuziFHmr9hc?si=KpIVFq1xs_-pGYmI</t>
  </si>
  <si>
    <t>https://youtu.be/D1mTLI1ogXo?si=I6PYyAh4kwXFO_7j</t>
  </si>
  <si>
    <t>https://youtu.be/kpauR4kKF8Q?si=86f337uZD5K42vAs</t>
  </si>
  <si>
    <t>Ravi Shankar</t>
  </si>
  <si>
    <t>https://youtu.be/LWg2hUVYAcE?si=iuALMg8qVhpdfb8x</t>
  </si>
  <si>
    <t>https://youtu.be/kL0QJ_MV1H0?si=J5c8Op_Eu_3KdJCi</t>
  </si>
  <si>
    <t>https://youtu.be/aNfZVeAO6dQ?si=mtn4yDhds3L6MXxG</t>
  </si>
  <si>
    <t>https://youtu.be/JHOwVL069lY?si=M78lr_Z5a60feyMU</t>
  </si>
  <si>
    <t>https://youtu.be/I8D-Cf51K6A?si=sPWt2QJ1ttx2j6I5</t>
  </si>
  <si>
    <t>Ramkali</t>
  </si>
  <si>
    <t>https://youtu.be/DRQg2lqZavg?si=LODneS-52PhvaKy1</t>
  </si>
  <si>
    <t>Aditya Madhavan</t>
  </si>
  <si>
    <t>https://youtu.be/RYzFh_pUk6Q?si=KWiTWQMCESCdjyqt</t>
  </si>
  <si>
    <t>https://youtu.be/W3hSyzZ4pGA?si=eTexv4kV7rOElcuT</t>
  </si>
  <si>
    <t>https://youtu.be/SYg-f3NOVac?si=PS7vqdS6tdvHQUUo</t>
  </si>
  <si>
    <t>https://youtu.be/Z1kxnraQFnc?si=CdO8r4g5GQjLfO0d</t>
  </si>
  <si>
    <t>Manjusha Kulkarni</t>
  </si>
  <si>
    <t>https://youtu.be/F22c85xmSPM?si=BsKM2KgThz7xRDcb</t>
  </si>
  <si>
    <t>https://youtu.be/TjjFda4hiPo?si=qtzp4BZLIFewA0CJ</t>
  </si>
  <si>
    <t>https://youtu.be/FJLVq145BlQ?si=aCgNwDbBqszRo17n</t>
  </si>
  <si>
    <t>https://youtu.be/XKL0wIZRO-E?si=YYPOic3pLxthDzsB</t>
  </si>
  <si>
    <t>Salagavarali</t>
  </si>
  <si>
    <t>https://youtu.be/dANHj4UuZnQ?si=gCbhOaH90PdCWSg0</t>
  </si>
  <si>
    <t>https://youtu.be/WTwZRTTepTY?si=rzG43H8PolPj5F8B</t>
  </si>
  <si>
    <t>https://youtu.be/y5afu9af9yM?si=b6zwABd848zsTMPk</t>
  </si>
  <si>
    <t>https://youtu.be/IRVbguCS2TM?si=3Bq3lmxQvXI3BBca</t>
  </si>
  <si>
    <t>Archana Kanhere</t>
  </si>
  <si>
    <t>https://youtu.be/hOGDb_e0ykk?si=mpA7Cg0vnBFGSVd_</t>
  </si>
  <si>
    <t>https://youtu.be/vgVNZnlXpa0?si=Ve4Uz21CTGyepBZh</t>
  </si>
  <si>
    <t>https://youtu.be/WOql4gBdk3g?si=EfjibtzqWovmSKrI</t>
  </si>
  <si>
    <t>https://youtu.be/cCtY1FwtAow?si=0qFw5tw15UWUBIo6</t>
  </si>
  <si>
    <t>https://youtu.be/AxOv9YCKb8g?si=Ml44feiZNbFCG3i7</t>
  </si>
  <si>
    <t>Suman Yadav</t>
  </si>
  <si>
    <t>https://youtu.be/UeDW6A1iYv4?si=R8kh630r8GfB1xge</t>
  </si>
  <si>
    <t>Sarang</t>
  </si>
  <si>
    <t>https://youtu.be/4Y4UZagZNm0?si=7-knSkTZs_3pZViP</t>
  </si>
  <si>
    <t>https://youtu.be/PzCZomuHVVQ?si=6rpC2ZBvHgxEBsWP</t>
  </si>
  <si>
    <t>https://youtu.be/CTNw2Q_A3sc?si=1Ip4qcQpXTg6-2Tl</t>
  </si>
  <si>
    <t>https://youtu.be/_WnWK6z6Lh4?si=G3Xwmv-vL8x90VVs</t>
  </si>
  <si>
    <t>https://youtu.be/WIMDQH4nUoc?si=zqQ5tSU1IIkqHg4B</t>
  </si>
  <si>
    <t>https://youtu.be/qMJ8Yr9U5Ss?si=0nk9xfsUdPlK4cpm</t>
  </si>
  <si>
    <t>https://youtu.be/CM7QGjMt6Bk?si=ENDMV3DaHfqmIAvS</t>
  </si>
  <si>
    <t>https://youtu.be/zfCGyEEbhLc?si=A-QMoURyMUIMV_h9</t>
  </si>
  <si>
    <t>Vasundhara Komkali</t>
  </si>
  <si>
    <t>https://youtu.be/mh_IJ0uZTJ4?si=cYjSy_IUk26A7HwI</t>
  </si>
  <si>
    <t>https://youtu.be/j0FTmlZRe1s?si=K-z38z5S3bl55tOK</t>
  </si>
  <si>
    <t>Saraswati</t>
  </si>
  <si>
    <t>https://youtu.be/81eOUFc7J4w?si=nR7XEsA8hgGse-Dx</t>
  </si>
  <si>
    <t>https://youtu.be/Jl5gH-OhaPs?si=AgAYxFthi3nSXIXj</t>
  </si>
  <si>
    <t>https://youtu.be/oMsN2v861Yk?si=tFtPiQI6A6ouNDJJ</t>
  </si>
  <si>
    <t>https://youtu.be/bPnePIYfLx0?si=OJKH8HnPud-K43FJ</t>
  </si>
  <si>
    <t>https://youtu.be/OD8qYnJ7bdY?si=JkPJPBVPZAO5UOc8</t>
  </si>
  <si>
    <t>https://youtu.be/gE8o2800V7k?si=4BAZ022fjEHgfc35</t>
  </si>
  <si>
    <t>https://youtu.be/j2bSmRNOAfo?si=6P2Z38h_3VzHp5aQ</t>
  </si>
  <si>
    <t>Abby V</t>
  </si>
  <si>
    <t>https://youtu.be/HicwKMUMQUc?si=aMtbHl7xTyHCcUUt</t>
  </si>
  <si>
    <t>https://youtu.be/hhFeX7xb8x0?si=gOXBgV900jF2De9j</t>
  </si>
  <si>
    <t>Ghulam Hasan Khan</t>
  </si>
  <si>
    <t>https://youtu.be/-a02vTZ_UF4?si=fZcJWwYwpC4Cjipz</t>
  </si>
  <si>
    <t>Shahana</t>
  </si>
  <si>
    <t>https://youtu.be/-BOgoqt2eZ0?si=FvRRXS4WG867NZSr</t>
  </si>
  <si>
    <t>https://www.youtube.com/watch?v=vua6dQrJEkQ</t>
  </si>
  <si>
    <t>https://youtu.be/J0SkzPaOgwc?si=ygqtG1_Kz56dwYlz</t>
  </si>
  <si>
    <t>https://youtu.be/v9tlvBywXOo?si=mvOHOq2F3DlmVAos</t>
  </si>
  <si>
    <t>https://youtu.be/N5IMMOFrgv4?si=GZKu0AeMdWJ_WDfo</t>
  </si>
  <si>
    <t>https://youtu.be/ECWzL8LIFQw?si=JsEUdVbH4WabCXKJ</t>
  </si>
  <si>
    <t>https://youtu.be/O92sdlDyd0Q?si=gmhDKaXX2CFfkCgw</t>
  </si>
  <si>
    <t>https://youtu.be/LZ2oLN7AsGo?si=pARmYffsWUrZzexM</t>
  </si>
  <si>
    <t>Rajrupa Chowdhury</t>
  </si>
  <si>
    <t>Shankara</t>
  </si>
  <si>
    <t>https://youtu.be/Gf96sPfHitw?si=-_rxAnDi8b2waP7y</t>
  </si>
  <si>
    <t>https://youtu.be/cJ7WYq11wFg?si=m--9YU2kR-n9f37l</t>
  </si>
  <si>
    <t>https://youtu.be/W1q_rh1d-Mw?si=kCVOgyl-1CrmX1u2</t>
  </si>
  <si>
    <t>https://youtu.be/oJYkFY07aAQ?si=ufse93Q8Hf_mAihq</t>
  </si>
  <si>
    <t>Milind Sheorey</t>
  </si>
  <si>
    <t>https://youtu.be/mJlboZ8DcEg?si=-aC9FI06n1ULlzab</t>
  </si>
  <si>
    <t>https://youtu.be/0ry0i1RU9kk?si=pdk0_JHmDpyEE-IF</t>
  </si>
  <si>
    <t>https://youtu.be/H8HdglX3Goo?si=4JNDCG0hfepDem23</t>
  </si>
  <si>
    <t>Upendra Bhatt</t>
  </si>
  <si>
    <t>https://youtu.be/SIjGNm0EbHw?si=lIP2YGB8uRM3X4Zm</t>
  </si>
  <si>
    <t>https://youtu.be/92hWGOeZupE?si=G2UMgX8gUZakdeYN</t>
  </si>
  <si>
    <t>Shivranjani</t>
  </si>
  <si>
    <t>https://youtu.be/jQRTd2p2taE?si=CtAxY9jV1CTvEiTw</t>
  </si>
  <si>
    <t>Gurinder Singh</t>
  </si>
  <si>
    <t>https://youtu.be/o0xx_z9rQqk?si=UF4GZ1wpXEYvKSJp</t>
  </si>
  <si>
    <t>https://youtu.be/4cJGELPdwW0?si=iwoMs4S0mK-2kXD1</t>
  </si>
  <si>
    <t>Angad Gaikwad</t>
  </si>
  <si>
    <t>https://youtu.be/7QuDEx3_Ygo?si=HQQ9bAHneNZQoaJ0</t>
  </si>
  <si>
    <t>https://youtu.be/r2oQkbbqA2Y?si=xuaA1SvQtuhnUiSO</t>
  </si>
  <si>
    <t>Debaprasad Chakraborti</t>
  </si>
  <si>
    <t>https://youtu.be/FHqenKqsZHM?si=y-dK8kvSA-zvlrmO</t>
  </si>
  <si>
    <t>Jignesh Tilawat</t>
  </si>
  <si>
    <t>Shobhawari</t>
  </si>
  <si>
    <t>https://youtu.be/dl7a-sDQniw?si=NS59tyQF2IZeHrjL</t>
  </si>
  <si>
    <t>Krishna Bisht</t>
  </si>
  <si>
    <t>https://youtu.be/T-hxEksWa84?si=DNsalODUBNtkWJh-</t>
  </si>
  <si>
    <t>https://youtu.be/-CjSr8z0qeM?si=tAS3-rfAD9xgOu-B</t>
  </si>
  <si>
    <t>Sharad Sutaone</t>
  </si>
  <si>
    <t>https://youtu.be/0dsgp3_mpBY?si=fPeMiRyPR1UysBvQ</t>
  </si>
  <si>
    <t>https://youtu.be/R_LySSLgurE?si=_XcpAlEPKM_U20e5</t>
  </si>
  <si>
    <t>Parameshwar Hegde</t>
  </si>
  <si>
    <t>https://youtu.be/vi74ARwvHp0?si=5BnEF5OrDchjRy7o</t>
  </si>
  <si>
    <t>Kiran Hegde</t>
  </si>
  <si>
    <t>https://youtu.be/GCaNxB7MIe8?si=XtjWUUBYYsOIu1bi</t>
  </si>
  <si>
    <t>Shri</t>
  </si>
  <si>
    <t>Shuddh Sarang</t>
  </si>
  <si>
    <t>Shuddha Basant</t>
  </si>
  <si>
    <t>https://youtu.be/Cdwa48Ur5OE?si=4QMFrWtK4jkhThpn</t>
  </si>
  <si>
    <t>Nityananda Haldipur</t>
  </si>
  <si>
    <t>https://youtu.be/ozpyGM5ELks?si=vtRxRl8or4fZijnE</t>
  </si>
  <si>
    <t>https://youtu.be/b1HAE-Pi4UI?si=Ih0HvdUFwdCAtAdy</t>
  </si>
  <si>
    <t>Sahana Banerjee</t>
  </si>
  <si>
    <t>https://youtu.be/q20uSmuKZcE?si=q9ZBnIVmIoB068Cc</t>
  </si>
  <si>
    <t>https://youtu.be/L63NkRUwqLA?si=AIQBT80KqC61vuIa</t>
  </si>
  <si>
    <t>https://youtu.be/jKbQiMQFVJ8?si=R70apN25Pr3x4xBK</t>
  </si>
  <si>
    <t>https://youtu.be/X_Sf9xOKFN0?si=Lmpx7RJ_v1uNBsNa</t>
  </si>
  <si>
    <t>Nirmal Singh Khalsa</t>
  </si>
  <si>
    <t>https://youtu.be/hysLENtHRak?si=edejYcT9OrknEPmc</t>
  </si>
  <si>
    <t>https://youtu.be/5917dtJPdbU?si=mkOXKzum58xWuiPi</t>
  </si>
  <si>
    <t>Shuddha Kalyan</t>
  </si>
  <si>
    <t>Pt. Venkatesh Kumar: Raag Shuddh Kalyan</t>
  </si>
  <si>
    <t>Pratik Shrivastava: Raag Shuddha Kalyan</t>
  </si>
  <si>
    <t>Kala Ramnath: Raag Shuddh Kalyan</t>
  </si>
  <si>
    <t>Raga Shuddha Kalyan ~ Pandit Bhimsen Joshi ~ 1987 | VIDEO</t>
  </si>
  <si>
    <t>Raag  Shuddh Kalyan - Riyaz session</t>
  </si>
  <si>
    <t>Raga Shuddh Kalyan - Ashwini Bhide</t>
  </si>
  <si>
    <t>Ustad Rashid Khan - Raga Shuddh Kalyan (Pseudo Video)</t>
  </si>
  <si>
    <t>Raga Shuddh Kalyan</t>
  </si>
  <si>
    <t>Raga Shuddh Kalyan (Khyal in Vilambit Teental)</t>
  </si>
  <si>
    <t>Raga Shudh Kalyan (Vilambit and Drut Bandish)</t>
  </si>
  <si>
    <t>Shyam Kalyan</t>
  </si>
  <si>
    <t>Ustd Rashid Khan |  Raag Shyam Kalyan | Sagarika Classical</t>
  </si>
  <si>
    <t>Raag Shyam Kalyan (LIVE) - Pt. Rajan Sajan Mishra || श्याम कल्याण - पं राजन-साजन मिश्रा ||</t>
  </si>
  <si>
    <t>Pournima Dhumale: Raag Shyam Kalyan</t>
  </si>
  <si>
    <t>Raga Shyam Kalyan | Pt. Jnan Prakash Ghosh, Pt. V.G. Jog | Indian Classical Instrumental Music</t>
  </si>
  <si>
    <t>Abhishek Borkar: Raag Shyam Kalyan</t>
  </si>
  <si>
    <t>Quintessential Dr Prabha Atre | Raag Shyam Kalyan | Music of India</t>
  </si>
  <si>
    <t>Raga - Shyam Kalyan II Episode 13 || 1001 Bandishes of the Great Maestros || Manali Bose</t>
  </si>
  <si>
    <t>https://youtu.be/OPGSp5_c9oE?si=9YPhbU20FqlC1DaP</t>
  </si>
  <si>
    <t>Shubha Mudgal - Raga Shyam Kalyan | Mesmerizing Evening Raga | Hindustani Classical Performance</t>
  </si>
  <si>
    <t>https://youtu.be/5dSovYRaA-4?si=1MCDjsMmJYFDa08e</t>
  </si>
  <si>
    <t>Sudeepto Chakraborti</t>
  </si>
  <si>
    <t>Sindhura</t>
  </si>
  <si>
    <t>https://youtu.be/OzH99ZAg8rI?si=2Tn_OMJtM21a-3Np</t>
  </si>
  <si>
    <t>Ghulama Mustafa Khan</t>
  </si>
  <si>
    <t>https://youtu.be/OfqIS1fjWUw?si=X9FfOgyuOkSnG6tX</t>
  </si>
  <si>
    <t>https://youtu.be/xPMLVu5BT1U?si=JDSVmvvd8uolCFB2</t>
  </si>
  <si>
    <t>Siya Ram Tiwari</t>
  </si>
  <si>
    <t>https://youtu.be/1or-E1TFiJE?si=GOcBzsYqxgXCFkJe</t>
  </si>
  <si>
    <t>Vilayat Hussain Khan</t>
  </si>
  <si>
    <t>horrible recording</t>
  </si>
  <si>
    <t>https://youtu.be/_2slKklnztQ?si=OqFyIY6tCs94A78Z</t>
  </si>
  <si>
    <t>https://youtu.be/1oPpsh5QmWg?si=xiqeKTFau9ZW-kb7</t>
  </si>
  <si>
    <t>https://youtu.be/7G_r5Toy73k?si=FVM_Xk6MBMe2G4p9</t>
  </si>
  <si>
    <t>https://www.youtube.com/watch?v=64x8qcujrIo</t>
  </si>
  <si>
    <t>https://youtu.be/hn7VL92G998?si=511e6mxUwoCBSSxY</t>
  </si>
  <si>
    <t>Sohini</t>
  </si>
  <si>
    <t>https://youtu.be/qsERm_kGpLc?si=nLbfetzlNSr6ddPi</t>
  </si>
  <si>
    <t>https://youtu.be/197RTHAEheI?si=eOT-Z_CxVYAaS3a7</t>
  </si>
  <si>
    <t>https://youtu.be/P3qI3_FzWwI?si=9L3D21uz_413OAhe</t>
  </si>
  <si>
    <t>https://youtu.be/eq9UIOtidG8?si=k28B-gBmePLdXrCp</t>
  </si>
  <si>
    <t>https://youtu.be/TRZJSs9J27Y?si=p7g6KhQ_xP7pdxzj</t>
  </si>
  <si>
    <t>https://youtu.be/0irN9vKeXl4?si=Ai8AkE4Tcp6TPKvr</t>
  </si>
  <si>
    <t>https://youtu.be/o9xI0t7L4C4?si=g9IS9dLLci7Wn6HL</t>
  </si>
  <si>
    <t>https://youtu.be/Uf2gRWGSqec?si=e3WBjB4rreszUXZx</t>
  </si>
  <si>
    <t>https://youtu.be/qy10Yq7zb3Q?si=W4C1LesJXprfug5T</t>
  </si>
  <si>
    <t>Surdasi Malhar</t>
  </si>
  <si>
    <t>Raag Surdasi Malhar | Pt. Venkatesh Kumar | Hindustani Classical Vocal | Part 3/5</t>
  </si>
  <si>
    <t>Raag Surdasi Malhar | Pt Rajan Sajan Mishra| Hindustani ClassicalVocal| Komal Nishad Baroda|Part 5/6</t>
  </si>
  <si>
    <t>Ustad Rashid Khan | Anubrata Chatterjee | Raag Surdasi Malhar</t>
  </si>
  <si>
    <t>Venkatesh Kumar: Raag Sur Malhar</t>
  </si>
  <si>
    <t>Raag Surdasi Malhar | Dhamar | Ronu Majumdar</t>
  </si>
  <si>
    <t>Raga Soor Malhar | Gansarasvati Kishori Amonkar | Malhar Malika</t>
  </si>
  <si>
    <t>Pt D V Paluskar- Raag Surdasi Malhar- garajata aaye baadaravaa &amp; baadaravaa barasana laagee</t>
  </si>
  <si>
    <t>Raag Surdasi Malhar | Shri Siddhartha Belmannu |Hindustani Classical Vocal  Komal Nishad  | Part 3/6</t>
  </si>
  <si>
    <t>Garjat Aaye (Sur Malhar) | Calming Music for Sleep | Pandit Bhimsen Joshi | Indian Classical Music</t>
  </si>
  <si>
    <t>Raga Surdasi Malhar ~ Pt Rajan &amp; Sajan Mishra ~ Malhar Utsav, Baroda (1998)</t>
  </si>
  <si>
    <t>Tilak Kamod</t>
  </si>
  <si>
    <t>https://youtu.be/wioUZhifTs4?si=_tuOe1GgU9vhLUMd</t>
  </si>
  <si>
    <t>https://youtu.be/HvKl33WjuDk?si=jzh_32t1CmIQZrZ1</t>
  </si>
  <si>
    <t>https://youtu.be/aRpCaJZlJ24?si=eLghjv9uTr02GZQ3</t>
  </si>
  <si>
    <t>https://youtu.be/buR9Wlan6Qc?si=lpg2vZ3OKv16tmP9</t>
  </si>
  <si>
    <t>https://youtu.be/VruwVMXDUOM?si=dkLx6ghDJR6Y_PNU</t>
  </si>
  <si>
    <t>https://youtu.be/RF__Jlrnv90?si=FbrF1KGVptGn01Xq</t>
  </si>
  <si>
    <t>Naseerudin Saami</t>
  </si>
  <si>
    <t>https://youtu.be/avRJACXZz6U?si=EEJ7gqG09BopTSAG</t>
  </si>
  <si>
    <t>https://youtu.be/3Jiv_Q-wny8?si=PwSqPSQq4Ckwbxxz</t>
  </si>
  <si>
    <t>Tilang Bahar</t>
  </si>
  <si>
    <t>https://youtu.be/FnhrRwJFUHE?si=bgc84JEcEUXLNeAr</t>
  </si>
  <si>
    <t>Azam Bai</t>
  </si>
  <si>
    <t>https://youtu.be/4VQLic50xKc?si=DbkcKgzdMltq7t9x</t>
  </si>
  <si>
    <t>USTAD B.S. NARANG</t>
  </si>
  <si>
    <t>https://youtu.be/fOWsJEXA7Mo?si=2GDcMz52ieSJoKwn</t>
  </si>
  <si>
    <t>R V Jadhav</t>
  </si>
  <si>
    <t>https://youtu.be/2FOFWWkV0GQ?si=LgMakfsn_snw8BZn</t>
  </si>
  <si>
    <t>Bai Azam Bai</t>
  </si>
  <si>
    <t>Tilang</t>
  </si>
  <si>
    <t>https://youtu.be/hD9Z0YdRZvg?si=bTQ9ztW9Di1fgFP1</t>
  </si>
  <si>
    <t>https://www.youtube.com/watch?v=tsYSUJ1HCGI</t>
  </si>
  <si>
    <t>https://youtu.be/Wa1DThe3dxA?si=DVikzGrL5sd-P78V</t>
  </si>
  <si>
    <t>Charulatha Mani</t>
  </si>
  <si>
    <t>https://youtu.be/gsMdALrFPM0?si=xouTHaA2t2vun3DM</t>
  </si>
  <si>
    <t>https://youtu.be/BIuyueI0QYM?si=cKFuwtBngX4RosCr</t>
  </si>
  <si>
    <t>https://youtu.be/xB3lTXgk2dE?si=GjWE9zuR_i3fzhei</t>
  </si>
  <si>
    <t>https://youtu.be/mRnjvQBzhqA?si=OHDH2cxyWa4OHu8B</t>
  </si>
  <si>
    <t>Sanjay Subrahamanyan</t>
  </si>
  <si>
    <t>https://youtu.be/OXOh4xiZYo4?si=Gb2ekmwKJdsD92mA</t>
  </si>
  <si>
    <t>raghunandan panshikar</t>
  </si>
  <si>
    <t>https://youtu.be/l4I7XyxDJVY?si=Fb_8xlxwb4tHJGF-</t>
  </si>
  <si>
    <t>Todi</t>
  </si>
  <si>
    <t>Yaman Kalyan</t>
  </si>
  <si>
    <t>Zila Kafi</t>
  </si>
  <si>
    <t>https://youtu.be/D9HT06jcZXI?si=D3fdG_uHQho9-H4E</t>
  </si>
  <si>
    <t>track_name</t>
  </si>
  <si>
    <t>vocals</t>
  </si>
  <si>
    <t>accompaniment</t>
  </si>
  <si>
    <t>Abhogi_1</t>
  </si>
  <si>
    <t>Abhogi_2</t>
  </si>
  <si>
    <t>Abhogi_3</t>
  </si>
  <si>
    <t>Abhogi_4</t>
  </si>
  <si>
    <t>Abhogi_5</t>
  </si>
  <si>
    <t>Abhogi_6</t>
  </si>
  <si>
    <t>Abhogi_7</t>
  </si>
  <si>
    <t>Abhogi_8</t>
  </si>
  <si>
    <t>Abhogi_9</t>
  </si>
  <si>
    <t>Abhogi_10</t>
  </si>
  <si>
    <t>Adana_1</t>
  </si>
  <si>
    <t>Adana_2</t>
  </si>
  <si>
    <t>Adana_3</t>
  </si>
  <si>
    <t>Adana_4</t>
  </si>
  <si>
    <t>Adana_5</t>
  </si>
  <si>
    <t>Adana_6</t>
  </si>
  <si>
    <t>Adana_7</t>
  </si>
  <si>
    <t>Adana_8</t>
  </si>
  <si>
    <t>Adana_9</t>
  </si>
  <si>
    <t>Adana_10</t>
  </si>
  <si>
    <t>Ahir bhairav_1</t>
  </si>
  <si>
    <t>Ahir bhairav_2</t>
  </si>
  <si>
    <t>Ahir bhairav_3</t>
  </si>
  <si>
    <t>Ahir bhairav_4</t>
  </si>
  <si>
    <t>Ahir bhairav_5</t>
  </si>
  <si>
    <t>Ahir bhairav_6</t>
  </si>
  <si>
    <t>Ahir bhairav_7</t>
  </si>
  <si>
    <t>Ahir bhairav_8</t>
  </si>
  <si>
    <t>Ahir bhairav_9</t>
  </si>
  <si>
    <t>Ahir bhairav_10</t>
  </si>
  <si>
    <t>Alhaiya Bilaval_1</t>
  </si>
  <si>
    <t>Alhaiya Bilaval_2</t>
  </si>
  <si>
    <t>Alhaiya Bilaval_3</t>
  </si>
  <si>
    <t>Alhaiya Bilaval_4</t>
  </si>
  <si>
    <t>Alhaiya Bilaval_5</t>
  </si>
  <si>
    <t>Alhaiya Bilaval_6</t>
  </si>
  <si>
    <t>Alhaiya Bilaval_7</t>
  </si>
  <si>
    <t>Alhaiya Bilaval_8</t>
  </si>
  <si>
    <t>Alhaiya Bilaval_9</t>
  </si>
  <si>
    <t>Alhaiya Bilaval_10</t>
  </si>
  <si>
    <t>Asavari (komal re)_1</t>
  </si>
  <si>
    <t>Asavari (komal re)_2</t>
  </si>
  <si>
    <t>Asavari (komal re)_3</t>
  </si>
  <si>
    <t>Asavari (komal re)_4</t>
  </si>
  <si>
    <t>Asavari (komal re)_5</t>
  </si>
  <si>
    <t>Asavari (komal re)_6</t>
  </si>
  <si>
    <t>Asavari (komal re)_7</t>
  </si>
  <si>
    <t>Asavari (komal re)_8</t>
  </si>
  <si>
    <t>Asavari (komal re)_9</t>
  </si>
  <si>
    <t>Asavari (komal re)_10</t>
  </si>
  <si>
    <t>Bageshri_1</t>
  </si>
  <si>
    <t>Bageshri_2</t>
  </si>
  <si>
    <t>Bageshri_3</t>
  </si>
  <si>
    <t>Bageshri_4</t>
  </si>
  <si>
    <t>Bageshri_5</t>
  </si>
  <si>
    <t>Bageshri_6</t>
  </si>
  <si>
    <t>Bageshri_7</t>
  </si>
  <si>
    <t>Bageshri_8</t>
  </si>
  <si>
    <t>Bageshri_9</t>
  </si>
  <si>
    <t>Bageshri_10</t>
  </si>
  <si>
    <t>Bahar_1</t>
  </si>
  <si>
    <t>Bahar_2</t>
  </si>
  <si>
    <t>Bahar_3</t>
  </si>
  <si>
    <t>Bahar_4</t>
  </si>
  <si>
    <t>Bahar_5</t>
  </si>
  <si>
    <t>Bahar_6</t>
  </si>
  <si>
    <t>Bahar_7</t>
  </si>
  <si>
    <t>Bahar_8</t>
  </si>
  <si>
    <t>Bahar_9</t>
  </si>
  <si>
    <t>Bahar_10</t>
  </si>
  <si>
    <t>Bairagi Todi_1</t>
  </si>
  <si>
    <t>Bairagi Todi_2</t>
  </si>
  <si>
    <t>Bairagi Todi_3</t>
  </si>
  <si>
    <t>Bairagi Todi_4</t>
  </si>
  <si>
    <t>Bairagi Todi_5</t>
  </si>
  <si>
    <t>Bairagi Todi_6</t>
  </si>
  <si>
    <t>Bairagi Todi_7</t>
  </si>
  <si>
    <t>Bairagi_1</t>
  </si>
  <si>
    <t>Bairagi_2</t>
  </si>
  <si>
    <t>Bairagi_3</t>
  </si>
  <si>
    <t>Bairagi_4</t>
  </si>
  <si>
    <t>Bairagi_5</t>
  </si>
  <si>
    <t>Bairagi_6</t>
  </si>
  <si>
    <t>Bairagi_7</t>
  </si>
  <si>
    <t>Bairagi_8</t>
  </si>
  <si>
    <t>Bairagi_9</t>
  </si>
  <si>
    <t>Bairagi_10</t>
  </si>
  <si>
    <t>Basant Mukhari_1</t>
  </si>
  <si>
    <t>Basant Mukhari_2</t>
  </si>
  <si>
    <t>Basant Mukhari_3</t>
  </si>
  <si>
    <t>Basant Mukhari_4</t>
  </si>
  <si>
    <t>Basant Mukhari_5</t>
  </si>
  <si>
    <t>Basant Mukhari_6</t>
  </si>
  <si>
    <t>Basant Mukhari_7</t>
  </si>
  <si>
    <t>Basant Mukhari_8</t>
  </si>
  <si>
    <t>Basant Mukhari_9</t>
  </si>
  <si>
    <t>Basant_1</t>
  </si>
  <si>
    <t>Basant_2</t>
  </si>
  <si>
    <t>Basant_3</t>
  </si>
  <si>
    <t>Basant_4</t>
  </si>
  <si>
    <t>Basant_5</t>
  </si>
  <si>
    <t>Basant_6</t>
  </si>
  <si>
    <t>Basant_7</t>
  </si>
  <si>
    <t>Basant_8</t>
  </si>
  <si>
    <t>Basant_9</t>
  </si>
  <si>
    <t>Basant_10</t>
  </si>
  <si>
    <t>Bhairav_1</t>
  </si>
  <si>
    <t>Bhairav_2</t>
  </si>
  <si>
    <t>Bhairav_3</t>
  </si>
  <si>
    <t>Bhairav_4</t>
  </si>
  <si>
    <t>Bhairav_5</t>
  </si>
  <si>
    <t>Bhairav_6</t>
  </si>
  <si>
    <t>Bhairav_7</t>
  </si>
  <si>
    <t>Bhairav_8</t>
  </si>
  <si>
    <t>Bhairav_9</t>
  </si>
  <si>
    <t>Bhairav_10</t>
  </si>
  <si>
    <t>Bhairavi_1</t>
  </si>
  <si>
    <t>Bhairavi_2</t>
  </si>
  <si>
    <t>Bhairavi_3</t>
  </si>
  <si>
    <t>Bhairavi_4</t>
  </si>
  <si>
    <t>Bhairavi_5</t>
  </si>
  <si>
    <t>Bhairavi_6</t>
  </si>
  <si>
    <t>Bhairavi_7</t>
  </si>
  <si>
    <t>Bhairavi_8</t>
  </si>
  <si>
    <t>Bhairavi_9</t>
  </si>
  <si>
    <t>Bhairavi_10</t>
  </si>
  <si>
    <t>Bhatiyar_1</t>
  </si>
  <si>
    <t>Bhatiyar_2</t>
  </si>
  <si>
    <t>Bhatiyar_3</t>
  </si>
  <si>
    <t>Bhatiyar_4</t>
  </si>
  <si>
    <t>Bhatiyar_5</t>
  </si>
  <si>
    <t>Bhatiyar_6</t>
  </si>
  <si>
    <t>Bhatiyar_7</t>
  </si>
  <si>
    <t>Bhatiyar_8</t>
  </si>
  <si>
    <t>Bhatiyar_9</t>
  </si>
  <si>
    <t>Bhatiyar_10</t>
  </si>
  <si>
    <t>Bheem_1</t>
  </si>
  <si>
    <t>Bheem_2</t>
  </si>
  <si>
    <t>Bheem_3</t>
  </si>
  <si>
    <t>Bhimpalasi_1</t>
  </si>
  <si>
    <t>Bhimpalasi_2</t>
  </si>
  <si>
    <t>Bhimpalasi_3</t>
  </si>
  <si>
    <t>Bhimpalasi_4</t>
  </si>
  <si>
    <t>Bhimpalasi_5</t>
  </si>
  <si>
    <t>Bhimpalasi_6</t>
  </si>
  <si>
    <t>Bhimpalasi_7</t>
  </si>
  <si>
    <t>Bhimpalasi_8</t>
  </si>
  <si>
    <t>Bhimpalasi_9</t>
  </si>
  <si>
    <t>Bhupali Todi_1</t>
  </si>
  <si>
    <t>Bhupali Todi_2</t>
  </si>
  <si>
    <t>Bhupali Todi_3</t>
  </si>
  <si>
    <t>Bhupali Todi_4</t>
  </si>
  <si>
    <t>Bhupali Todi_5</t>
  </si>
  <si>
    <t>Bhupali Todi_6</t>
  </si>
  <si>
    <t>Bhupali Todi_7</t>
  </si>
  <si>
    <t>Bhupali Todi_8</t>
  </si>
  <si>
    <t>Bhupali Todi_9</t>
  </si>
  <si>
    <t>Bhupali_1</t>
  </si>
  <si>
    <t>Bhupali_2</t>
  </si>
  <si>
    <t>Bhupali_3</t>
  </si>
  <si>
    <t>Bhupali_4</t>
  </si>
  <si>
    <t>Bhupali_5</t>
  </si>
  <si>
    <t>Bhupali_6</t>
  </si>
  <si>
    <t>Bhupali_7</t>
  </si>
  <si>
    <t>Bhupali_8</t>
  </si>
  <si>
    <t>Bhupali_9</t>
  </si>
  <si>
    <t>Bhupali_10</t>
  </si>
  <si>
    <t>Bibhas_1</t>
  </si>
  <si>
    <t>Bibhas_2</t>
  </si>
  <si>
    <t>Bibhas_3</t>
  </si>
  <si>
    <t>Bibhas_4</t>
  </si>
  <si>
    <t>Bibhas_5</t>
  </si>
  <si>
    <t>Bibhas_6</t>
  </si>
  <si>
    <t>Bibhas_7</t>
  </si>
  <si>
    <t>Bibhas_8</t>
  </si>
  <si>
    <t>Bibhas_9</t>
  </si>
  <si>
    <t>Bihag_1</t>
  </si>
  <si>
    <t>Bihag_2</t>
  </si>
  <si>
    <t>Bihag_3</t>
  </si>
  <si>
    <t>Bihag_4</t>
  </si>
  <si>
    <t>Bihag_5</t>
  </si>
  <si>
    <t>Bihag_6</t>
  </si>
  <si>
    <t>Bihag_7</t>
  </si>
  <si>
    <t>Bihag_8</t>
  </si>
  <si>
    <t>Bihag_9</t>
  </si>
  <si>
    <t>Bihag_10</t>
  </si>
  <si>
    <t>Bihagda_1</t>
  </si>
  <si>
    <t>Bihagda_2</t>
  </si>
  <si>
    <t>Bihagda_3</t>
  </si>
  <si>
    <t>Bihagda_4</t>
  </si>
  <si>
    <t>Bihagda_5</t>
  </si>
  <si>
    <t>Bihagda_6</t>
  </si>
  <si>
    <t>Bihagda_7</t>
  </si>
  <si>
    <t>Bihagda_8</t>
  </si>
  <si>
    <t>Bihagda_9</t>
  </si>
  <si>
    <t>Bihari_1</t>
  </si>
  <si>
    <t>Bihari_2</t>
  </si>
  <si>
    <t>Bihari_3</t>
  </si>
  <si>
    <t>Bihari_4</t>
  </si>
  <si>
    <t>Bihari_5</t>
  </si>
  <si>
    <t>Bihari_6</t>
  </si>
  <si>
    <t>Bihari_7</t>
  </si>
  <si>
    <t>Bihari_8</t>
  </si>
  <si>
    <t>Bilaskhani Todi_1</t>
  </si>
  <si>
    <t>Bilaskhani Todi_2</t>
  </si>
  <si>
    <t>Bilaskhani Todi_3</t>
  </si>
  <si>
    <t>Bilaskhani Todi_4</t>
  </si>
  <si>
    <t>Bilaskhani Todi_5</t>
  </si>
  <si>
    <t>Bilaskhani Todi_6</t>
  </si>
  <si>
    <t>Bilaskhani Todi_7</t>
  </si>
  <si>
    <t>Bilaskhani Todi_8</t>
  </si>
  <si>
    <t>Bilaskhani Todi_9</t>
  </si>
  <si>
    <t>Bilaskhani Todi_10</t>
  </si>
  <si>
    <t>Bilawal_1</t>
  </si>
  <si>
    <t>Bilawal_2</t>
  </si>
  <si>
    <t>Bilawal_3</t>
  </si>
  <si>
    <t>Bilawal_4</t>
  </si>
  <si>
    <t>Bilawal_5</t>
  </si>
  <si>
    <t>Bilawal_6</t>
  </si>
  <si>
    <t>Champakali_Vachaspati_1</t>
  </si>
  <si>
    <t>Champakali_Vachaspati_2</t>
  </si>
  <si>
    <t>Champakali_Vachaspati_3</t>
  </si>
  <si>
    <t>Champakali_Vachaspati_4</t>
  </si>
  <si>
    <t>Champakali_Vachaspati_5</t>
  </si>
  <si>
    <t>Champakali_Vachaspati_6</t>
  </si>
  <si>
    <t>Champakali_Vachaspati_7</t>
  </si>
  <si>
    <t>Champakali_Vachaspati_8</t>
  </si>
  <si>
    <t>Champakali_Vachaspati_9</t>
  </si>
  <si>
    <t>Champakali_Vachaspati_10</t>
  </si>
  <si>
    <t>Chandrakauns_1</t>
  </si>
  <si>
    <t>Chandrakauns_2</t>
  </si>
  <si>
    <t>Chandrakauns_3</t>
  </si>
  <si>
    <t>Chandrakauns_4</t>
  </si>
  <si>
    <t>Chandrakauns_5</t>
  </si>
  <si>
    <t>Chandrakauns_6</t>
  </si>
  <si>
    <t>Chandrakauns_7</t>
  </si>
  <si>
    <t>Chandrakauns_8</t>
  </si>
  <si>
    <t>Chandrakauns_9</t>
  </si>
  <si>
    <t>Chandrakauns_10</t>
  </si>
  <si>
    <t>Chandrakauns_11</t>
  </si>
  <si>
    <t>Chandrakauns_12</t>
  </si>
  <si>
    <t>Chandrakauns_13</t>
  </si>
  <si>
    <t>Chandrakauns_14</t>
  </si>
  <si>
    <t>Chandrakauns_15</t>
  </si>
  <si>
    <t>Chandranandan_1</t>
  </si>
  <si>
    <t>Chandranandan_2</t>
  </si>
  <si>
    <t>Chandranandan_3</t>
  </si>
  <si>
    <t>Chandranandan_4</t>
  </si>
  <si>
    <t>Chandranandan_5</t>
  </si>
  <si>
    <t>Chandranandan_6</t>
  </si>
  <si>
    <t>Charukeshi_1</t>
  </si>
  <si>
    <t>Charukeshi_2</t>
  </si>
  <si>
    <t>Charukeshi_3</t>
  </si>
  <si>
    <t>Charukeshi_4</t>
  </si>
  <si>
    <t>Charukeshi_5</t>
  </si>
  <si>
    <t>Charukeshi_6</t>
  </si>
  <si>
    <t>Charukeshi_7</t>
  </si>
  <si>
    <t>Charukeshi_8</t>
  </si>
  <si>
    <t>Charukeshi_9</t>
  </si>
  <si>
    <t>Charukeshi_10</t>
  </si>
  <si>
    <t>Chhayanat_1</t>
  </si>
  <si>
    <t>Chhayanat_2</t>
  </si>
  <si>
    <t>Chhayanat_3</t>
  </si>
  <si>
    <t>Chhayanat_4</t>
  </si>
  <si>
    <t>Chhayanat_5</t>
  </si>
  <si>
    <t>Chhayanat_6</t>
  </si>
  <si>
    <t>Chhayanat_7</t>
  </si>
  <si>
    <t>Chhayanat_8</t>
  </si>
  <si>
    <t>Chhayanat_9</t>
  </si>
  <si>
    <t>Darbari Kanada_1</t>
  </si>
  <si>
    <t>Darbari Kanada_2</t>
  </si>
  <si>
    <t>Darbari Kanada_3</t>
  </si>
  <si>
    <t>Darbari Kanada_4</t>
  </si>
  <si>
    <t>Darbari Kanada_5</t>
  </si>
  <si>
    <t>Darbari Kanada_6</t>
  </si>
  <si>
    <t>Darbari Kanada_7</t>
  </si>
  <si>
    <t>Darbari Kanada_8</t>
  </si>
  <si>
    <t>Darbari Kanada_9</t>
  </si>
  <si>
    <t>Darbari Kanada_10</t>
  </si>
  <si>
    <t>Desh_1</t>
  </si>
  <si>
    <t>Desh_2</t>
  </si>
  <si>
    <t>Desh_3</t>
  </si>
  <si>
    <t>Desh_4</t>
  </si>
  <si>
    <t>Desh_5</t>
  </si>
  <si>
    <t>Desh_6</t>
  </si>
  <si>
    <t>Desh_7</t>
  </si>
  <si>
    <t>Desh_8</t>
  </si>
  <si>
    <t>Desh_9</t>
  </si>
  <si>
    <t>Desh_10</t>
  </si>
  <si>
    <t>Deshkar_1</t>
  </si>
  <si>
    <t>Deshkar_2</t>
  </si>
  <si>
    <t>Deshkar_3</t>
  </si>
  <si>
    <t>Deshkar_4</t>
  </si>
  <si>
    <t>Deshkar_5</t>
  </si>
  <si>
    <t>Deshkar_6</t>
  </si>
  <si>
    <t>Deshkar_7</t>
  </si>
  <si>
    <t>Deshkar_8</t>
  </si>
  <si>
    <t>Deshkar_9</t>
  </si>
  <si>
    <t>Deshkar_10</t>
  </si>
  <si>
    <t>Desi_1</t>
  </si>
  <si>
    <t>Desi_2</t>
  </si>
  <si>
    <t>Desi_3</t>
  </si>
  <si>
    <t>Desi_4</t>
  </si>
  <si>
    <t>Desi_5</t>
  </si>
  <si>
    <t>Desi_6</t>
  </si>
  <si>
    <t>Desi_7</t>
  </si>
  <si>
    <t>Desi_8</t>
  </si>
  <si>
    <t>Desi_9</t>
  </si>
  <si>
    <t>Dev Gandhar_1</t>
  </si>
  <si>
    <t>Dev Gandhar_2</t>
  </si>
  <si>
    <t>Dev Gandhar_3</t>
  </si>
  <si>
    <t>Dev Gandhar_4</t>
  </si>
  <si>
    <t>Dev Gandhar_5</t>
  </si>
  <si>
    <t>Dev Gandhar_6</t>
  </si>
  <si>
    <t>Dev Gandhar_7</t>
  </si>
  <si>
    <t>Dev Gandhar_8</t>
  </si>
  <si>
    <t>Dev Gandhar_9</t>
  </si>
  <si>
    <t>Devgiri Bilawal_1</t>
  </si>
  <si>
    <t>Devgiri Bilawal_2</t>
  </si>
  <si>
    <t>Devgiri Bilawal_3</t>
  </si>
  <si>
    <t>Devgiri Bilawal_4</t>
  </si>
  <si>
    <t>Devgiri Bilawal_5</t>
  </si>
  <si>
    <t>Devgiri Bilawal_6</t>
  </si>
  <si>
    <t>Devgiri Bilawal_7</t>
  </si>
  <si>
    <t>Devgiri Bilawal_8</t>
  </si>
  <si>
    <t>Devgiri Bilawal_9</t>
  </si>
  <si>
    <t>Devgiri Bilawal_10</t>
  </si>
  <si>
    <t>Dhanashree_1</t>
  </si>
  <si>
    <t>Dhanashree_2</t>
  </si>
  <si>
    <t>Dhani_1</t>
  </si>
  <si>
    <t>Dhani_2</t>
  </si>
  <si>
    <t>Dhani_3</t>
  </si>
  <si>
    <t>Dhani_4</t>
  </si>
  <si>
    <t>Dhani_5</t>
  </si>
  <si>
    <t>Dhani_6</t>
  </si>
  <si>
    <t>Dhani_7</t>
  </si>
  <si>
    <t>Dhani_8</t>
  </si>
  <si>
    <t>Dhani_9</t>
  </si>
  <si>
    <t>Durga_1</t>
  </si>
  <si>
    <t>Durga_2</t>
  </si>
  <si>
    <t>Durga_3</t>
  </si>
  <si>
    <t>Durga_4</t>
  </si>
  <si>
    <t>Durga_5</t>
  </si>
  <si>
    <t>Durga_6</t>
  </si>
  <si>
    <t>Durga_7</t>
  </si>
  <si>
    <t>Durga_8</t>
  </si>
  <si>
    <t>Durga_9</t>
  </si>
  <si>
    <t>Durga_10</t>
  </si>
  <si>
    <t>Gaud Malhar_1</t>
  </si>
  <si>
    <t>Gaud Malhar_2</t>
  </si>
  <si>
    <t>Gaud Malhar_3</t>
  </si>
  <si>
    <t>Gaud Malhar_4</t>
  </si>
  <si>
    <t>Gaud Malhar_5</t>
  </si>
  <si>
    <t>Gaud Malhar_6</t>
  </si>
  <si>
    <t>Gaud Malhar_7</t>
  </si>
  <si>
    <t>Gaud Malhar_8</t>
  </si>
  <si>
    <t>Gaud Malhar_9</t>
  </si>
  <si>
    <t>Gaud Malhar_10</t>
  </si>
  <si>
    <t>Gaud Sarang_1</t>
  </si>
  <si>
    <t>Gaud Sarang_2</t>
  </si>
  <si>
    <t>Gaud Sarang_3</t>
  </si>
  <si>
    <t>Gaud Sarang_4</t>
  </si>
  <si>
    <t>Gaud Sarang_5</t>
  </si>
  <si>
    <t>Gaud Sarang_6</t>
  </si>
  <si>
    <t>Gaud Sarang_7</t>
  </si>
  <si>
    <t>Gaud Sarang_8</t>
  </si>
  <si>
    <t>Gaud Sarang_9</t>
  </si>
  <si>
    <t>Gaud Sarang_10</t>
  </si>
  <si>
    <t>Gauri_1</t>
  </si>
  <si>
    <t>Gauri_2</t>
  </si>
  <si>
    <t>Gauri_3</t>
  </si>
  <si>
    <t>Gauri_4</t>
  </si>
  <si>
    <t>Gauri_5</t>
  </si>
  <si>
    <t>Gauri_6</t>
  </si>
  <si>
    <t>Gauri_7</t>
  </si>
  <si>
    <t>Gauri_8</t>
  </si>
  <si>
    <t>Gauri_9</t>
  </si>
  <si>
    <t>Gavati_1</t>
  </si>
  <si>
    <t>Gavati_2</t>
  </si>
  <si>
    <t>Gavati_3</t>
  </si>
  <si>
    <t>Gavati_4</t>
  </si>
  <si>
    <t>Gavati_5</t>
  </si>
  <si>
    <t>Gavati_6</t>
  </si>
  <si>
    <t>Gavati_7</t>
  </si>
  <si>
    <t>Gavati_8</t>
  </si>
  <si>
    <t>Gavati_9</t>
  </si>
  <si>
    <t>Gavati_10</t>
  </si>
  <si>
    <t>Gopika Basant_1</t>
  </si>
  <si>
    <t>Gopika Basant_2</t>
  </si>
  <si>
    <t>Gopika Basant_3</t>
  </si>
  <si>
    <t>Gopika Basant_4</t>
  </si>
  <si>
    <t>Gopika Basant_5</t>
  </si>
  <si>
    <t>Gopika Basant_6</t>
  </si>
  <si>
    <t>Gorakh Kalyan_1</t>
  </si>
  <si>
    <t>Gorakh Kalyan_2</t>
  </si>
  <si>
    <t>Gorakh Kalyan_3</t>
  </si>
  <si>
    <t>Gorakh Kalyan_4</t>
  </si>
  <si>
    <t>Gorakh Kalyan_5</t>
  </si>
  <si>
    <t>Gorakh Kalyan_6</t>
  </si>
  <si>
    <t>Gorakh Kalyan_7</t>
  </si>
  <si>
    <t>Gorakh Kalyan_8</t>
  </si>
  <si>
    <t>Gorakh Kalyan_9</t>
  </si>
  <si>
    <t>Gunakri_1</t>
  </si>
  <si>
    <t>Gunakri_2</t>
  </si>
  <si>
    <t>Gunakri_3</t>
  </si>
  <si>
    <t>Gunakri_4</t>
  </si>
  <si>
    <t>Gunakri_5</t>
  </si>
  <si>
    <t>Gunakri_6</t>
  </si>
  <si>
    <t>Gunakri_7</t>
  </si>
  <si>
    <t>Gunakri_8</t>
  </si>
  <si>
    <t>Gunakri_9</t>
  </si>
  <si>
    <t>Gunakri_10</t>
  </si>
  <si>
    <t>Gurjari Todi_1</t>
  </si>
  <si>
    <t>Gurjari Todi_2</t>
  </si>
  <si>
    <t>Gurjari Todi_3</t>
  </si>
  <si>
    <t>Gurjari Todi_4</t>
  </si>
  <si>
    <t>Gurjari Todi_5</t>
  </si>
  <si>
    <t>Gurjari Todi_6</t>
  </si>
  <si>
    <t>Gurjari Todi_7</t>
  </si>
  <si>
    <t>Gurjari Todi_8</t>
  </si>
  <si>
    <t>Gurjari Todi_9</t>
  </si>
  <si>
    <t>Hameer_1</t>
  </si>
  <si>
    <t>Hameer_2</t>
  </si>
  <si>
    <t>Hameer_3</t>
  </si>
  <si>
    <t>Hameer_4</t>
  </si>
  <si>
    <t>Hameer_5</t>
  </si>
  <si>
    <t>Hameer_6</t>
  </si>
  <si>
    <t>Hameer_7</t>
  </si>
  <si>
    <t>Hameer_8</t>
  </si>
  <si>
    <t>Hameer_9</t>
  </si>
  <si>
    <t>Hameer_10</t>
  </si>
  <si>
    <t>Hansadhwani_1</t>
  </si>
  <si>
    <t>Hansadhwani_2</t>
  </si>
  <si>
    <t>Hansadhwani_3</t>
  </si>
  <si>
    <t>Hansadhwani_4</t>
  </si>
  <si>
    <t>Hansadhwani_5</t>
  </si>
  <si>
    <t>Hansadhwani_6</t>
  </si>
  <si>
    <t>Hansadhwani_7</t>
  </si>
  <si>
    <t>Hansadhwani_8</t>
  </si>
  <si>
    <t>Hansadhwani_9</t>
  </si>
  <si>
    <t>Hansadhwani_10</t>
  </si>
  <si>
    <t>Hanskinki_1</t>
  </si>
  <si>
    <t>Hanskinki_2</t>
  </si>
  <si>
    <t>Hanskinki_3</t>
  </si>
  <si>
    <t>Hanskinki_4</t>
  </si>
  <si>
    <t>Hanskinki_5</t>
  </si>
  <si>
    <t>Hanskinki_6</t>
  </si>
  <si>
    <t>Hanskinki_7</t>
  </si>
  <si>
    <t>Hanskinki_8</t>
  </si>
  <si>
    <t>Hari Kauns_1</t>
  </si>
  <si>
    <t>Hari Kauns_2</t>
  </si>
  <si>
    <t>Hari Kauns_3</t>
  </si>
  <si>
    <t>Hari Kauns_4</t>
  </si>
  <si>
    <t>Hari Kauns_5</t>
  </si>
  <si>
    <t>Hari Kauns_6</t>
  </si>
  <si>
    <t>Hem Bihag_1</t>
  </si>
  <si>
    <t>Hem Bihag_2</t>
  </si>
  <si>
    <t>Hem Bihag_3</t>
  </si>
  <si>
    <t>Hem Bihag_4</t>
  </si>
  <si>
    <t>Hem Bihag_5</t>
  </si>
  <si>
    <t>Hemant_1</t>
  </si>
  <si>
    <t>Hemant_2</t>
  </si>
  <si>
    <t>Hemant_3</t>
  </si>
  <si>
    <t>Hemant_4</t>
  </si>
  <si>
    <t>Hemant_5</t>
  </si>
  <si>
    <t>Hemant_6</t>
  </si>
  <si>
    <t>Hemant_7</t>
  </si>
  <si>
    <t>Hemant_8</t>
  </si>
  <si>
    <t>Hemant_9</t>
  </si>
  <si>
    <t>Hemant_10</t>
  </si>
  <si>
    <t>Hemshri_1</t>
  </si>
  <si>
    <t>Hemshri_2</t>
  </si>
  <si>
    <t>Hemshri_3</t>
  </si>
  <si>
    <t>Hindol_1</t>
  </si>
  <si>
    <t>Hindol_2</t>
  </si>
  <si>
    <t>Hindol_3</t>
  </si>
  <si>
    <t>Hindol_4</t>
  </si>
  <si>
    <t>Hindol_5</t>
  </si>
  <si>
    <t>Hindol_6</t>
  </si>
  <si>
    <t>Hindol_7</t>
  </si>
  <si>
    <t>Hindol_8</t>
  </si>
  <si>
    <t>Hindol_9</t>
  </si>
  <si>
    <t>Jaijaiwanti_1</t>
  </si>
  <si>
    <t>Jaijaiwanti_2</t>
  </si>
  <si>
    <t>Jaijaiwanti_3</t>
  </si>
  <si>
    <t>Jaijaiwanti_4</t>
  </si>
  <si>
    <t>Jaijaiwanti_5</t>
  </si>
  <si>
    <t>Jaijaiwanti_6</t>
  </si>
  <si>
    <t>Jaijaiwanti_7</t>
  </si>
  <si>
    <t>Jaijaiwanti_8</t>
  </si>
  <si>
    <t>Jaijaiwanti_9</t>
  </si>
  <si>
    <t>Jaijaiwanti_10</t>
  </si>
  <si>
    <t>Jaldhar Kedar_1</t>
  </si>
  <si>
    <t>Jaldhar Kedar_2</t>
  </si>
  <si>
    <t>Jaldhar Kedar_3</t>
  </si>
  <si>
    <t>Jaldhar Kedar_4</t>
  </si>
  <si>
    <t>Jaldhar Kedar_5</t>
  </si>
  <si>
    <t>Jaldhar Kedar_6</t>
  </si>
  <si>
    <t>Jaldhar Kedar_7</t>
  </si>
  <si>
    <t>Jaldhar Kedar_8</t>
  </si>
  <si>
    <t>Jaunpuri_1</t>
  </si>
  <si>
    <t>Jaunpuri_2</t>
  </si>
  <si>
    <t>Jaunpuri_3</t>
  </si>
  <si>
    <t>Jaunpuri_4</t>
  </si>
  <si>
    <t>Jaunpuri_5</t>
  </si>
  <si>
    <t>Jaunpuri_6</t>
  </si>
  <si>
    <t>Jaunpuri_7</t>
  </si>
  <si>
    <t>Jaunpuri_8</t>
  </si>
  <si>
    <t>Jaunpuri_9</t>
  </si>
  <si>
    <t>Jayat_1</t>
  </si>
  <si>
    <t>Jayat_2</t>
  </si>
  <si>
    <t>Jayat_3</t>
  </si>
  <si>
    <t>Jayat_4</t>
  </si>
  <si>
    <t>Jayat_5</t>
  </si>
  <si>
    <t>Jayat_6</t>
  </si>
  <si>
    <t>Jayat_7</t>
  </si>
  <si>
    <t>Jhinjoti_1</t>
  </si>
  <si>
    <t>Jhinjoti_2</t>
  </si>
  <si>
    <t>Jhinjoti_3</t>
  </si>
  <si>
    <t>Jhinjoti_4</t>
  </si>
  <si>
    <t>Jhinjoti_5</t>
  </si>
  <si>
    <t>Jhinjoti_6</t>
  </si>
  <si>
    <t>Jhinjoti_7</t>
  </si>
  <si>
    <t>Jhinjoti_8</t>
  </si>
  <si>
    <t>Jhinjoti_9</t>
  </si>
  <si>
    <t>Jhinjoti_10</t>
  </si>
  <si>
    <t>Jog_1</t>
  </si>
  <si>
    <t>Jog_2</t>
  </si>
  <si>
    <t>Jog_3</t>
  </si>
  <si>
    <t>Jog_4</t>
  </si>
  <si>
    <t>Jog_5</t>
  </si>
  <si>
    <t>Jog_6</t>
  </si>
  <si>
    <t>Jog_7</t>
  </si>
  <si>
    <t>Jog_8</t>
  </si>
  <si>
    <t>Jog_9</t>
  </si>
  <si>
    <t>Jog_10</t>
  </si>
  <si>
    <t>Jogkauns_1</t>
  </si>
  <si>
    <t>Jogkauns_2</t>
  </si>
  <si>
    <t>Jogkauns_3</t>
  </si>
  <si>
    <t>Jogkauns_4</t>
  </si>
  <si>
    <t>Jogkauns_5</t>
  </si>
  <si>
    <t>Jogkauns_6</t>
  </si>
  <si>
    <t>Jogkauns_7</t>
  </si>
  <si>
    <t>Jogkauns_8</t>
  </si>
  <si>
    <t>Jogkauns_9</t>
  </si>
  <si>
    <t>Jogkauns_10</t>
  </si>
  <si>
    <t>Kafi_1</t>
  </si>
  <si>
    <t>Kafi_2</t>
  </si>
  <si>
    <t>Kafi_3</t>
  </si>
  <si>
    <t>Kafi_4</t>
  </si>
  <si>
    <t>Kafi_5</t>
  </si>
  <si>
    <t>Kafi_6</t>
  </si>
  <si>
    <t>Kafi_7</t>
  </si>
  <si>
    <t>Kafi_8</t>
  </si>
  <si>
    <t>Kafi_9</t>
  </si>
  <si>
    <t>Kafi_10</t>
  </si>
  <si>
    <t>Kamod_1</t>
  </si>
  <si>
    <t>Kamod_2</t>
  </si>
  <si>
    <t>Kamod_3</t>
  </si>
  <si>
    <t>Kamod_4</t>
  </si>
  <si>
    <t>Kamod_5</t>
  </si>
  <si>
    <t>Kamod_6</t>
  </si>
  <si>
    <t>Kamod_7</t>
  </si>
  <si>
    <t>Kamod_8</t>
  </si>
  <si>
    <t>Kamod_9</t>
  </si>
  <si>
    <t>Kamod_10</t>
  </si>
  <si>
    <t>Kaunsi Kanada_1</t>
  </si>
  <si>
    <t>Kaunsi Kanada_2</t>
  </si>
  <si>
    <t>Kaunsi Kanada_3</t>
  </si>
  <si>
    <t>Kaunsi Kanada_4</t>
  </si>
  <si>
    <t>Kaunsi Kanada_5</t>
  </si>
  <si>
    <t>Kaunsi Kanada_6</t>
  </si>
  <si>
    <t>Kaunsi Kanada_7</t>
  </si>
  <si>
    <t>Kaunsi Kanada_8</t>
  </si>
  <si>
    <t>Kaunsi Kanada_9</t>
  </si>
  <si>
    <t>Kaunsi Kanada_10</t>
  </si>
  <si>
    <t>Kaushik Dhwani_1</t>
  </si>
  <si>
    <t>Kaushik Dhwani_2</t>
  </si>
  <si>
    <t>Kaushik Dhwani_3</t>
  </si>
  <si>
    <t>Kaushik Dhwani_4</t>
  </si>
  <si>
    <t>Kaushik Dhwani_5</t>
  </si>
  <si>
    <t>Kaushik Dhwani_6</t>
  </si>
  <si>
    <t>Kaushik Dhwani_7</t>
  </si>
  <si>
    <t>Kaushik Dhwani_8</t>
  </si>
  <si>
    <t>Kaushik Dhwani_9</t>
  </si>
  <si>
    <t>Kaushik Dhwani_10</t>
  </si>
  <si>
    <t>Kedar_1</t>
  </si>
  <si>
    <t>Kedar_2</t>
  </si>
  <si>
    <t>Kedar_3</t>
  </si>
  <si>
    <t>Kedar_4</t>
  </si>
  <si>
    <t>Kedar_5</t>
  </si>
  <si>
    <t>Kedar_6</t>
  </si>
  <si>
    <t>Kedar_7</t>
  </si>
  <si>
    <t>Kedar_8</t>
  </si>
  <si>
    <t>Kedar_9</t>
  </si>
  <si>
    <t>Kedar_10</t>
  </si>
  <si>
    <t>Khamaj_1</t>
  </si>
  <si>
    <t>Khamaj_2</t>
  </si>
  <si>
    <t>Khamaj_3</t>
  </si>
  <si>
    <t>Khamaj_4</t>
  </si>
  <si>
    <t>Khamaj_5</t>
  </si>
  <si>
    <t>Khamaj_6</t>
  </si>
  <si>
    <t>Khamaj_7</t>
  </si>
  <si>
    <t>Khamaj_8</t>
  </si>
  <si>
    <t>Khamaj_9</t>
  </si>
  <si>
    <t>Khamaj_10</t>
  </si>
  <si>
    <t>Khambhavati_1</t>
  </si>
  <si>
    <t>Khambhavati_2</t>
  </si>
  <si>
    <t>Khambhavati_3</t>
  </si>
  <si>
    <t>Khambhavati_4</t>
  </si>
  <si>
    <t>Khambhavati_5</t>
  </si>
  <si>
    <t>Khambhavati_6</t>
  </si>
  <si>
    <t>Khambhavati_7</t>
  </si>
  <si>
    <t>Khambhavati_8</t>
  </si>
  <si>
    <t>Kirwani_1</t>
  </si>
  <si>
    <t>Kirwani_2</t>
  </si>
  <si>
    <t>Kirwani_3</t>
  </si>
  <si>
    <t>Kirwani_4</t>
  </si>
  <si>
    <t>Kirwani_5</t>
  </si>
  <si>
    <t>Kirwani_6</t>
  </si>
  <si>
    <t>Kirwani_7</t>
  </si>
  <si>
    <t>Kirwani_8</t>
  </si>
  <si>
    <t>Kirwani_9</t>
  </si>
  <si>
    <t>Kirwani_10</t>
  </si>
  <si>
    <t>Lalit_1</t>
  </si>
  <si>
    <t>Lalit_2</t>
  </si>
  <si>
    <t>Lalit_3</t>
  </si>
  <si>
    <t>Lalit_4</t>
  </si>
  <si>
    <t>Lalit_5</t>
  </si>
  <si>
    <t>Lalit_6</t>
  </si>
  <si>
    <t>Lalit_7</t>
  </si>
  <si>
    <t>Lalit_8</t>
  </si>
  <si>
    <t>Lalit_9</t>
  </si>
  <si>
    <t>Lalit_10</t>
  </si>
  <si>
    <t>Lanka Dahan Sarang_1</t>
  </si>
  <si>
    <t>Lanka Dahan Sarang_2</t>
  </si>
  <si>
    <t>Lanka Dahan Sarang_3</t>
  </si>
  <si>
    <t>Lanka Dahan Sarang_4</t>
  </si>
  <si>
    <t>Lanka Dahan Sarang_5</t>
  </si>
  <si>
    <t>Lanka Dahan Sarang_6</t>
  </si>
  <si>
    <t>Lanka Dahan Sarang_7</t>
  </si>
  <si>
    <t>Lanka Dahan Sarang_8</t>
  </si>
  <si>
    <t>Lanka Dahan Sarang_9</t>
  </si>
  <si>
    <t>Madhukauns_1</t>
  </si>
  <si>
    <t>Madhukauns_2</t>
  </si>
  <si>
    <t>Madhukauns_3</t>
  </si>
  <si>
    <t>Madhukauns_4</t>
  </si>
  <si>
    <t>Madhukauns_5</t>
  </si>
  <si>
    <t>Madhukauns_6</t>
  </si>
  <si>
    <t>Madhukauns_7</t>
  </si>
  <si>
    <t>Madhukauns_8</t>
  </si>
  <si>
    <t>Madhukauns_9</t>
  </si>
  <si>
    <t>Madhukauns_10</t>
  </si>
  <si>
    <t>Madhumand Sarang_1</t>
  </si>
  <si>
    <t>Madhumand Sarang_2</t>
  </si>
  <si>
    <t>Madhumand Sarang_3</t>
  </si>
  <si>
    <t>Madhumand Sarang_4</t>
  </si>
  <si>
    <t>Madhumand Sarang_5</t>
  </si>
  <si>
    <t>Madhumand Sarang_6</t>
  </si>
  <si>
    <t>Madhumand Sarang_7</t>
  </si>
  <si>
    <t>Madhumand Sarang_8</t>
  </si>
  <si>
    <t>Madhumand Sarang_9</t>
  </si>
  <si>
    <t>Madhumand Sarang_10</t>
  </si>
  <si>
    <t>Madhuvanti_1</t>
  </si>
  <si>
    <t>Madhuvanti_2</t>
  </si>
  <si>
    <t>Madhuvanti_3</t>
  </si>
  <si>
    <t>Madhuvanti_4</t>
  </si>
  <si>
    <t>Madhuvanti_5</t>
  </si>
  <si>
    <t>Madhuvanti_6</t>
  </si>
  <si>
    <t>Madhuvanti_7</t>
  </si>
  <si>
    <t>Madhuvanti_8</t>
  </si>
  <si>
    <t>Madhuvanti_9</t>
  </si>
  <si>
    <t>Madhuvanti_10</t>
  </si>
  <si>
    <t>Malgunji_1</t>
  </si>
  <si>
    <t>Malgunji_2</t>
  </si>
  <si>
    <t>Malgunji_3</t>
  </si>
  <si>
    <t>Malgunji_4</t>
  </si>
  <si>
    <t>Malgunji_5</t>
  </si>
  <si>
    <t>Malgunji_6</t>
  </si>
  <si>
    <t>Malgunji_7</t>
  </si>
  <si>
    <t>Malgunji_8</t>
  </si>
  <si>
    <t>Malgunji_9</t>
  </si>
  <si>
    <t>Malkauns_1</t>
  </si>
  <si>
    <t>Malkauns_2</t>
  </si>
  <si>
    <t>Malkauns_3</t>
  </si>
  <si>
    <t>Malkauns_4</t>
  </si>
  <si>
    <t>Malkauns_5</t>
  </si>
  <si>
    <t>Malkauns_6</t>
  </si>
  <si>
    <t>Malkauns_7</t>
  </si>
  <si>
    <t>Malkauns_8</t>
  </si>
  <si>
    <t>Malkauns_9</t>
  </si>
  <si>
    <t>Malkauns_10</t>
  </si>
  <si>
    <t>Mand_1</t>
  </si>
  <si>
    <t>Mand_2</t>
  </si>
  <si>
    <t>Mand_3</t>
  </si>
  <si>
    <t>Mand_4</t>
  </si>
  <si>
    <t>Mand_5</t>
  </si>
  <si>
    <t>Mand_6</t>
  </si>
  <si>
    <t>Mand_7</t>
  </si>
  <si>
    <t>Mand_8</t>
  </si>
  <si>
    <t>Mand_9</t>
  </si>
  <si>
    <t>Manj Khamaj_1</t>
  </si>
  <si>
    <t>Manj Khamaj_2</t>
  </si>
  <si>
    <t>Manj Khamaj_3</t>
  </si>
  <si>
    <t>Manj Khamaj_4</t>
  </si>
  <si>
    <t>Manj Khamaj_5</t>
  </si>
  <si>
    <t>Manj Khamaj_6</t>
  </si>
  <si>
    <t>Manj Khamaj_7</t>
  </si>
  <si>
    <t>Manj Khamaj_8</t>
  </si>
  <si>
    <t>Manj Khamaj_9</t>
  </si>
  <si>
    <t>Manj Khamaj_10</t>
  </si>
  <si>
    <t>Maru Bihag_1</t>
  </si>
  <si>
    <t>Maru Bihag_2</t>
  </si>
  <si>
    <t>Maru Bihag_3</t>
  </si>
  <si>
    <t>Maru Bihag_4</t>
  </si>
  <si>
    <t>Maru Bihag_5</t>
  </si>
  <si>
    <t>Maru Bihag_6</t>
  </si>
  <si>
    <t>Maru Bihag_7</t>
  </si>
  <si>
    <t>Maru Bihag_8</t>
  </si>
  <si>
    <t>Maru Bihag_9</t>
  </si>
  <si>
    <t>Maru Bihag_10</t>
  </si>
  <si>
    <t>Marva_1</t>
  </si>
  <si>
    <t>Marva_2</t>
  </si>
  <si>
    <t>Marva_3</t>
  </si>
  <si>
    <t>Marva_4</t>
  </si>
  <si>
    <t>Marva_5</t>
  </si>
  <si>
    <t>Marva_6</t>
  </si>
  <si>
    <t>Marva_7</t>
  </si>
  <si>
    <t>Marva_8</t>
  </si>
  <si>
    <t>Marva_9</t>
  </si>
  <si>
    <t>Marva_10</t>
  </si>
  <si>
    <t>Megh Malhar_1</t>
  </si>
  <si>
    <t>Megh Malhar_2</t>
  </si>
  <si>
    <t>Megh Malhar_3</t>
  </si>
  <si>
    <t>Megh Malhar_4</t>
  </si>
  <si>
    <t>Megh Malhar_5</t>
  </si>
  <si>
    <t>Megh Malhar_6</t>
  </si>
  <si>
    <t>Megh_1</t>
  </si>
  <si>
    <t>Megh_2</t>
  </si>
  <si>
    <t>Megh_3</t>
  </si>
  <si>
    <t>Megh_4</t>
  </si>
  <si>
    <t>Megh_5</t>
  </si>
  <si>
    <t>Megh_6</t>
  </si>
  <si>
    <t>Megh_7</t>
  </si>
  <si>
    <t>Megh_8</t>
  </si>
  <si>
    <t>Megh_9</t>
  </si>
  <si>
    <t>Megh_10</t>
  </si>
  <si>
    <t>Miyan ki Malhar_1</t>
  </si>
  <si>
    <t>Miyan ki Malhar_2</t>
  </si>
  <si>
    <t>Miyan ki Malhar_3</t>
  </si>
  <si>
    <t>Miyan ki Malhar_4</t>
  </si>
  <si>
    <t>Miyan ki Malhar_5</t>
  </si>
  <si>
    <t>Miyan ki Malhar_6</t>
  </si>
  <si>
    <t>Miyan ki Malhar_7</t>
  </si>
  <si>
    <t>Miyan ki Malhar_8</t>
  </si>
  <si>
    <t>Miyan ki Malhar_9</t>
  </si>
  <si>
    <t>Miyan ki Malhar_10</t>
  </si>
  <si>
    <t>Multani_1</t>
  </si>
  <si>
    <t>Multani_2</t>
  </si>
  <si>
    <t>Multani_3</t>
  </si>
  <si>
    <t>Multani_4</t>
  </si>
  <si>
    <t>Multani_5</t>
  </si>
  <si>
    <t>Multani_6</t>
  </si>
  <si>
    <t>Multani_7</t>
  </si>
  <si>
    <t>Multani_8</t>
  </si>
  <si>
    <t>Multani_9</t>
  </si>
  <si>
    <t>Multani_10</t>
  </si>
  <si>
    <t>Nand_1</t>
  </si>
  <si>
    <t>Nand_2</t>
  </si>
  <si>
    <t>Nand_3</t>
  </si>
  <si>
    <t>Nand_4</t>
  </si>
  <si>
    <t>Nand_5</t>
  </si>
  <si>
    <t>Nand_6</t>
  </si>
  <si>
    <t>Nand_7</t>
  </si>
  <si>
    <t>Nand_8</t>
  </si>
  <si>
    <t>Nand_9</t>
  </si>
  <si>
    <t>Nand_10</t>
  </si>
  <si>
    <t>Nand_11</t>
  </si>
  <si>
    <t>Narayani_1</t>
  </si>
  <si>
    <t>Narayani_2</t>
  </si>
  <si>
    <t>Narayani_3</t>
  </si>
  <si>
    <t>Narayani_4</t>
  </si>
  <si>
    <t>Narayani_5</t>
  </si>
  <si>
    <t>Narayani_6</t>
  </si>
  <si>
    <t>Narayani_7</t>
  </si>
  <si>
    <t>Narayani_8</t>
  </si>
  <si>
    <t>Nat Bhairav_1</t>
  </si>
  <si>
    <t>Nat Bhairav_2</t>
  </si>
  <si>
    <t>Nat Bhairav_3</t>
  </si>
  <si>
    <t>Nat Bhairav_4</t>
  </si>
  <si>
    <t>Nat Bhairav_5</t>
  </si>
  <si>
    <t>Nat Bhairav_6</t>
  </si>
  <si>
    <t>Nat Bhairav_7</t>
  </si>
  <si>
    <t>Nat Bhairav_8</t>
  </si>
  <si>
    <t>Nat Bhairav_9</t>
  </si>
  <si>
    <t>Nat Bhairav_10</t>
  </si>
  <si>
    <t>Nayaki Kanada_1</t>
  </si>
  <si>
    <t>Nayaki Kanada_2</t>
  </si>
  <si>
    <t>Nayaki Kanada_3</t>
  </si>
  <si>
    <t>Nayaki Kanada_4</t>
  </si>
  <si>
    <t>Nayaki Kanada_5</t>
  </si>
  <si>
    <t>Nayaki Kanada_6</t>
  </si>
  <si>
    <t>Nayaki Kanada_7</t>
  </si>
  <si>
    <t>Nayaki Kanada_8</t>
  </si>
  <si>
    <t>Nayaki Kanada_9</t>
  </si>
  <si>
    <t>Pahadi_1</t>
  </si>
  <si>
    <t>Pahadi_2</t>
  </si>
  <si>
    <t>Pahadi_3</t>
  </si>
  <si>
    <t>Pahadi_4</t>
  </si>
  <si>
    <t>Pahadi_5</t>
  </si>
  <si>
    <t>Pahadi_6</t>
  </si>
  <si>
    <t>Pahadi_7</t>
  </si>
  <si>
    <t>Pahadi_8</t>
  </si>
  <si>
    <t>Pahadi_9</t>
  </si>
  <si>
    <t>Pahadi_10</t>
  </si>
  <si>
    <t>Parameshwari_1</t>
  </si>
  <si>
    <t>Parameshwari_2</t>
  </si>
  <si>
    <t>Parameshwari_3</t>
  </si>
  <si>
    <t>Parameshwari_4</t>
  </si>
  <si>
    <t>Parameshwari_5</t>
  </si>
  <si>
    <t>Parameshwari_6</t>
  </si>
  <si>
    <t>Parameshwari_7</t>
  </si>
  <si>
    <t>Parameshwari_8</t>
  </si>
  <si>
    <t>Patdeep_1</t>
  </si>
  <si>
    <t>Patdeep_2</t>
  </si>
  <si>
    <t>Patdeep_3</t>
  </si>
  <si>
    <t>Patdeep_4</t>
  </si>
  <si>
    <t>Patdeep_5</t>
  </si>
  <si>
    <t>Patdeep_6</t>
  </si>
  <si>
    <t>Patdeep_7</t>
  </si>
  <si>
    <t>Patdeep_8</t>
  </si>
  <si>
    <t>Patdeep_9</t>
  </si>
  <si>
    <t>Patdeep_10</t>
  </si>
  <si>
    <t>Pilu_1</t>
  </si>
  <si>
    <t>Pilu_2</t>
  </si>
  <si>
    <t>Pilu_3</t>
  </si>
  <si>
    <t>Pilu_4</t>
  </si>
  <si>
    <t>Pilu_5</t>
  </si>
  <si>
    <t>Pilu_6</t>
  </si>
  <si>
    <t>Pilu_7</t>
  </si>
  <si>
    <t>Poorvi_1</t>
  </si>
  <si>
    <t>Poorvi_2</t>
  </si>
  <si>
    <t>Poorvi_3</t>
  </si>
  <si>
    <t>Poorvi_4</t>
  </si>
  <si>
    <t>Poorvi_5</t>
  </si>
  <si>
    <t>Poorvi_6</t>
  </si>
  <si>
    <t>Poorvi_7</t>
  </si>
  <si>
    <t>Poorvi_8</t>
  </si>
  <si>
    <t>Poorvi_9</t>
  </si>
  <si>
    <t>Poorvi_10</t>
  </si>
  <si>
    <t>Puriya Dhanashri_1</t>
  </si>
  <si>
    <t>Puriya Dhanashri_2</t>
  </si>
  <si>
    <t>Puriya Dhanashri_3</t>
  </si>
  <si>
    <t>Puriya Dhanashri_4</t>
  </si>
  <si>
    <t>Puriya Dhanashri_5</t>
  </si>
  <si>
    <t>Puriya Dhanashri_6</t>
  </si>
  <si>
    <t>Puriya Dhanashri_7</t>
  </si>
  <si>
    <t>Puriya Dhanashri_8</t>
  </si>
  <si>
    <t>Puriya Dhanashri_9</t>
  </si>
  <si>
    <t>Puriya Dhanashri_10</t>
  </si>
  <si>
    <t>Puriya Kalyan_1</t>
  </si>
  <si>
    <t>Puriya Kalyan_2</t>
  </si>
  <si>
    <t>Puriya Kalyan_3</t>
  </si>
  <si>
    <t>Puriya Kalyan_4</t>
  </si>
  <si>
    <t>Puriya Kalyan_5</t>
  </si>
  <si>
    <t>Puriya Kalyan_6</t>
  </si>
  <si>
    <t>Puriya Kalyan_7</t>
  </si>
  <si>
    <t>Puriya Kalyan_8</t>
  </si>
  <si>
    <t>Puriya Kalyan_9</t>
  </si>
  <si>
    <t>Puriya Kalyan_10</t>
  </si>
  <si>
    <t>Puriya_1</t>
  </si>
  <si>
    <t>Puriya_2</t>
  </si>
  <si>
    <t>Puriya_3</t>
  </si>
  <si>
    <t>Puriya_4</t>
  </si>
  <si>
    <t>Puriya_5</t>
  </si>
  <si>
    <t>Puriya_6</t>
  </si>
  <si>
    <t>Puriya_7</t>
  </si>
  <si>
    <t>Puriya_8</t>
  </si>
  <si>
    <t>Puriya_9</t>
  </si>
  <si>
    <t>Puriya_10</t>
  </si>
  <si>
    <t>Rageshri_1</t>
  </si>
  <si>
    <t>Rageshri_2</t>
  </si>
  <si>
    <t>Rageshri_3</t>
  </si>
  <si>
    <t>Rageshri_4</t>
  </si>
  <si>
    <t>Rageshri_5</t>
  </si>
  <si>
    <t>Rageshri_6</t>
  </si>
  <si>
    <t>Rageshri_7</t>
  </si>
  <si>
    <t>Rageshri_8</t>
  </si>
  <si>
    <t>Rageshri_9</t>
  </si>
  <si>
    <t>Rageshri_10</t>
  </si>
  <si>
    <t>Ramdasi Malhar_1</t>
  </si>
  <si>
    <t>Ramdasi Malhar_2</t>
  </si>
  <si>
    <t>Ramdasi Malhar_3</t>
  </si>
  <si>
    <t>Ramdasi Malhar_4</t>
  </si>
  <si>
    <t>Ramdasi Malhar_5</t>
  </si>
  <si>
    <t>Ramdasi Malhar_6</t>
  </si>
  <si>
    <t>Ramdasi Malhar_7</t>
  </si>
  <si>
    <t>Ramdasi Malhar_8</t>
  </si>
  <si>
    <t>Ramdasi Malhar_9</t>
  </si>
  <si>
    <t>Ramdasi Malhar_10</t>
  </si>
  <si>
    <t>Ramkali_1</t>
  </si>
  <si>
    <t>Ramkali_2</t>
  </si>
  <si>
    <t>Ramkali_3</t>
  </si>
  <si>
    <t>Ramkali_4</t>
  </si>
  <si>
    <t>Ramkali_5</t>
  </si>
  <si>
    <t>Ramkali_6</t>
  </si>
  <si>
    <t>Ramkali_7</t>
  </si>
  <si>
    <t>Ramkali_8</t>
  </si>
  <si>
    <t>Ramkali_9</t>
  </si>
  <si>
    <t>Salagavarali_1</t>
  </si>
  <si>
    <t>Salagavarali_2</t>
  </si>
  <si>
    <t>Salagavarali_3</t>
  </si>
  <si>
    <t>Salagavarali_4</t>
  </si>
  <si>
    <t>Salagavarali_5</t>
  </si>
  <si>
    <t>Salagavarali_6</t>
  </si>
  <si>
    <t>Salagavarali_7</t>
  </si>
  <si>
    <t>Salagavarali_8</t>
  </si>
  <si>
    <t>Salagavarali_9</t>
  </si>
  <si>
    <t>Salagavarali_10</t>
  </si>
  <si>
    <t>Sarang_1</t>
  </si>
  <si>
    <t>Sarang_2</t>
  </si>
  <si>
    <t>Sarang_3</t>
  </si>
  <si>
    <t>Sarang_4</t>
  </si>
  <si>
    <t>Sarang_5</t>
  </si>
  <si>
    <t>Sarang_7</t>
  </si>
  <si>
    <t>Sarang_8</t>
  </si>
  <si>
    <t>Sarang_9</t>
  </si>
  <si>
    <t>Sarang_10</t>
  </si>
  <si>
    <t>Saraswati_1</t>
  </si>
  <si>
    <t>Saraswati_2</t>
  </si>
  <si>
    <t>Saraswati_4</t>
  </si>
  <si>
    <t>Saraswati_5</t>
  </si>
  <si>
    <t>Saraswati_6</t>
  </si>
  <si>
    <t>Saraswati_7</t>
  </si>
  <si>
    <t>Saraswati_8</t>
  </si>
  <si>
    <t>Saraswati_9</t>
  </si>
  <si>
    <t>Saraswati_10</t>
  </si>
  <si>
    <t>Shahana_1</t>
  </si>
  <si>
    <t>Shahana_2</t>
  </si>
  <si>
    <t>Shahana_3</t>
  </si>
  <si>
    <t>Shahana_4</t>
  </si>
  <si>
    <t>Shahana_5</t>
  </si>
  <si>
    <t>Shahana_6</t>
  </si>
  <si>
    <t>Shahana_7</t>
  </si>
  <si>
    <t>Shahana_8</t>
  </si>
  <si>
    <t>Shankara_1</t>
  </si>
  <si>
    <t>Shankara_2</t>
  </si>
  <si>
    <t>Shankara_3</t>
  </si>
  <si>
    <t>Shankara_4</t>
  </si>
  <si>
    <t>Shankara_5</t>
  </si>
  <si>
    <t>Shankara_6</t>
  </si>
  <si>
    <t>Shankara_7</t>
  </si>
  <si>
    <t>Shankara_8</t>
  </si>
  <si>
    <t>Shankara_9</t>
  </si>
  <si>
    <t>Shivranjani_1</t>
  </si>
  <si>
    <t>Shivranjani_2</t>
  </si>
  <si>
    <t>Shivranjani_3</t>
  </si>
  <si>
    <t>Shivranjani_4</t>
  </si>
  <si>
    <t>Shivranjani_5</t>
  </si>
  <si>
    <t>Shivranjani_6</t>
  </si>
  <si>
    <t>Shobhawari_1</t>
  </si>
  <si>
    <t>Shobhawari_2</t>
  </si>
  <si>
    <t>Shobhawari_3</t>
  </si>
  <si>
    <t>Shobhawari_4</t>
  </si>
  <si>
    <t>Shobhawari_5</t>
  </si>
  <si>
    <t>Shobhawari_6</t>
  </si>
  <si>
    <t>Shobhawari_7</t>
  </si>
  <si>
    <t>Shri_1</t>
  </si>
  <si>
    <t>Shri_2</t>
  </si>
  <si>
    <t>Shri_3</t>
  </si>
  <si>
    <t>Shri_4</t>
  </si>
  <si>
    <t>Shri_5</t>
  </si>
  <si>
    <t>Shri_6</t>
  </si>
  <si>
    <t>Shri_7</t>
  </si>
  <si>
    <t>Shri_8</t>
  </si>
  <si>
    <t>Shri_9</t>
  </si>
  <si>
    <t>Shri_10</t>
  </si>
  <si>
    <t>Shuddh Sarang_1</t>
  </si>
  <si>
    <t>Shuddh Sarang_2</t>
  </si>
  <si>
    <t>Shuddh Sarang_3</t>
  </si>
  <si>
    <t>Shuddh Sarang_4</t>
  </si>
  <si>
    <t>Shuddh Sarang_5</t>
  </si>
  <si>
    <t>Shuddh Sarang_6</t>
  </si>
  <si>
    <t>Shuddh Sarang_7</t>
  </si>
  <si>
    <t>Shuddh Sarang_8</t>
  </si>
  <si>
    <t>Shuddh Sarang_9</t>
  </si>
  <si>
    <t>Shuddh Sarang_10</t>
  </si>
  <si>
    <t>Shuddha Basant_1</t>
  </si>
  <si>
    <t>Shuddha Basant_2</t>
  </si>
  <si>
    <t>Shuddha Basant_3</t>
  </si>
  <si>
    <t>Shuddha Basant_4</t>
  </si>
  <si>
    <t>Shuddha Basant_5</t>
  </si>
  <si>
    <t>Shuddha Basant_6</t>
  </si>
  <si>
    <t>Shuddha Basant_7</t>
  </si>
  <si>
    <t>Shuddha Basant_8</t>
  </si>
  <si>
    <t>Shuddha Basant_9</t>
  </si>
  <si>
    <t>Shuddha Kalyan_1</t>
  </si>
  <si>
    <t>Shuddha Kalyan_2</t>
  </si>
  <si>
    <t>Shuddha Kalyan_3</t>
  </si>
  <si>
    <t>Shuddha Kalyan_4</t>
  </si>
  <si>
    <t>Shuddha Kalyan_5</t>
  </si>
  <si>
    <t>Shuddha Kalyan_6</t>
  </si>
  <si>
    <t>Shuddha Kalyan_7</t>
  </si>
  <si>
    <t>Shuddha Kalyan_8</t>
  </si>
  <si>
    <t>Shuddha Kalyan_9</t>
  </si>
  <si>
    <t>Shuddha Kalyan_10</t>
  </si>
  <si>
    <t>Shyam Kalyan_1</t>
  </si>
  <si>
    <t>Shyam Kalyan_2</t>
  </si>
  <si>
    <t>Shyam Kalyan_3</t>
  </si>
  <si>
    <t>Shyam Kalyan_4</t>
  </si>
  <si>
    <t>Shyam Kalyan_5</t>
  </si>
  <si>
    <t>Shyam Kalyan_6</t>
  </si>
  <si>
    <t>Shyam Kalyan_7</t>
  </si>
  <si>
    <t>Shyam Kalyan_8</t>
  </si>
  <si>
    <t>Shyam Kalyan_9</t>
  </si>
  <si>
    <t>Shyam Kalyan_10</t>
  </si>
  <si>
    <t>Sindhura_1</t>
  </si>
  <si>
    <t>Sindhura_2</t>
  </si>
  <si>
    <t>Sindhura_3</t>
  </si>
  <si>
    <t>Sindhura_4</t>
  </si>
  <si>
    <t>Sindhura_5</t>
  </si>
  <si>
    <t>Sindhura_6</t>
  </si>
  <si>
    <t>Sindhura_7</t>
  </si>
  <si>
    <t>Sindhura_8</t>
  </si>
  <si>
    <t>Sindhura_9</t>
  </si>
  <si>
    <t>Sohini_1</t>
  </si>
  <si>
    <t>Sohini_2</t>
  </si>
  <si>
    <t>Sohini_3</t>
  </si>
  <si>
    <t>Sohini_4</t>
  </si>
  <si>
    <t>Sohini_5</t>
  </si>
  <si>
    <t>Sohini_6</t>
  </si>
  <si>
    <t>Sohini_7</t>
  </si>
  <si>
    <t>Sohini_8</t>
  </si>
  <si>
    <t>Sohini_9</t>
  </si>
  <si>
    <t>Sundarkali_1</t>
  </si>
  <si>
    <t>Surdasi Malhar_1</t>
  </si>
  <si>
    <t>Surdasi Malhar_2</t>
  </si>
  <si>
    <t>Surdasi Malhar_3</t>
  </si>
  <si>
    <t>Surdasi Malhar_4</t>
  </si>
  <si>
    <t>Surdasi Malhar_5</t>
  </si>
  <si>
    <t>Surdasi Malhar_6</t>
  </si>
  <si>
    <t>Surdasi Malhar_7</t>
  </si>
  <si>
    <t>Surdasi Malhar_8</t>
  </si>
  <si>
    <t>Surdasi Malhar_9</t>
  </si>
  <si>
    <t>Surdasi Malhar_10</t>
  </si>
  <si>
    <t>Tilak Kamod_1</t>
  </si>
  <si>
    <t>Tilak Kamod_2</t>
  </si>
  <si>
    <t>Tilak Kamod_3</t>
  </si>
  <si>
    <t>Tilak Kamod_4</t>
  </si>
  <si>
    <t>Tilak Kamod_5</t>
  </si>
  <si>
    <t>Tilak Kamod_6</t>
  </si>
  <si>
    <t>Tilak Kamod_7</t>
  </si>
  <si>
    <t>Tilak Kamod_8</t>
  </si>
  <si>
    <t>Tilang Bahar_1</t>
  </si>
  <si>
    <t>Tilang Bahar_2</t>
  </si>
  <si>
    <t>Tilang Bahar_3</t>
  </si>
  <si>
    <t>Tilang Bahar_4</t>
  </si>
  <si>
    <t>Tilang_1</t>
  </si>
  <si>
    <t>Tilang_2</t>
  </si>
  <si>
    <t>Tilang_3</t>
  </si>
  <si>
    <t>Tilang_4</t>
  </si>
  <si>
    <t>Tilang_5</t>
  </si>
  <si>
    <t>Tilang_6</t>
  </si>
  <si>
    <t>Tilang_7</t>
  </si>
  <si>
    <t>Tilang_8</t>
  </si>
  <si>
    <t>Tilang_9</t>
  </si>
  <si>
    <t>Todi_1</t>
  </si>
  <si>
    <t>Todi_2</t>
  </si>
  <si>
    <t>Todi_3</t>
  </si>
  <si>
    <t>Todi_4</t>
  </si>
  <si>
    <t>Todi_5</t>
  </si>
  <si>
    <t>Todi_6</t>
  </si>
  <si>
    <t>Todi_7</t>
  </si>
  <si>
    <t>Todi_8</t>
  </si>
  <si>
    <t>Todi_9</t>
  </si>
  <si>
    <t>Todi_10</t>
  </si>
  <si>
    <t>Yaman Kalyan_1</t>
  </si>
  <si>
    <t>Yaman Kalyan_2</t>
  </si>
  <si>
    <t>Yaman Kalyan_3</t>
  </si>
  <si>
    <t>Yaman Kalyan_4</t>
  </si>
  <si>
    <t>Yaman Kalyan_5</t>
  </si>
  <si>
    <t>Yaman Kalyan_6</t>
  </si>
  <si>
    <t>Yaman Kalyan_7</t>
  </si>
  <si>
    <t>Yaman Kalyan_8</t>
  </si>
  <si>
    <t>Yaman Kalyan_9</t>
  </si>
  <si>
    <t>Yaman Kalyan_10</t>
  </si>
  <si>
    <t>Zila Kafi_1</t>
  </si>
  <si>
    <t>Total Records: 1098
Unique Ragas: 122
Unique Artists: 284</t>
  </si>
  <si>
    <t>Count</t>
  </si>
  <si>
    <t>Distribution of Gender</t>
  </si>
  <si>
    <t>Male performers significantly outnumber female performers in the dataset.</t>
  </si>
  <si>
    <t>M</t>
  </si>
  <si>
    <t>Distribution of Tonic</t>
  </si>
  <si>
    <t>Top 10 Artists by Count</t>
  </si>
  <si>
    <t>Filename</t>
  </si>
  <si>
    <t>Male/Female</t>
  </si>
  <si>
    <t>https://youtu.be/QXibHEHcwsc?si=sxmgmD3XRF27dPwB</t>
  </si>
  <si>
    <t xml:space="preserve">C </t>
  </si>
  <si>
    <t>D#, E</t>
  </si>
  <si>
    <t>D, D#</t>
  </si>
  <si>
    <r>
      <rPr>
        <color rgb="FF1155CC"/>
        <u/>
      </rPr>
      <t>Ustad Vilayat KHAN   Râga Bahar -</t>
    </r>
    <r>
      <rPr>
        <color rgb="FF000000"/>
      </rPr>
      <t xml:space="preserve"> </t>
    </r>
  </si>
  <si>
    <r>
      <rPr>
        <color rgb="FF1155CC"/>
        <u/>
      </rPr>
      <t>The Queen of Sitar | Roopa Panesar  |3| Bhairavi Dhun</t>
    </r>
    <r>
      <rPr/>
      <t xml:space="preserve"> </t>
    </r>
  </si>
  <si>
    <r>
      <rPr>
        <color rgb="FF1155CC"/>
        <u/>
      </rPr>
      <t>Raga Bhairavi</t>
    </r>
    <r>
      <rPr/>
      <t xml:space="preserve"> </t>
    </r>
  </si>
  <si>
    <r>
      <rPr>
        <color rgb="FF1155CC"/>
        <u/>
      </rPr>
      <t>Ustad Amir Khan sings Bhatiyar</t>
    </r>
    <r>
      <rPr/>
      <t xml:space="preserve"> </t>
    </r>
  </si>
  <si>
    <t xml:space="preserve">A </t>
  </si>
  <si>
    <r>
      <rPr>
        <color rgb="FF1155CC"/>
        <u/>
      </rPr>
      <t>Champakali (Live) | Anirudh Varma Collective feat. Saptak Chatterjee | Suyash Gabriel | Kavya Singh</t>
    </r>
    <r>
      <rPr/>
      <t xml:space="preserve"> </t>
    </r>
  </si>
  <si>
    <r>
      <rPr>
        <color rgb="FF1155CC"/>
        <u/>
      </rPr>
      <t>Pandit Jagdish Prasad (vocal) - Raga Vachaspati</t>
    </r>
    <r>
      <rPr/>
      <t xml:space="preserve"> </t>
    </r>
  </si>
  <si>
    <t>C#, D</t>
  </si>
  <si>
    <t>C, C#</t>
  </si>
  <si>
    <t>A, A#</t>
  </si>
  <si>
    <t>Dhanashree</t>
  </si>
  <si>
    <t>https://youtu.be/PXI675MJoZ8?si=ctdQmHCk04H2YOAm</t>
  </si>
  <si>
    <t>https://youtu.be/KY3HWdPASiI?si=mikGl1MgXzWgGcZK</t>
  </si>
  <si>
    <t xml:space="preserve">D </t>
  </si>
  <si>
    <t xml:space="preserve">D# </t>
  </si>
  <si>
    <t>E, F</t>
  </si>
  <si>
    <t>G, G#</t>
  </si>
  <si>
    <t>A#, B</t>
  </si>
  <si>
    <t>https://youtu.be/_IJFWImeOaE?si=o-zLHvrJTh18VfJf</t>
  </si>
  <si>
    <t>https://youtu.be/slL74iXmY14?si=L71xznULlBmFkXRL</t>
  </si>
  <si>
    <t>https://youtu.be/smfXguBFBwU?si=qcfU_gdBINgHGgnG</t>
  </si>
  <si>
    <t>https://youtu.be/Geui2j-YlFs?si=FSDHHODyT1TwMmGa</t>
  </si>
  <si>
    <t>https://youtu.be/i-4dTRM_O7k?si=LIPDsXlC2FuEwyaI</t>
  </si>
  <si>
    <t>https://youtu.be/BEy1Q0VYeyk?si=QkSMjI4zbhhrjyXe</t>
  </si>
  <si>
    <t>https://youtu.be/Y4HBNL7IcBM?si=d-AUiSOcqzJNSOGt</t>
  </si>
  <si>
    <t>https://youtu.be/EWJ-P5noOic?si=6ZWfvyssMeEnEzhX</t>
  </si>
  <si>
    <t>https://youtu.be/NMO0G4Bwxe4?si=XPt6yipoVjXcJsDN</t>
  </si>
  <si>
    <t>https://youtu.be/qT0VS3lR1sI?si=yl4_iM9BGibdKLgA</t>
  </si>
  <si>
    <t>https://youtu.be/s-crs7XH0ME?si=bnMdaM-DwhkK9QQY</t>
  </si>
  <si>
    <t>https://youtu.be/Dn95jiD-RZU?si=ZXppG-W9GWIZ7pJa</t>
  </si>
  <si>
    <t>https://youtu.be/ln75GA5UkM8?si=xcrc6MGVkERU79NG</t>
  </si>
  <si>
    <t>https://youtu.be/D6xQSJWBh3I?si=JIQP100JmolvwRma</t>
  </si>
  <si>
    <t>https://youtu.be/w3YTNzOHHRs?si=sG2QK86zWQqVxdsm</t>
  </si>
  <si>
    <t>https://youtu.be/H-XO57q2va8?si=szyz8py4CUgOG9zm</t>
  </si>
  <si>
    <t>https://youtu.be/ofh4vesA91A?si=SzzA-bKX9iRYV3hD</t>
  </si>
  <si>
    <t>https://youtu.be/DL_XWnYuM7s?si=1ZPT08nwlWz8J--f</t>
  </si>
  <si>
    <t>Sundarkali</t>
  </si>
  <si>
    <t>https://youtu.be/Lw-YF125sZs?si=1aOBTZ4kwXYkUWw5</t>
  </si>
  <si>
    <t>https://youtu.be/E0jhUWfmwAM?si=oDQAthyCqip5gx68</t>
  </si>
  <si>
    <t>https://youtu.be/lRV-Tx0mEiM?si=zDsNfcIHJbK9sPhs</t>
  </si>
  <si>
    <t>https://youtu.be/LhJ1BWRuU9o?si=a1uvjdXo-bK0gfXF</t>
  </si>
  <si>
    <t>https://youtu.be/d2oPNmsBZyo?si=SERx_5bb9jfCWZZ5</t>
  </si>
  <si>
    <t>https://youtu.be/TcMCe4U0Bi8?si=NR4BCuNUzu9d0G5c</t>
  </si>
  <si>
    <t>https://youtu.be/6YUO34WHNcc?si=IeLd4SUrn4cMtbN5</t>
  </si>
  <si>
    <t>https://youtu.be/S1jPTnL-53g?si=GKjhilRNylfUgOai</t>
  </si>
  <si>
    <t>https://youtu.be/4YLTWkamwlY?si=GWodCqta-XxrEkC1</t>
  </si>
  <si>
    <t>https://youtu.be/DC0f_J2QEss?si=DDBK1BMjNZDckiVW</t>
  </si>
  <si>
    <t>https://youtu.be/5D08LXU-aDU?si=h4sve1TllTrszn9Y</t>
  </si>
  <si>
    <t>Tonics</t>
  </si>
  <si>
    <t>Shashank Subramanyam</t>
  </si>
  <si>
    <t>Jal Tarang</t>
  </si>
  <si>
    <t>Rajeev Taranath</t>
  </si>
  <si>
    <t>Shashikala Dani</t>
  </si>
  <si>
    <t>Shaunak Abhisheki</t>
  </si>
  <si>
    <t>Buddhadev Chatterjee</t>
  </si>
  <si>
    <t>Daliya Mukherjee, Jayantika Dey &amp; Aadya Mukherjee</t>
  </si>
  <si>
    <t>Alla Rakha Kalawant</t>
  </si>
  <si>
    <t>Anirudh Aithal</t>
  </si>
  <si>
    <t>Anirudh Varma and party</t>
  </si>
  <si>
    <t>Ritesh Mishra</t>
  </si>
  <si>
    <t>Rajnish Mishra</t>
  </si>
  <si>
    <t>Arati Analikar</t>
  </si>
  <si>
    <t>Nazakat Ali</t>
  </si>
  <si>
    <t>Pallavi Joshi</t>
  </si>
  <si>
    <t xml:space="preserve">Shakir Khan  </t>
  </si>
  <si>
    <r>
      <rPr>
        <rFont val="Arial"/>
        <color theme="1"/>
      </rPr>
      <t>The descriptive statistics and histograms of median pitch (vocals) for males and females show distinct distributions, allowing for the identification of a threshold to classify median pitch as male or female.</t>
    </r>
    <r>
      <rPr>
        <rFont val="Arial"/>
        <color theme="1"/>
      </rPr>
      <t xml:space="preserve">
</t>
    </r>
    <r>
      <rPr>
        <rFont val="Arial"/>
        <b/>
        <color theme="1"/>
      </rPr>
      <t>Key Takeaways:</t>
    </r>
    <r>
      <rPr>
        <rFont val="Arial"/>
        <color theme="1"/>
      </rPr>
      <t xml:space="preserve">
• </t>
    </r>
    <r>
      <rPr>
        <rFont val="Arial"/>
        <b/>
        <color theme="1"/>
      </rPr>
      <t>Distinct Pitch Ranges:</t>
    </r>
    <r>
      <rPr>
        <rFont val="Arial"/>
        <color theme="1"/>
      </rPr>
      <t xml:space="preserve"> Males generally have lower median pitches, while females generally have higher median pitches.</t>
    </r>
    <r>
      <rPr>
        <rFont val="Arial"/>
        <color theme="1"/>
      </rPr>
      <t xml:space="preserve">
  • </t>
    </r>
    <r>
      <rPr>
        <rFont val="Arial"/>
        <color theme="1"/>
      </rPr>
      <t>The mean median pitch for males is approximately 226.56 Hz, with a standard deviation of 68.21 Hz.</t>
    </r>
    <r>
      <rPr>
        <rFont val="Arial"/>
        <color theme="1"/>
      </rPr>
      <t xml:space="preserve">
  • </t>
    </r>
    <r>
      <rPr>
        <rFont val="Arial"/>
        <color theme="1"/>
      </rPr>
      <t>The mean median pitch for females is approximately 268.92 Hz, with a standard deviation of 67.62 Hz.</t>
    </r>
    <r>
      <rPr>
        <rFont val="Arial"/>
        <color theme="1"/>
      </rPr>
      <t xml:space="preserve">
  • </t>
    </r>
    <r>
      <rPr>
        <rFont val="Arial"/>
        <color theme="1"/>
      </rPr>
      <t>The median pitch for males ranges from 111.19 Hz to 582.62 Hz.</t>
    </r>
    <r>
      <rPr>
        <rFont val="Arial"/>
        <color theme="1"/>
      </rPr>
      <t xml:space="preserve">
  • </t>
    </r>
    <r>
      <rPr>
        <rFont val="Arial"/>
        <color theme="1"/>
      </rPr>
      <t>The median pitch for females ranges from 136.06 Hz to 550.21 Hz.</t>
    </r>
    <r>
      <rPr>
        <rFont val="Arial"/>
        <color theme="1"/>
      </rPr>
      <t xml:space="preserve">
• </t>
    </r>
    <r>
      <rPr>
        <rFont val="Arial"/>
        <b/>
        <color theme="1"/>
      </rPr>
      <t>Overlap in Distributions:</t>
    </r>
    <r>
      <rPr>
        <rFont val="Arial"/>
        <color theme="1"/>
      </rPr>
      <t xml:space="preserve"> While there are clear differences, there's an overlap in the median pitch ranges, particularly between approximately 150 Hz and 350 Hz.</t>
    </r>
    <r>
      <rPr>
        <rFont val="Arial"/>
        <color theme="1"/>
      </rPr>
      <t xml:space="preserve">
  • </t>
    </r>
    <r>
      <rPr>
        <rFont val="Arial"/>
        <color theme="1"/>
      </rPr>
      <t>The 75th percentile for males is 260.44 Hz, indicating that 75% of male median pitches are below this value.</t>
    </r>
    <r>
      <rPr>
        <rFont val="Arial"/>
        <color theme="1"/>
      </rPr>
      <t xml:space="preserve">
  • </t>
    </r>
    <r>
      <rPr>
        <rFont val="Arial"/>
        <color theme="1"/>
      </rPr>
      <t>The 25th percentile for females is 228.33 Hz, indicating that 25% of female median pitches are below this value.</t>
    </r>
    <r>
      <rPr>
        <rFont val="Arial"/>
        <color theme="1"/>
      </rPr>
      <t xml:space="preserve">
</t>
    </r>
    <r>
      <rPr>
        <rFont val="Arial"/>
        <b/>
        <color theme="1"/>
      </rPr>
      <t>Proposed Threshold:</t>
    </r>
    <r>
      <rPr>
        <rFont val="Arial"/>
        <color theme="1"/>
      </rPr>
      <t xml:space="preserve">
</t>
    </r>
    <r>
      <rPr>
        <rFont val="Arial"/>
        <color theme="1"/>
      </rPr>
      <t xml:space="preserve">Based on the analysis, a reasonable threshold to classify median pitch as male or female could be around </t>
    </r>
    <r>
      <rPr>
        <rFont val="Arial"/>
        <b/>
        <color theme="1"/>
      </rPr>
      <t>250 Hz</t>
    </r>
    <r>
      <rPr>
        <rFont val="Arial"/>
        <color theme="1"/>
      </rPr>
      <t>.</t>
    </r>
    <r>
      <rPr>
        <rFont val="Arial"/>
        <color theme="1"/>
      </rPr>
      <t xml:space="preserve">
• </t>
    </r>
    <r>
      <rPr>
        <rFont val="Arial"/>
        <color theme="1"/>
      </rPr>
      <t xml:space="preserve">Median pitches </t>
    </r>
    <r>
      <rPr>
        <rFont val="Arial"/>
        <b/>
        <color theme="1"/>
      </rPr>
      <t>below 250 Hz</t>
    </r>
    <r>
      <rPr>
        <rFont val="Arial"/>
        <color theme="1"/>
      </rPr>
      <t xml:space="preserve"> would likely be classified as </t>
    </r>
    <r>
      <rPr>
        <rFont val="Arial"/>
        <b/>
        <color theme="1"/>
      </rPr>
      <t>male</t>
    </r>
    <r>
      <rPr>
        <rFont val="Arial"/>
        <color theme="1"/>
      </rPr>
      <t>.</t>
    </r>
    <r>
      <rPr>
        <rFont val="Arial"/>
        <color theme="1"/>
      </rPr>
      <t xml:space="preserve">
• </t>
    </r>
    <r>
      <rPr>
        <rFont val="Arial"/>
        <color theme="1"/>
      </rPr>
      <t xml:space="preserve">Median pitches </t>
    </r>
    <r>
      <rPr>
        <rFont val="Arial"/>
        <b/>
        <color theme="1"/>
      </rPr>
      <t>above 250 Hz</t>
    </r>
    <r>
      <rPr>
        <rFont val="Arial"/>
        <color theme="1"/>
      </rPr>
      <t xml:space="preserve"> would likely be classified as </t>
    </r>
    <r>
      <rPr>
        <rFont val="Arial"/>
        <b/>
        <color theme="1"/>
      </rPr>
      <t>female</t>
    </r>
    <r>
      <rPr>
        <rFont val="Arial"/>
        <color theme="1"/>
      </rPr>
      <t>.</t>
    </r>
    <r>
      <rPr>
        <rFont val="Arial"/>
        <color theme="1"/>
      </rPr>
      <t xml:space="preserve">
</t>
    </r>
    <r>
      <rPr>
        <rFont val="Arial"/>
        <color theme="1"/>
      </rPr>
      <t>This threshold is chosen because it falls within the overlapping region but leans towards separating the bulk of the male distribution from the female distribution, as shown in the histograms. It is important to note that due to the overlap, there will be some misclassifications, especially for individuals whose median pitch falls within the overlapping range.</t>
    </r>
    <r>
      <rPr>
        <rFont val="Arial"/>
        <color theme="1"/>
      </rPr>
      <t xml:space="preserve">
</t>
    </r>
    <r>
      <rPr>
        <rFont val="Arial"/>
        <b/>
        <color theme="1"/>
      </rPr>
      <t>Visualizations:</t>
    </r>
    <r>
      <rPr>
        <rFont val="Arial"/>
        <color theme="1"/>
      </rPr>
      <t xml:space="preserve">
• </t>
    </r>
    <r>
      <rPr>
        <rFont val="Arial"/>
        <b/>
        <color theme="1"/>
      </rPr>
      <t>Distribution of Median Pitch for Males:</t>
    </r>
    <r>
      <rPr>
        <rFont val="Arial"/>
        <color theme="1"/>
      </rPr>
      <t xml:space="preserve"> This chart shows the frequency of different median pitch values for males.</t>
    </r>
    <r>
      <rPr>
        <rFont val="Arial"/>
        <color theme="1"/>
      </rPr>
      <t xml:space="preserve">
• </t>
    </r>
    <r>
      <rPr>
        <rFont val="Arial"/>
        <b/>
        <color theme="1"/>
      </rPr>
      <t>Distribution of Median Pitch for Females:</t>
    </r>
    <r>
      <rPr>
        <rFont val="Arial"/>
        <color theme="1"/>
      </rPr>
      <t xml:space="preserve"> This chart shows the frequency of different median pitch values for females.</t>
    </r>
  </si>
  <si>
    <r>
      <rPr>
        <rFont val="Arial"/>
        <color theme="1"/>
      </rPr>
      <t>The descriptive statistics and histograms of median pitch (vocals) for males and females show distinct distributions, allowing for the identification of a threshold to classify median pitch as male or female.</t>
    </r>
    <r>
      <rPr>
        <rFont val="Arial"/>
        <color theme="1"/>
      </rPr>
      <t xml:space="preserve">
</t>
    </r>
    <r>
      <rPr>
        <rFont val="Arial"/>
        <b/>
        <color theme="1"/>
      </rPr>
      <t>Key Takeaways:</t>
    </r>
    <r>
      <rPr>
        <rFont val="Arial"/>
        <color theme="1"/>
      </rPr>
      <t xml:space="preserve">
• </t>
    </r>
    <r>
      <rPr>
        <rFont val="Arial"/>
        <b/>
        <color theme="1"/>
      </rPr>
      <t>Distinct Pitch Ranges:</t>
    </r>
    <r>
      <rPr>
        <rFont val="Arial"/>
        <color theme="1"/>
      </rPr>
      <t xml:space="preserve"> Males generally have lower median pitches, while females generally have higher median pitches.</t>
    </r>
    <r>
      <rPr>
        <rFont val="Arial"/>
        <color theme="1"/>
      </rPr>
      <t xml:space="preserve">
  • </t>
    </r>
    <r>
      <rPr>
        <rFont val="Arial"/>
        <color theme="1"/>
      </rPr>
      <t>The mean median pitch for males is approximately 226.56 Hz, with a standard deviation of 68.21 Hz.</t>
    </r>
    <r>
      <rPr>
        <rFont val="Arial"/>
        <color theme="1"/>
      </rPr>
      <t xml:space="preserve">
  • </t>
    </r>
    <r>
      <rPr>
        <rFont val="Arial"/>
        <color theme="1"/>
      </rPr>
      <t>The mean median pitch for females is approximately 268.92 Hz, with a standard deviation of 67.62 Hz.</t>
    </r>
    <r>
      <rPr>
        <rFont val="Arial"/>
        <color theme="1"/>
      </rPr>
      <t xml:space="preserve">
  • </t>
    </r>
    <r>
      <rPr>
        <rFont val="Arial"/>
        <color theme="1"/>
      </rPr>
      <t>The median pitch for males ranges from 111.19 Hz to 582.62 Hz.</t>
    </r>
    <r>
      <rPr>
        <rFont val="Arial"/>
        <color theme="1"/>
      </rPr>
      <t xml:space="preserve">
  • </t>
    </r>
    <r>
      <rPr>
        <rFont val="Arial"/>
        <color theme="1"/>
      </rPr>
      <t>The median pitch for females ranges from 136.06 Hz to 550.21 Hz.</t>
    </r>
    <r>
      <rPr>
        <rFont val="Arial"/>
        <color theme="1"/>
      </rPr>
      <t xml:space="preserve">
• </t>
    </r>
    <r>
      <rPr>
        <rFont val="Arial"/>
        <b/>
        <color theme="1"/>
      </rPr>
      <t>Overlap in Distributions:</t>
    </r>
    <r>
      <rPr>
        <rFont val="Arial"/>
        <color theme="1"/>
      </rPr>
      <t xml:space="preserve"> While there are clear differences, there's an overlap in the median pitch ranges, particularly between approximately 150 Hz and 350 Hz.</t>
    </r>
    <r>
      <rPr>
        <rFont val="Arial"/>
        <color theme="1"/>
      </rPr>
      <t xml:space="preserve">
  • </t>
    </r>
    <r>
      <rPr>
        <rFont val="Arial"/>
        <color theme="1"/>
      </rPr>
      <t>The 75th percentile for males is 260.44 Hz, indicating that 75% of male median pitches are below this value.</t>
    </r>
    <r>
      <rPr>
        <rFont val="Arial"/>
        <color theme="1"/>
      </rPr>
      <t xml:space="preserve">
  • </t>
    </r>
    <r>
      <rPr>
        <rFont val="Arial"/>
        <color theme="1"/>
      </rPr>
      <t>The 25th percentile for females is 228.33 Hz, indicating that 25% of female median pitches are below this value.</t>
    </r>
    <r>
      <rPr>
        <rFont val="Arial"/>
        <color theme="1"/>
      </rPr>
      <t xml:space="preserve">
</t>
    </r>
    <r>
      <rPr>
        <rFont val="Arial"/>
        <b/>
        <color theme="1"/>
      </rPr>
      <t>Proposed Threshold:</t>
    </r>
    <r>
      <rPr>
        <rFont val="Arial"/>
        <color theme="1"/>
      </rPr>
      <t xml:space="preserve">
</t>
    </r>
    <r>
      <rPr>
        <rFont val="Arial"/>
        <color theme="1"/>
      </rPr>
      <t xml:space="preserve">Based on the analysis, a reasonable threshold to classify median pitch as male or female could be around </t>
    </r>
    <r>
      <rPr>
        <rFont val="Arial"/>
        <b/>
        <color theme="1"/>
      </rPr>
      <t>250 Hz</t>
    </r>
    <r>
      <rPr>
        <rFont val="Arial"/>
        <color theme="1"/>
      </rPr>
      <t>.</t>
    </r>
    <r>
      <rPr>
        <rFont val="Arial"/>
        <color theme="1"/>
      </rPr>
      <t xml:space="preserve">
• </t>
    </r>
    <r>
      <rPr>
        <rFont val="Arial"/>
        <color theme="1"/>
      </rPr>
      <t xml:space="preserve">Median pitches </t>
    </r>
    <r>
      <rPr>
        <rFont val="Arial"/>
        <b/>
        <color theme="1"/>
      </rPr>
      <t>below 250 Hz</t>
    </r>
    <r>
      <rPr>
        <rFont val="Arial"/>
        <color theme="1"/>
      </rPr>
      <t xml:space="preserve"> would likely be classified as </t>
    </r>
    <r>
      <rPr>
        <rFont val="Arial"/>
        <b/>
        <color theme="1"/>
      </rPr>
      <t>male</t>
    </r>
    <r>
      <rPr>
        <rFont val="Arial"/>
        <color theme="1"/>
      </rPr>
      <t>.</t>
    </r>
    <r>
      <rPr>
        <rFont val="Arial"/>
        <color theme="1"/>
      </rPr>
      <t xml:space="preserve">
• </t>
    </r>
    <r>
      <rPr>
        <rFont val="Arial"/>
        <color theme="1"/>
      </rPr>
      <t xml:space="preserve">Median pitches </t>
    </r>
    <r>
      <rPr>
        <rFont val="Arial"/>
        <b/>
        <color theme="1"/>
      </rPr>
      <t>above 250 Hz</t>
    </r>
    <r>
      <rPr>
        <rFont val="Arial"/>
        <color theme="1"/>
      </rPr>
      <t xml:space="preserve"> would likely be classified as </t>
    </r>
    <r>
      <rPr>
        <rFont val="Arial"/>
        <b/>
        <color theme="1"/>
      </rPr>
      <t>female</t>
    </r>
    <r>
      <rPr>
        <rFont val="Arial"/>
        <color theme="1"/>
      </rPr>
      <t>.</t>
    </r>
    <r>
      <rPr>
        <rFont val="Arial"/>
        <color theme="1"/>
      </rPr>
      <t xml:space="preserve">
</t>
    </r>
    <r>
      <rPr>
        <rFont val="Arial"/>
        <color theme="1"/>
      </rPr>
      <t>This threshold is chosen because it falls within the overlapping region but leans towards separating the bulk of the male distribution from the female distribution, as shown in the histograms. It is important to note that due to the overlap, there will be some misclassifications, especially for individuals whose median pitch falls within the overlapping range.</t>
    </r>
    <r>
      <rPr>
        <rFont val="Arial"/>
        <color theme="1"/>
      </rPr>
      <t xml:space="preserve">
</t>
    </r>
    <r>
      <rPr>
        <rFont val="Arial"/>
        <b/>
        <color theme="1"/>
      </rPr>
      <t>Visualizations:</t>
    </r>
    <r>
      <rPr>
        <rFont val="Arial"/>
        <color theme="1"/>
      </rPr>
      <t xml:space="preserve">
• </t>
    </r>
    <r>
      <rPr>
        <rFont val="Arial"/>
        <b/>
        <color theme="1"/>
      </rPr>
      <t>Distribution of Median Pitch for Males:</t>
    </r>
    <r>
      <rPr>
        <rFont val="Arial"/>
        <color theme="1"/>
      </rPr>
      <t xml:space="preserve"> This chart shows the frequency of different median pitch values for males.</t>
    </r>
    <r>
      <rPr>
        <rFont val="Arial"/>
        <color theme="1"/>
      </rPr>
      <t xml:space="preserve">
• </t>
    </r>
    <r>
      <rPr>
        <rFont val="Arial"/>
        <b/>
        <color theme="1"/>
      </rPr>
      <t>Distribution of Median Pitch for Females:</t>
    </r>
    <r>
      <rPr>
        <rFont val="Arial"/>
        <color theme="1"/>
      </rPr>
      <t xml:space="preserve"> This chart shows the frequency of different median pitch values for females.</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</si>
</sst>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scheme val="minor"/>
    </font>
    <font>
      <color theme="1"/>
      <name val="Arial"/>
      <scheme val="minor"/>
    </font>
    <font>
      <u/>
      <color theme="1"/>
      <name val="Arial"/>
      <scheme val="minor"/>
    </font>
    <font>
      <u/>
      <color rgb="FF0000FF"/>
      <name val="Roboto"/>
    </font>
    <font>
      <color rgb="FF000000"/>
      <name val="Roboto"/>
    </font>
    <font>
      <u/>
      <color rgb="FF0000FF"/>
      <name val="Roboto"/>
    </font>
    <font>
      <u/>
      <color rgb="FF0000FF"/>
      <name val="Roboto"/>
    </font>
    <font>
      <b/>
      <u/>
      <color rgb="FF0000FF"/>
      <name val="Roboto"/>
    </font>
    <font>
      <u/>
      <color rgb="FF0000FF"/>
      <name val="Roboto"/>
    </font>
    <font>
      <u/>
      <color rgb="FF434343"/>
      <name val="Roboto"/>
    </font>
    <font>
      <u/>
      <color rgb="FF0000FF"/>
      <name val="Roboto"/>
    </font>
    <font>
      <u/>
      <color theme="1"/>
      <name val="Arial"/>
      <scheme val="minor"/>
    </font>
    <font>
      <u/>
      <color rgb="FF434343"/>
      <name val="Arial"/>
      <scheme val="minor"/>
    </font>
    <font>
      <b/>
      <color theme="1"/>
      <name val="Helvetica Neue"/>
    </font>
    <font>
      <b/>
      <color rgb="FF000000"/>
      <name val="Helvetica Neue"/>
    </font>
    <font>
      <color rgb="FF000000"/>
      <name val="Helvetica Neue"/>
    </font>
    <font>
      <b/>
      <sz val="14.0"/>
      <color theme="1"/>
      <name val="Arial"/>
      <scheme val="minor"/>
    </font>
    <font>
      <b/>
      <sz val="14.0"/>
      <color rgb="FF1F1F1F"/>
      <name val="&quot;Google Sans&quot;"/>
    </font>
    <font>
      <color rgb="FF000000"/>
      <name val="Arial"/>
      <scheme val="minor"/>
    </font>
    <font>
      <b/>
      <u/>
      <color theme="1"/>
      <name val="Arial"/>
      <scheme val="minor"/>
    </font>
  </fonts>
  <fills count="8">
    <fill>
      <patternFill patternType="none"/>
    </fill>
    <fill>
      <patternFill patternType="lightGray"/>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D4D4D4"/>
        <bgColor rgb="FFD4D4D4"/>
      </patternFill>
    </fill>
    <fill>
      <patternFill patternType="solid">
        <fgColor rgb="FFF0F4F9"/>
        <bgColor rgb="FFF0F4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6" numFmtId="0" xfId="0" applyAlignment="1" applyFont="1">
      <alignment readingOrder="0" shrinkToFit="0" vertical="center" wrapText="0"/>
    </xf>
    <xf borderId="0" fillId="3" fontId="2"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20" xfId="0" applyAlignment="1" applyFont="1" applyNumberFormat="1">
      <alignment readingOrder="0" shrinkToFit="0" vertical="center" wrapText="0"/>
    </xf>
    <xf borderId="0" fillId="4" fontId="1" numFmtId="0" xfId="0" applyAlignment="1" applyFill="1" applyFont="1">
      <alignment readingOrder="0" shrinkToFit="0" vertical="center" wrapText="0"/>
    </xf>
    <xf borderId="0" fillId="4" fontId="2" numFmtId="0" xfId="0" applyAlignment="1" applyFont="1">
      <alignment readingOrder="0" shrinkToFit="0" vertical="center" wrapText="0"/>
    </xf>
    <xf borderId="0" fillId="5" fontId="7" numFmtId="0" xfId="0" applyAlignment="1" applyFill="1" applyFont="1">
      <alignment readingOrder="0" shrinkToFit="0" vertical="center" wrapText="0"/>
    </xf>
    <xf borderId="0" fillId="0" fontId="8"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5" fontId="2" numFmtId="0" xfId="0" applyAlignment="1" applyFont="1">
      <alignment readingOrder="0" shrinkToFit="0" vertical="center" wrapText="0"/>
    </xf>
    <xf borderId="0" fillId="4" fontId="2" numFmtId="0" xfId="0" applyAlignment="1" applyFont="1">
      <alignment readingOrder="0" shrinkToFit="0" vertical="center" wrapText="0"/>
    </xf>
    <xf borderId="0" fillId="4" fontId="2" numFmtId="0" xfId="0" applyAlignment="1" applyFont="1">
      <alignment shrinkToFit="0" vertical="center" wrapText="0"/>
    </xf>
    <xf borderId="0" fillId="4" fontId="5" numFmtId="0" xfId="0" applyAlignment="1" applyFont="1">
      <alignment readingOrder="0" shrinkToFit="0" vertical="center" wrapText="0"/>
    </xf>
    <xf borderId="0" fillId="0" fontId="11" numFmtId="49" xfId="0" applyAlignment="1" applyFont="1" applyNumberForma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2" numFmtId="0" xfId="0" applyFont="1"/>
    <xf borderId="0" fillId="0" fontId="14" numFmtId="0" xfId="0" applyAlignment="1" applyFont="1">
      <alignment horizontal="left" readingOrder="0" shrinkToFit="0" vertical="top" wrapText="0"/>
    </xf>
    <xf borderId="0" fillId="0" fontId="2" numFmtId="0" xfId="0" applyAlignment="1" applyFont="1">
      <alignment horizontal="left" readingOrder="0" shrinkToFit="0" vertical="center" wrapText="0"/>
    </xf>
    <xf borderId="1" fillId="6" fontId="15" numFmtId="0" xfId="0" applyAlignment="1" applyBorder="1" applyFill="1" applyFont="1">
      <alignment readingOrder="0" shrinkToFit="0" vertical="top" wrapText="0"/>
    </xf>
    <xf borderId="1" fillId="0" fontId="16" numFmtId="0" xfId="0" applyAlignment="1" applyBorder="1" applyFont="1">
      <alignment readingOrder="0" shrinkToFit="0" vertical="top" wrapText="0"/>
    </xf>
    <xf borderId="1" fillId="0" fontId="2" numFmtId="0" xfId="0" applyAlignment="1" applyBorder="1" applyFont="1">
      <alignment shrinkToFit="0" vertical="top" wrapText="0"/>
    </xf>
    <xf borderId="0" fillId="0" fontId="2" numFmtId="0" xfId="0" applyAlignment="1" applyFont="1">
      <alignment readingOrder="0"/>
    </xf>
    <xf borderId="0" fillId="0" fontId="1" numFmtId="0" xfId="0" applyAlignment="1" applyFont="1">
      <alignment horizontal="center" readingOrder="0"/>
    </xf>
    <xf borderId="0" fillId="0" fontId="17" numFmtId="0" xfId="0" applyAlignment="1" applyFont="1">
      <alignment readingOrder="0"/>
    </xf>
    <xf borderId="0" fillId="7" fontId="18" numFmtId="0" xfId="0" applyAlignment="1" applyFill="1" applyFont="1">
      <alignment readingOrder="0"/>
    </xf>
    <xf borderId="0" fillId="0" fontId="2" numFmtId="49" xfId="0" applyAlignment="1" applyFont="1" applyNumberFormat="1">
      <alignment readingOrder="0" shrinkToFit="0" vertical="center" wrapText="0"/>
    </xf>
    <xf borderId="0" fillId="0" fontId="19" numFmtId="49" xfId="0" applyAlignment="1" applyFont="1" applyNumberFormat="1">
      <alignment readingOrder="0" shrinkToFit="0" vertical="center" wrapText="0"/>
    </xf>
    <xf borderId="0" fillId="0" fontId="19" numFmtId="49" xfId="0" applyAlignment="1" applyFont="1" applyNumberFormat="1">
      <alignment readingOrder="0" shrinkToFit="0" vertical="center" wrapText="0"/>
    </xf>
    <xf borderId="0" fillId="5" fontId="2"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4" fontId="2" numFmtId="49" xfId="0" applyAlignment="1" applyFont="1" applyNumberFormat="1">
      <alignment readingOrder="0" shrinkToFit="0" vertical="center" wrapText="0"/>
    </xf>
    <xf borderId="0" fillId="4" fontId="2"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Font="1"/>
    <xf borderId="0" fillId="0" fontId="20" numFmtId="0" xfId="0" applyFont="1"/>
    <xf borderId="0" fillId="0" fontId="1" numFmtId="0" xfId="0" applyFont="1"/>
    <xf borderId="0" fillId="0" fontId="1"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10">
    <tableStyle count="4" pivot="0" name="Schema-style">
      <tableStyleElement dxfId="1" type="headerRow"/>
      <tableStyleElement dxfId="2" type="firstRowStripe"/>
      <tableStyleElement dxfId="3" type="secondRowStripe"/>
      <tableStyleElement dxfId="4" size="0" type="wholeTable"/>
    </tableStyle>
    <tableStyle count="4" pivot="0" name="Database-style">
      <tableStyleElement dxfId="1" type="headerRow"/>
      <tableStyleElement dxfId="2" type="firstRowStripe"/>
      <tableStyleElement dxfId="3" type="secondRowStripe"/>
      <tableStyleElement dxfId="4" size="0" type="wholeTable"/>
    </tableStyle>
    <tableStyle count="4" pivot="0" name="median pitch-style">
      <tableStyleElement dxfId="1" type="headerRow"/>
      <tableStyleElement dxfId="2" type="firstRowStripe"/>
      <tableStyleElement dxfId="3" type="secondRowStripe"/>
      <tableStyleElement dxfId="4" size="0" type="wholeTable"/>
    </tableStyle>
    <tableStyle count="4" pivot="0" name="Copy of Database-style">
      <tableStyleElement dxfId="1" type="headerRow"/>
      <tableStyleElement dxfId="2" type="firstRowStripe"/>
      <tableStyleElement dxfId="3" type="secondRowStripe"/>
      <tableStyleElement dxfId="4" size="0" type="wholeTable"/>
    </tableStyle>
    <tableStyle count="4" pivot="0" name="ArtistGender-style">
      <tableStyleElement dxfId="1" type="headerRow"/>
      <tableStyleElement dxfId="2" type="firstRowStripe"/>
      <tableStyleElement dxfId="3" type="secondRowStripe"/>
      <tableStyleElement dxfId="4" size="0" type="wholeTable"/>
    </tableStyle>
    <tableStyle count="4" pivot="0" name="ArtistGender-style 2">
      <tableStyleElement dxfId="1" type="headerRow"/>
      <tableStyleElement dxfId="2" type="firstRowStripe"/>
      <tableStyleElement dxfId="3" type="secondRowStripe"/>
      <tableStyleElement dxfId="4" size="0" type="wholeTable"/>
    </tableStyle>
    <tableStyle count="2" pivot="0" name="MainLists-style">
      <tableStyleElement dxfId="2" type="firstRowStripe"/>
      <tableStyleElement dxfId="3" type="secondRowStripe"/>
    </tableStyle>
    <tableStyle count="4" pivot="0" name="Chart1 Frequency of Each Tonic -style">
      <tableStyleElement dxfId="5" type="headerRow"/>
      <tableStyleElement dxfId="2" type="firstRowStripe"/>
      <tableStyleElement dxfId="3" type="secondRowStripe"/>
      <tableStyleElement dxfId="4" size="0" type="wholeTable"/>
    </tableStyle>
    <tableStyle count="4" pivot="0" name="Chart1 Distribution of Median P-style">
      <tableStyleElement dxfId="5" type="headerRow"/>
      <tableStyleElement dxfId="2" type="firstRowStripe"/>
      <tableStyleElement dxfId="3" type="secondRowStripe"/>
      <tableStyleElement dxfId="4" size="0" type="wholeTable"/>
    </tableStyle>
    <tableStyle count="4" pivot="0" name="Sheet13-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Frequency of Each Tonic for Female (F) and Male (M) Vocalists</a:t>
            </a:r>
          </a:p>
        </c:rich>
      </c:tx>
      <c:overlay val="0"/>
    </c:title>
    <c:plotArea>
      <c:layout/>
      <c:barChart>
        <c:barDir val="col"/>
        <c:grouping val="stacked"/>
        <c:ser>
          <c:idx val="0"/>
          <c:order val="0"/>
          <c:spPr>
            <a:solidFill>
              <a:schemeClr val="accent1"/>
            </a:solidFill>
            <a:ln cmpd="sng">
              <a:solidFill>
                <a:srgbClr val="000000"/>
              </a:solidFill>
            </a:ln>
          </c:spPr>
          <c:cat>
            <c:strRef>
              <c:f>'Chart1 Frequency of Each Tonic '!$A$3:$A$25</c:f>
            </c:strRef>
          </c:cat>
          <c:val>
            <c:numRef>
              <c:f>'Chart1 Frequency of Each Tonic '!$B$3:$B$25</c:f>
              <c:numCache/>
            </c:numRef>
          </c:val>
        </c:ser>
        <c:ser>
          <c:idx val="1"/>
          <c:order val="1"/>
          <c:spPr>
            <a:solidFill>
              <a:schemeClr val="accent2"/>
            </a:solidFill>
            <a:ln cmpd="sng">
              <a:solidFill>
                <a:srgbClr val="000000"/>
              </a:solidFill>
            </a:ln>
          </c:spPr>
          <c:cat>
            <c:strRef>
              <c:f>'Chart1 Frequency of Each Tonic '!$A$3:$A$25</c:f>
            </c:strRef>
          </c:cat>
          <c:val>
            <c:numRef>
              <c:f>'Chart1 Frequency of Each Tonic '!$C$3:$C$25</c:f>
              <c:numCache/>
            </c:numRef>
          </c:val>
        </c:ser>
        <c:overlap val="100"/>
        <c:axId val="1108322680"/>
        <c:axId val="1988730001"/>
      </c:barChart>
      <c:catAx>
        <c:axId val="11083226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Tonic</a:t>
                </a:r>
              </a:p>
            </c:rich>
          </c:tx>
          <c:overlay val="0"/>
        </c:title>
        <c:numFmt formatCode="General" sourceLinked="1"/>
        <c:majorTickMark val="none"/>
        <c:minorTickMark val="none"/>
        <c:spPr/>
        <c:txPr>
          <a:bodyPr/>
          <a:lstStyle/>
          <a:p>
            <a:pPr lvl="0">
              <a:defRPr b="0">
                <a:solidFill>
                  <a:srgbClr val="000000"/>
                </a:solidFill>
                <a:latin typeface="+mn-lt"/>
              </a:defRPr>
            </a:pPr>
          </a:p>
        </c:txPr>
        <c:crossAx val="1988730001"/>
      </c:catAx>
      <c:valAx>
        <c:axId val="1988730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8322680"/>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5.xml.rels><?xml version="1.0" encoding="UTF-8" standalone="yes"?><Relationships xmlns="http://schemas.openxmlformats.org/package/2006/relationships"><Relationship Id="rId1" Type="http://schemas.openxmlformats.org/officeDocument/2006/relationships/image" Target="../media/Chart2.png"/></Relationships>
</file>

<file path=xl/drawings/_rels/drawing16.xml.rels><?xml version="1.0" encoding="UTF-8" standalone="yes"?><Relationships xmlns="http://schemas.openxmlformats.org/package/2006/relationships"><Relationship Id="rId1"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pic>
      <xdr:nvPicPr>
        <xdr:cNvPr id="387150511" name="Chart2">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pic>
      <xdr:nvPicPr>
        <xdr:cNvPr id="1144652470" name="Chart3">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B8" displayName="Schema" name="Schema" id="1">
  <tableColumns count="2">
    <tableColumn name="Column Name" id="1"/>
    <tableColumn name="Description" id="2"/>
  </tableColumns>
  <tableStyleInfo name="Schema-style" showColumnStripes="0" showFirstColumn="1" showLastColumn="1" showRowStripes="1"/>
</table>
</file>

<file path=xl/tables/table2.xml><?xml version="1.0" encoding="utf-8"?>
<table xmlns="http://schemas.openxmlformats.org/spreadsheetml/2006/main" ref="A1:L1096" displayName="Raga_table" name="Raga_table" id="2">
  <autoFilter ref="$A$1:$L$1096"/>
  <tableColumns count="12">
    <tableColumn name="Raga" id="1"/>
    <tableColumn name="Tonic" id="2"/>
    <tableColumn name="File_name" id="3"/>
    <tableColumn name="Link" id="4"/>
    <tableColumn name="Instrument" id="5"/>
    <tableColumn name="Artist" id="6"/>
    <tableColumn name="Start time" id="7"/>
    <tableColumn name="Gender" id="8"/>
    <tableColumn name="Channel" id="9"/>
    <tableColumn name="Bandish" id="10"/>
    <tableColumn name="End time" id="11"/>
    <tableColumn name="Notes" id="12"/>
  </tableColumns>
  <tableStyleInfo name="Database-style" showColumnStripes="0" showFirstColumn="1" showLastColumn="1" showRowStripes="1"/>
</table>
</file>

<file path=xl/tables/table3.xml><?xml version="1.0" encoding="utf-8"?>
<table xmlns="http://schemas.openxmlformats.org/spreadsheetml/2006/main" ref="A1:D1088" displayName="median_pitch" name="median_pitch" id="3">
  <tableColumns count="4">
    <tableColumn name="track_name" id="1"/>
    <tableColumn name="vocals" id="2"/>
    <tableColumn name="accompaniment" id="3"/>
    <tableColumn name="Gender" id="4"/>
  </tableColumns>
  <tableStyleInfo name="median pitch-style" showColumnStripes="0" showFirstColumn="1" showLastColumn="1" showRowStripes="1"/>
</table>
</file>

<file path=xl/tables/table4.xml><?xml version="1.0" encoding="utf-8"?>
<table xmlns="http://schemas.openxmlformats.org/spreadsheetml/2006/main" ref="A1:L1099" displayName="Raga_table_2" name="Raga_table_2" id="4">
  <autoFilter ref="$A$1:$L$1099"/>
  <tableColumns count="12">
    <tableColumn name="Raga" id="1"/>
    <tableColumn name="Tonic" id="2"/>
    <tableColumn name="Filename" id="3"/>
    <tableColumn name="Link" id="4"/>
    <tableColumn name="Instrument" id="5"/>
    <tableColumn name="Artist" id="6"/>
    <tableColumn name="Start time" id="7"/>
    <tableColumn name="Male/Female" id="8"/>
    <tableColumn name="Channel" id="9"/>
    <tableColumn name="Bandish" id="10"/>
    <tableColumn name="End time" id="11"/>
    <tableColumn name="Notes" id="12"/>
  </tableColumns>
  <tableStyleInfo name="Copy of Database-style" showColumnStripes="0" showFirstColumn="1" showLastColumn="1" showRowStripes="1"/>
</table>
</file>

<file path=xl/tables/table5.xml><?xml version="1.0" encoding="utf-8"?>
<table xmlns="http://schemas.openxmlformats.org/spreadsheetml/2006/main" ref="A1:B286" displayName="Gender" name="Gender" id="5">
  <tableColumns count="2">
    <tableColumn name="Artist" id="1"/>
    <tableColumn name="Gender" id="2"/>
  </tableColumns>
  <tableStyleInfo name="ArtistGender-style" showColumnStripes="0" showFirstColumn="1" showLastColumn="1" showRowStripes="1"/>
</table>
</file>

<file path=xl/tables/table6.xml><?xml version="1.0" encoding="utf-8"?>
<table xmlns="http://schemas.openxmlformats.org/spreadsheetml/2006/main" ref="D2:F26" displayName="Table1" name="Table1" id="6">
  <tableColumns count="3">
    <tableColumn name="Tonic" id="1"/>
    <tableColumn name="F" id="2"/>
    <tableColumn name="M" id="3"/>
  </tableColumns>
  <tableStyleInfo name="ArtistGender-style 2" showColumnStripes="0" showFirstColumn="1" showLastColumn="1" showRowStripes="1"/>
</table>
</file>

<file path=xl/tables/table7.xml><?xml version="1.0" encoding="utf-8"?>
<table xmlns="http://schemas.openxmlformats.org/spreadsheetml/2006/main" headerRowCount="0" ref="C2:D123" displayName="Table_1" name="Table_1" id="7">
  <tableColumns count="2">
    <tableColumn name="Column1" id="1"/>
    <tableColumn name="Column2" id="2"/>
  </tableColumns>
  <tableStyleInfo name="MainLists-style" showColumnStripes="0" showFirstColumn="1" showLastColumn="1" showRowStripes="1"/>
</table>
</file>

<file path=xl/tables/table8.xml><?xml version="1.0" encoding="utf-8"?>
<table xmlns="http://schemas.openxmlformats.org/spreadsheetml/2006/main" ref="A3:C25" displayName="Frequency_of_Each_Tonic_for_Female_F_and_Male_M_Vocalists" name="Frequency_of_Each_Tonic_for_Female_F_and_Male_M_Vocalists" id="8">
  <tableColumns count="3">
    <tableColumn name="Tonic" id="1"/>
    <tableColumn name="F" id="2"/>
    <tableColumn name="M" id="3"/>
  </tableColumns>
  <tableStyleInfo name="Chart1 Frequency of Each Tonic -style" showColumnStripes="0" showFirstColumn="1" showLastColumn="1" showRowStripes="1"/>
</table>
</file>

<file path=xl/tables/table9.xml><?xml version="1.0" encoding="utf-8"?>
<table xmlns="http://schemas.openxmlformats.org/spreadsheetml/2006/main" headerRowCount="0" ref="A3:B311" displayName="Distribution_of_Median_Pitch_for_Females" name="Distribution_of_Median_Pitch_for_Females" id="9">
  <tableColumns count="2">
    <tableColumn name="Column1" id="1"/>
    <tableColumn name="Column2" id="2"/>
  </tableColumns>
  <tableStyleInfo name="Chart1 Distribution of Median P-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3:B782" displayName="Distribution_of_Median_Pitch_for_Males" name="Distribution_of_Median_Pitch_for_Males" id="10">
  <tableColumns count="2">
    <tableColumn name="Column1" id="1"/>
    <tableColumn name="Column2" id="2"/>
  </tableColumns>
  <tableStyleInfo name="Sheet1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youtu.be/wv3-esnuZzE?si=2TyjDgqwttADx5Tf" TargetMode="External"/><Relationship Id="rId194" Type="http://schemas.openxmlformats.org/officeDocument/2006/relationships/hyperlink" Target="https://youtu.be/XN2YrhbJRbc?si=QEotu_VOwxukx7Ef" TargetMode="External"/><Relationship Id="rId193" Type="http://schemas.openxmlformats.org/officeDocument/2006/relationships/hyperlink" Target="https://youtu.be/1gLTeABf5hY?si=bS9BDUhnfEFCd-RF" TargetMode="External"/><Relationship Id="rId192" Type="http://schemas.openxmlformats.org/officeDocument/2006/relationships/hyperlink" Target="https://youtu.be/tJVHkdYFxmY?si=OBPuy0eO2lvDboUU" TargetMode="External"/><Relationship Id="rId191" Type="http://schemas.openxmlformats.org/officeDocument/2006/relationships/hyperlink" Target="https://youtu.be/Y5j5QVeXHy8?si=3Lwty-xNrSOWLARb" TargetMode="External"/><Relationship Id="rId187" Type="http://schemas.openxmlformats.org/officeDocument/2006/relationships/hyperlink" Target="https://youtu.be/0jmUOK-gsRs?si=4qXPDgl7szoSTBul" TargetMode="External"/><Relationship Id="rId186" Type="http://schemas.openxmlformats.org/officeDocument/2006/relationships/hyperlink" Target="https://youtu.be/vF1pvk8sNsY?si=wTQhWIoWkObQ0PWM" TargetMode="External"/><Relationship Id="rId185" Type="http://schemas.openxmlformats.org/officeDocument/2006/relationships/hyperlink" Target="https://youtu.be/K9ruffturYY?si=ms5DGpG3oyNU38fk" TargetMode="External"/><Relationship Id="rId184" Type="http://schemas.openxmlformats.org/officeDocument/2006/relationships/hyperlink" Target="https://youtu.be/6Lh1886X_4s?si=dEkzDCrV0IcgkHxR" TargetMode="External"/><Relationship Id="rId189" Type="http://schemas.openxmlformats.org/officeDocument/2006/relationships/hyperlink" Target="https://youtu.be/IEodibJCZbI?si=-HcK6gNkKPSEkLuz" TargetMode="External"/><Relationship Id="rId188" Type="http://schemas.openxmlformats.org/officeDocument/2006/relationships/hyperlink" Target="https://youtu.be/BAzm0gT4Yuw?si=8daNIkyViDofBEZ3" TargetMode="External"/><Relationship Id="rId183" Type="http://schemas.openxmlformats.org/officeDocument/2006/relationships/hyperlink" Target="https://youtu.be/BdlUztybVro?si=kMTaFDvzmsE-1nfL" TargetMode="External"/><Relationship Id="rId182" Type="http://schemas.openxmlformats.org/officeDocument/2006/relationships/hyperlink" Target="https://youtu.be/k1QEo8fqvic?si=jgG58FO86E_dxVmh" TargetMode="External"/><Relationship Id="rId181" Type="http://schemas.openxmlformats.org/officeDocument/2006/relationships/hyperlink" Target="https://youtu.be/a6mTJ4hXjnk?si=PG9h2VdcB64EUeXo" TargetMode="External"/><Relationship Id="rId180" Type="http://schemas.openxmlformats.org/officeDocument/2006/relationships/hyperlink" Target="https://youtu.be/rPy2E9-PRW0?si=2DIh0SM8-fOLtucN" TargetMode="External"/><Relationship Id="rId176" Type="http://schemas.openxmlformats.org/officeDocument/2006/relationships/hyperlink" Target="https://youtu.be/y17mvudCNA4?si=PPx4basqXFIQAB4R" TargetMode="External"/><Relationship Id="rId175" Type="http://schemas.openxmlformats.org/officeDocument/2006/relationships/hyperlink" Target="https://youtu.be/6zOPQGJXmZI?si=IWgY2rRgBAq_UGT7" TargetMode="External"/><Relationship Id="rId174" Type="http://schemas.openxmlformats.org/officeDocument/2006/relationships/hyperlink" Target="https://youtu.be/7oQj5Qh5ScU?si=0L1W1k3TqbtZxsFE" TargetMode="External"/><Relationship Id="rId173" Type="http://schemas.openxmlformats.org/officeDocument/2006/relationships/hyperlink" Target="https://youtu.be/TPLnZQfQvWc?si=vMmS_oZkGXbpmrNu" TargetMode="External"/><Relationship Id="rId179" Type="http://schemas.openxmlformats.org/officeDocument/2006/relationships/hyperlink" Target="https://www.youtube.com/watch?v=5p2IUDczkrM" TargetMode="External"/><Relationship Id="rId178" Type="http://schemas.openxmlformats.org/officeDocument/2006/relationships/hyperlink" Target="https://youtu.be/vMmsqeCrl38?si=7Q8cT39F-F24ZTkN" TargetMode="External"/><Relationship Id="rId177" Type="http://schemas.openxmlformats.org/officeDocument/2006/relationships/hyperlink" Target="https://youtu.be/n58fm2qqYTI?si=RIF1TWn5x3S14BIs" TargetMode="External"/><Relationship Id="rId198" Type="http://schemas.openxmlformats.org/officeDocument/2006/relationships/hyperlink" Target="https://youtu.be/3mVtWjHMADs?si=YLgiQ-A2NvQa2dZ_" TargetMode="External"/><Relationship Id="rId197" Type="http://schemas.openxmlformats.org/officeDocument/2006/relationships/hyperlink" Target="https://youtu.be/fxFbtJDptPU?si=VOCSoNgk-XEchgUJ" TargetMode="External"/><Relationship Id="rId196" Type="http://schemas.openxmlformats.org/officeDocument/2006/relationships/hyperlink" Target="https://youtu.be/k2M5WTYHKKM?si=WJMiCOcaHHr0ym5v" TargetMode="External"/><Relationship Id="rId195" Type="http://schemas.openxmlformats.org/officeDocument/2006/relationships/hyperlink" Target="https://youtu.be/_PMlV0V_7TI?si=R3h2YC6mwIOgFwIr" TargetMode="External"/><Relationship Id="rId199" Type="http://schemas.openxmlformats.org/officeDocument/2006/relationships/hyperlink" Target="https://youtu.be/4CeGpb2aSsg?si=H2UcdcPuCli_DmYh" TargetMode="External"/><Relationship Id="rId150" Type="http://schemas.openxmlformats.org/officeDocument/2006/relationships/hyperlink" Target="https://youtu.be/mhYIePQDLO4?si=sRCvYqBMbwwkLRVs" TargetMode="External"/><Relationship Id="rId392" Type="http://schemas.openxmlformats.org/officeDocument/2006/relationships/hyperlink" Target="https://youtu.be/6_Q983uTU_8?si=WnrBJjbLiAxAQxp3" TargetMode="External"/><Relationship Id="rId391" Type="http://schemas.openxmlformats.org/officeDocument/2006/relationships/hyperlink" Target="https://youtu.be/jNj-n3QvVPs?si=uuV5n9V2UWmanhwq" TargetMode="External"/><Relationship Id="rId390" Type="http://schemas.openxmlformats.org/officeDocument/2006/relationships/hyperlink" Target="https://youtu.be/xPf3BAdVcXU?si=PTfB3wxrv3jtnd6L" TargetMode="External"/><Relationship Id="rId1" Type="http://schemas.openxmlformats.org/officeDocument/2006/relationships/hyperlink" Target="https://youtu.be/QXibHEHcwsc?si=sxmgmD3XRF27dPwB" TargetMode="External"/><Relationship Id="rId2" Type="http://schemas.openxmlformats.org/officeDocument/2006/relationships/hyperlink" Target="https://youtu.be/HyrXaj896jA?si=_z_Hbbdns67FtXyv" TargetMode="External"/><Relationship Id="rId3" Type="http://schemas.openxmlformats.org/officeDocument/2006/relationships/hyperlink" Target="https://youtu.be/yQfyusksjt4?si=oksGRG3MlcBQgqYN" TargetMode="External"/><Relationship Id="rId149" Type="http://schemas.openxmlformats.org/officeDocument/2006/relationships/hyperlink" Target="https://youtu.be/Nn33rsSi8ZA?si=ZmGXXDbRaCSdBn66" TargetMode="External"/><Relationship Id="rId4" Type="http://schemas.openxmlformats.org/officeDocument/2006/relationships/hyperlink" Target="https://youtu.be/59fzA3Ipn-E?si=5onUBzyHCrs1EwOP" TargetMode="External"/><Relationship Id="rId148" Type="http://schemas.openxmlformats.org/officeDocument/2006/relationships/hyperlink" Target="https://youtu.be/Gl3a75jFdeE?si=TaPhethlfFxm5zly" TargetMode="External"/><Relationship Id="rId9" Type="http://schemas.openxmlformats.org/officeDocument/2006/relationships/hyperlink" Target="https://youtu.be/RmBivLu-8HQ?si=odS481-bF8FvzzWI" TargetMode="External"/><Relationship Id="rId143" Type="http://schemas.openxmlformats.org/officeDocument/2006/relationships/hyperlink" Target="https://youtu.be/vPib32E1fXs?si=OnY4zKnAMNVjyKUx" TargetMode="External"/><Relationship Id="rId385" Type="http://schemas.openxmlformats.org/officeDocument/2006/relationships/hyperlink" Target="https://www.youtube.com/watch?v=dA8y4dQuq3c" TargetMode="External"/><Relationship Id="rId142" Type="http://schemas.openxmlformats.org/officeDocument/2006/relationships/hyperlink" Target="https://youtu.be/BZTwmLoKZ2U?si=MlueF8nfgp1NXgu5" TargetMode="External"/><Relationship Id="rId384" Type="http://schemas.openxmlformats.org/officeDocument/2006/relationships/hyperlink" Target="https://www.youtube.com/watch?v=ZyV2pyRg8S8" TargetMode="External"/><Relationship Id="rId141" Type="http://schemas.openxmlformats.org/officeDocument/2006/relationships/hyperlink" Target="https://youtu.be/QsvBJ914reg?si=_foCWI57VkSmri-u" TargetMode="External"/><Relationship Id="rId383" Type="http://schemas.openxmlformats.org/officeDocument/2006/relationships/hyperlink" Target="https://youtu.be/NQVNe4pUWs0?si=VKoxjUyh4kk2QL_l" TargetMode="External"/><Relationship Id="rId140" Type="http://schemas.openxmlformats.org/officeDocument/2006/relationships/hyperlink" Target="https://youtu.be/djv4bJH8250?si=Sz2zEcBrNrmsyM2i" TargetMode="External"/><Relationship Id="rId382" Type="http://schemas.openxmlformats.org/officeDocument/2006/relationships/hyperlink" Target="https://youtu.be/TvVtcfXZgWY?si=-DJQItQtr0FMIrxo" TargetMode="External"/><Relationship Id="rId5" Type="http://schemas.openxmlformats.org/officeDocument/2006/relationships/hyperlink" Target="https://youtu.be/Oi_6zNupJvk?si=GLKimNqBgC6NqVaa" TargetMode="External"/><Relationship Id="rId147" Type="http://schemas.openxmlformats.org/officeDocument/2006/relationships/hyperlink" Target="https://youtu.be/Csnd2DXsJL4?si=6Y-0XILswaHd0P_5" TargetMode="External"/><Relationship Id="rId389" Type="http://schemas.openxmlformats.org/officeDocument/2006/relationships/hyperlink" Target="https://youtu.be/TTKY92oj2uw?si=OIHfu68g1w40TDDd" TargetMode="External"/><Relationship Id="rId6" Type="http://schemas.openxmlformats.org/officeDocument/2006/relationships/hyperlink" Target="https://youtu.be/Hnw3BF08xSk?si=WKfZ_CIvRkC29Ij1" TargetMode="External"/><Relationship Id="rId146" Type="http://schemas.openxmlformats.org/officeDocument/2006/relationships/hyperlink" Target="https://youtu.be/QNV0No4U96c?si=CNjVziy-2a9FDxJD" TargetMode="External"/><Relationship Id="rId388" Type="http://schemas.openxmlformats.org/officeDocument/2006/relationships/hyperlink" Target="https://youtu.be/45T5nM3dBoA?si=odYK0dy9q27lYj5w" TargetMode="External"/><Relationship Id="rId7" Type="http://schemas.openxmlformats.org/officeDocument/2006/relationships/hyperlink" Target="https://youtu.be/1dTwD7dDzL4?si=4OA4jayRi8GqH7kp" TargetMode="External"/><Relationship Id="rId145" Type="http://schemas.openxmlformats.org/officeDocument/2006/relationships/hyperlink" Target="https://youtu.be/2UeSDbLyKU4?si=efvy9GoZbKq_s1ja" TargetMode="External"/><Relationship Id="rId387" Type="http://schemas.openxmlformats.org/officeDocument/2006/relationships/hyperlink" Target="https://youtu.be/OImw3pgLgYI?si=UWfDyQzyc3LtCrmw" TargetMode="External"/><Relationship Id="rId8" Type="http://schemas.openxmlformats.org/officeDocument/2006/relationships/hyperlink" Target="https://youtu.be/7AYHKNG_qBo?si=BckiNEhrb8k-hRb3" TargetMode="External"/><Relationship Id="rId144" Type="http://schemas.openxmlformats.org/officeDocument/2006/relationships/hyperlink" Target="https://youtu.be/xRy5_iJIYZo?si=J4_9DNQN3kNM6IM7" TargetMode="External"/><Relationship Id="rId386" Type="http://schemas.openxmlformats.org/officeDocument/2006/relationships/hyperlink" Target="https://youtu.be/Zm45sk5Ef18?si=agtrBPayagg9ogfO" TargetMode="External"/><Relationship Id="rId381" Type="http://schemas.openxmlformats.org/officeDocument/2006/relationships/hyperlink" Target="https://youtu.be/Es3sea4IRes?si=NCZyAaW8LPiEZzqh" TargetMode="External"/><Relationship Id="rId380" Type="http://schemas.openxmlformats.org/officeDocument/2006/relationships/hyperlink" Target="https://youtu.be/ufUCBbMrk1g?si=ejTWGolnofc78OGJ" TargetMode="External"/><Relationship Id="rId139" Type="http://schemas.openxmlformats.org/officeDocument/2006/relationships/hyperlink" Target="https://youtu.be/c_KWyF1E41s?si=kiCyHmqblfqbtt9c" TargetMode="External"/><Relationship Id="rId138" Type="http://schemas.openxmlformats.org/officeDocument/2006/relationships/hyperlink" Target="https://youtu.be/YhSl69_G5Ws?si=InKmhDJ3T1pzoxlz" TargetMode="External"/><Relationship Id="rId137" Type="http://schemas.openxmlformats.org/officeDocument/2006/relationships/hyperlink" Target="https://youtu.be/yLa9Y1zECdw?si=lA9hQTDuF2ep9M17" TargetMode="External"/><Relationship Id="rId379" Type="http://schemas.openxmlformats.org/officeDocument/2006/relationships/hyperlink" Target="https://youtu.be/racYrXYRJQc?si=YqSTUkBCrLoMUydq" TargetMode="External"/><Relationship Id="rId132" Type="http://schemas.openxmlformats.org/officeDocument/2006/relationships/hyperlink" Target="https://youtu.be/eIlzQPm5PYQ?si=sItHKxkxE5ln9GYU" TargetMode="External"/><Relationship Id="rId374" Type="http://schemas.openxmlformats.org/officeDocument/2006/relationships/hyperlink" Target="https://youtu.be/2_xtgEsQVyo?si=eCtrOyDnJuRyaBiu" TargetMode="External"/><Relationship Id="rId131" Type="http://schemas.openxmlformats.org/officeDocument/2006/relationships/hyperlink" Target="https://youtu.be/PfiEPZE9w7M?si=WSHeU5cwpy6jkAhj" TargetMode="External"/><Relationship Id="rId373" Type="http://schemas.openxmlformats.org/officeDocument/2006/relationships/hyperlink" Target="https://youtu.be/QSDGCtchpfQ?si=ca2SxxxvjgDmCk93" TargetMode="External"/><Relationship Id="rId130" Type="http://schemas.openxmlformats.org/officeDocument/2006/relationships/hyperlink" Target="https://youtu.be/kZTC4eB-DKU?si=nBeykx8ZK3ZWjz5i" TargetMode="External"/><Relationship Id="rId372" Type="http://schemas.openxmlformats.org/officeDocument/2006/relationships/hyperlink" Target="https://youtu.be/cjF0VxYXv1Q?si=osY_1zDbC5rwL0DY" TargetMode="External"/><Relationship Id="rId371" Type="http://schemas.openxmlformats.org/officeDocument/2006/relationships/hyperlink" Target="https://youtu.be/BZKo4o3hBB4?si=9q77-y1r-Cq8QK21" TargetMode="External"/><Relationship Id="rId136" Type="http://schemas.openxmlformats.org/officeDocument/2006/relationships/hyperlink" Target="https://youtu.be/j2vYHWssJHQ?si=jITN6d-TnDgivOmS" TargetMode="External"/><Relationship Id="rId378" Type="http://schemas.openxmlformats.org/officeDocument/2006/relationships/hyperlink" Target="https://youtu.be/BxnmSAD81Sc?si=mzWysLl-Rb6H68fp" TargetMode="External"/><Relationship Id="rId135" Type="http://schemas.openxmlformats.org/officeDocument/2006/relationships/hyperlink" Target="https://youtu.be/WHmB9UK6D_w?si=Pcr4igIkAFbH0dGD" TargetMode="External"/><Relationship Id="rId377" Type="http://schemas.openxmlformats.org/officeDocument/2006/relationships/hyperlink" Target="https://youtu.be/T0mXtyi1Gsg?si=IMLPLEqfA8va4Hyg" TargetMode="External"/><Relationship Id="rId134" Type="http://schemas.openxmlformats.org/officeDocument/2006/relationships/hyperlink" Target="https://youtu.be/C-l-BZMlYJA?si=_XYCTVlroeTPF9Sz" TargetMode="External"/><Relationship Id="rId376" Type="http://schemas.openxmlformats.org/officeDocument/2006/relationships/hyperlink" Target="https://youtu.be/gPfg701K_CU?si=QAETZqFOBR9AylVC" TargetMode="External"/><Relationship Id="rId133" Type="http://schemas.openxmlformats.org/officeDocument/2006/relationships/hyperlink" Target="https://youtu.be/g22BWgZ2cCE?si=F_dzgaXbaOEp63Lp" TargetMode="External"/><Relationship Id="rId375" Type="http://schemas.openxmlformats.org/officeDocument/2006/relationships/hyperlink" Target="https://youtu.be/orj543WjUC0?si=iqjUl_TGS-gh4uHK" TargetMode="External"/><Relationship Id="rId172" Type="http://schemas.openxmlformats.org/officeDocument/2006/relationships/hyperlink" Target="https://youtu.be/B2YT_CJEn2k?si=miyiu1JgUsYXjvOs" TargetMode="External"/><Relationship Id="rId171" Type="http://schemas.openxmlformats.org/officeDocument/2006/relationships/hyperlink" Target="https://youtu.be/0GZ7UdDiRDU?si=mIy7YM3r-S9Zv164" TargetMode="External"/><Relationship Id="rId170" Type="http://schemas.openxmlformats.org/officeDocument/2006/relationships/hyperlink" Target="https://youtu.be/E8CFmo7tRWA?si=v_Wq7D6pn4Zb_7ni" TargetMode="External"/><Relationship Id="rId165" Type="http://schemas.openxmlformats.org/officeDocument/2006/relationships/hyperlink" Target="https://youtu.be/AQlc_HFI6H0?si=PsmsCxpaGqagfgmH" TargetMode="External"/><Relationship Id="rId164" Type="http://schemas.openxmlformats.org/officeDocument/2006/relationships/hyperlink" Target="https://youtu.be/Omp0w2dBQhk?si=ajL5_6OWZZjK_zZp" TargetMode="External"/><Relationship Id="rId163" Type="http://schemas.openxmlformats.org/officeDocument/2006/relationships/hyperlink" Target="https://youtu.be/DuzwJ2jI15U?si=KlJ8ZZeTnHr5xaPv" TargetMode="External"/><Relationship Id="rId162" Type="http://schemas.openxmlformats.org/officeDocument/2006/relationships/hyperlink" Target="https://youtu.be/UKBck_KGjPo?si=SsjpIhrXuotEG88A" TargetMode="External"/><Relationship Id="rId169" Type="http://schemas.openxmlformats.org/officeDocument/2006/relationships/hyperlink" Target="https://youtu.be/JuG7NLLCmos?si=Rli3XfwtqGKAn_2P" TargetMode="External"/><Relationship Id="rId168" Type="http://schemas.openxmlformats.org/officeDocument/2006/relationships/hyperlink" Target="https://youtu.be/zUPqAx3FG68?si=8VAzRtzYkO8J6Oip" TargetMode="External"/><Relationship Id="rId167" Type="http://schemas.openxmlformats.org/officeDocument/2006/relationships/hyperlink" Target="https://youtu.be/gPmBuhO1hzI?si=1rbuGdTGnL53YxwV" TargetMode="External"/><Relationship Id="rId166" Type="http://schemas.openxmlformats.org/officeDocument/2006/relationships/hyperlink" Target="https://youtu.be/S_Bzrk7e6G4?si=nMZxW9cND1YAEVA7" TargetMode="External"/><Relationship Id="rId161" Type="http://schemas.openxmlformats.org/officeDocument/2006/relationships/hyperlink" Target="https://youtu.be/S_vXFqdaaJQ?si=6w8R_RrI72_qmKzl" TargetMode="External"/><Relationship Id="rId160" Type="http://schemas.openxmlformats.org/officeDocument/2006/relationships/hyperlink" Target="https://youtu.be/98FLpKeOtNA?si=n-VPUtBc-M9hlx7q" TargetMode="External"/><Relationship Id="rId159" Type="http://schemas.openxmlformats.org/officeDocument/2006/relationships/hyperlink" Target="https://youtu.be/Th8e6xxyg5E?si=QjpwZIEwFbiHLiQh" TargetMode="External"/><Relationship Id="rId154" Type="http://schemas.openxmlformats.org/officeDocument/2006/relationships/hyperlink" Target="https://youtu.be/X3GbWOegovU?si=qUR7SlET5_IhSOB0" TargetMode="External"/><Relationship Id="rId396" Type="http://schemas.openxmlformats.org/officeDocument/2006/relationships/hyperlink" Target="https://youtu.be/DFqqyzKUmjs?si=Ka2XujnjSjNwW1yS" TargetMode="External"/><Relationship Id="rId153" Type="http://schemas.openxmlformats.org/officeDocument/2006/relationships/hyperlink" Target="https://youtu.be/IBHgJamPOm8?si=bx_GTdyLXAVQNJ12" TargetMode="External"/><Relationship Id="rId395" Type="http://schemas.openxmlformats.org/officeDocument/2006/relationships/hyperlink" Target="https://youtu.be/4a9WMtbsCFs?si=AHihUGk04zPI8fxH" TargetMode="External"/><Relationship Id="rId152" Type="http://schemas.openxmlformats.org/officeDocument/2006/relationships/hyperlink" Target="https://youtu.be/f0X6kQ5s5Uw?si=ctMfrSY9WbmTKYU2" TargetMode="External"/><Relationship Id="rId394" Type="http://schemas.openxmlformats.org/officeDocument/2006/relationships/hyperlink" Target="https://youtu.be/6UyMyr7YRKQ?si=IzNugk3BdvoSMKRK" TargetMode="External"/><Relationship Id="rId151" Type="http://schemas.openxmlformats.org/officeDocument/2006/relationships/hyperlink" Target="https://youtu.be/A-wVsNjigbY?si=JHpom2T5RqlxeEk-" TargetMode="External"/><Relationship Id="rId393" Type="http://schemas.openxmlformats.org/officeDocument/2006/relationships/hyperlink" Target="https://youtu.be/oa2czuykJCE?si=9Wj2IT-f4Gi3TOP1" TargetMode="External"/><Relationship Id="rId158" Type="http://schemas.openxmlformats.org/officeDocument/2006/relationships/hyperlink" Target="https://youtu.be/HPdg75gadgc?si=wv5i_Mkjm1zXBABj" TargetMode="External"/><Relationship Id="rId157" Type="http://schemas.openxmlformats.org/officeDocument/2006/relationships/hyperlink" Target="https://youtu.be/3nb28JVb3-4?si=XynPXMTeXvbjxS8I" TargetMode="External"/><Relationship Id="rId399" Type="http://schemas.openxmlformats.org/officeDocument/2006/relationships/hyperlink" Target="https://youtu.be/2g11f-P5sHA?si=qTT6jJEhODxhLV3E" TargetMode="External"/><Relationship Id="rId156" Type="http://schemas.openxmlformats.org/officeDocument/2006/relationships/hyperlink" Target="https://youtu.be/NKzWJG--URg?si=DwQnx0TrLsKWiHMS" TargetMode="External"/><Relationship Id="rId398" Type="http://schemas.openxmlformats.org/officeDocument/2006/relationships/hyperlink" Target="https://youtu.be/zDh0kHAVBcQ?si=WGvL_kdsmiFvj6sb" TargetMode="External"/><Relationship Id="rId155" Type="http://schemas.openxmlformats.org/officeDocument/2006/relationships/hyperlink" Target="https://youtu.be/uQamzyf3RwU?si=fDtYvBcuaINyYDcP" TargetMode="External"/><Relationship Id="rId397" Type="http://schemas.openxmlformats.org/officeDocument/2006/relationships/hyperlink" Target="https://youtu.be/mtY7ByTh0es?si=GplgkILSDsgD4zLp" TargetMode="External"/><Relationship Id="rId40" Type="http://schemas.openxmlformats.org/officeDocument/2006/relationships/hyperlink" Target="https://youtu.be/Ycae84vHcdo?si=8j1sKp8h_CpU0hvd" TargetMode="External"/><Relationship Id="rId42" Type="http://schemas.openxmlformats.org/officeDocument/2006/relationships/hyperlink" Target="https://youtu.be/VMZdQJB6Fi4?si=BhgkGw76FYJ7cM8N" TargetMode="External"/><Relationship Id="rId41" Type="http://schemas.openxmlformats.org/officeDocument/2006/relationships/hyperlink" Target="https://youtu.be/MdQiGj9yVdw?si=ypaQbFSfZwEF4Xvo" TargetMode="External"/><Relationship Id="rId44" Type="http://schemas.openxmlformats.org/officeDocument/2006/relationships/hyperlink" Target="https://youtu.be/O5nfIpwiah0?si=Pro5pwWimEW2TG2e" TargetMode="External"/><Relationship Id="rId43" Type="http://schemas.openxmlformats.org/officeDocument/2006/relationships/hyperlink" Target="https://youtu.be/lXExts3WHyY?si=rAgsjiR8PwT-Rt0I" TargetMode="External"/><Relationship Id="rId46" Type="http://schemas.openxmlformats.org/officeDocument/2006/relationships/hyperlink" Target="https://youtu.be/XEYTuTI9gqw?si=H6siwTa1lRJexfMM" TargetMode="External"/><Relationship Id="rId45" Type="http://schemas.openxmlformats.org/officeDocument/2006/relationships/hyperlink" Target="https://youtu.be/DWSqFPCIrwM?si=pK-cwkvUm6Dhtpjb" TargetMode="External"/><Relationship Id="rId509" Type="http://schemas.openxmlformats.org/officeDocument/2006/relationships/hyperlink" Target="https://youtu.be/NFi2K-rSR1Y?si=Ilg75Tx08L5lrXPg" TargetMode="External"/><Relationship Id="rId508" Type="http://schemas.openxmlformats.org/officeDocument/2006/relationships/hyperlink" Target="https://youtu.be/BXygjtc5Oec?si=ffyKkMqY7nd9vRZ7" TargetMode="External"/><Relationship Id="rId503" Type="http://schemas.openxmlformats.org/officeDocument/2006/relationships/hyperlink" Target="https://youtu.be/K42ldGYcL70?si=hLquXGN_9PriMvVS" TargetMode="External"/><Relationship Id="rId745" Type="http://schemas.openxmlformats.org/officeDocument/2006/relationships/hyperlink" Target="https://youtu.be/DL_XWnYuM7s?si=1ZPT08nwlWz8J--f" TargetMode="External"/><Relationship Id="rId502" Type="http://schemas.openxmlformats.org/officeDocument/2006/relationships/hyperlink" Target="https://youtu.be/nVYvgQNokmo?si=FbdY1ofrT_jlkVxo" TargetMode="External"/><Relationship Id="rId744" Type="http://schemas.openxmlformats.org/officeDocument/2006/relationships/hyperlink" Target="https://youtu.be/OPGSp5_c9oE?si=9YPhbU20FqlC1DaP" TargetMode="External"/><Relationship Id="rId501" Type="http://schemas.openxmlformats.org/officeDocument/2006/relationships/hyperlink" Target="https://youtu.be/sUAhqXdPCoo?si=RZsyfuXP9TK-ypKN" TargetMode="External"/><Relationship Id="rId743" Type="http://schemas.openxmlformats.org/officeDocument/2006/relationships/hyperlink" Target="https://youtu.be/Dn95jiD-RZU?si=ZXppG-W9GWIZ7pJa" TargetMode="External"/><Relationship Id="rId500" Type="http://schemas.openxmlformats.org/officeDocument/2006/relationships/hyperlink" Target="https://youtu.be/2MXKu617XBY?si=bp7VOYlHnLsa_t_W" TargetMode="External"/><Relationship Id="rId742" Type="http://schemas.openxmlformats.org/officeDocument/2006/relationships/hyperlink" Target="https://youtu.be/ln75GA5UkM8?si=xcrc6MGVkERU79NG" TargetMode="External"/><Relationship Id="rId507" Type="http://schemas.openxmlformats.org/officeDocument/2006/relationships/hyperlink" Target="https://youtu.be/A0r6HTE8PLw?si=vJ3cvZCuASEGrs7F" TargetMode="External"/><Relationship Id="rId749" Type="http://schemas.openxmlformats.org/officeDocument/2006/relationships/hyperlink" Target="https://youtu.be/xPMLVu5BT1U?si=JDSVmvvd8uolCFB2" TargetMode="External"/><Relationship Id="rId506" Type="http://schemas.openxmlformats.org/officeDocument/2006/relationships/hyperlink" Target="https://youtu.be/85xCjeGF4qM?si=Ee7rlxgg0axQen7Y" TargetMode="External"/><Relationship Id="rId748" Type="http://schemas.openxmlformats.org/officeDocument/2006/relationships/hyperlink" Target="https://youtu.be/OfqIS1fjWUw?si=X9FfOgyuOkSnG6tX" TargetMode="External"/><Relationship Id="rId505" Type="http://schemas.openxmlformats.org/officeDocument/2006/relationships/hyperlink" Target="https://youtu.be/s7-yc8DOxXY?si=xHp0Hr_lL7Awg-N2" TargetMode="External"/><Relationship Id="rId747" Type="http://schemas.openxmlformats.org/officeDocument/2006/relationships/hyperlink" Target="https://youtu.be/OzH99ZAg8rI?si=2Tn_OMJtM21a-3Np" TargetMode="External"/><Relationship Id="rId504" Type="http://schemas.openxmlformats.org/officeDocument/2006/relationships/hyperlink" Target="https://youtu.be/FjOsaXzSVrI?si=BBxGA8pkmtsXNEZx" TargetMode="External"/><Relationship Id="rId746" Type="http://schemas.openxmlformats.org/officeDocument/2006/relationships/hyperlink" Target="https://youtu.be/oX-joGHPNKE?si=JdYzQWHrbMN3L5ku" TargetMode="External"/><Relationship Id="rId48" Type="http://schemas.openxmlformats.org/officeDocument/2006/relationships/hyperlink" Target="https://youtu.be/ZtOQ49_hO8s?si=9-ZVCntvCpSFNl3N" TargetMode="External"/><Relationship Id="rId47" Type="http://schemas.openxmlformats.org/officeDocument/2006/relationships/hyperlink" Target="https://youtu.be/tLXNNejKhJs?si=JD3pcV6-44uEaOII" TargetMode="External"/><Relationship Id="rId49" Type="http://schemas.openxmlformats.org/officeDocument/2006/relationships/hyperlink" Target="https://youtu.be/uKjhHebmZJM?si=Ekp98katXml9CM2N" TargetMode="External"/><Relationship Id="rId741" Type="http://schemas.openxmlformats.org/officeDocument/2006/relationships/hyperlink" Target="https://youtu.be/D6xQSJWBh3I?si=JIQP100JmolvwRma" TargetMode="External"/><Relationship Id="rId740" Type="http://schemas.openxmlformats.org/officeDocument/2006/relationships/hyperlink" Target="https://youtu.be/w3YTNzOHHRs?si=sG2QK86zWQqVxdsm" TargetMode="External"/><Relationship Id="rId31" Type="http://schemas.openxmlformats.org/officeDocument/2006/relationships/hyperlink" Target="https://youtu.be/7IFNhVLCrOU?si=IuN7AcQ4wU65eZXN" TargetMode="External"/><Relationship Id="rId30" Type="http://schemas.openxmlformats.org/officeDocument/2006/relationships/hyperlink" Target="https://youtu.be/3oTmAUuYdN4?si=5HBEeCZQ_gJt3tkR" TargetMode="External"/><Relationship Id="rId33" Type="http://schemas.openxmlformats.org/officeDocument/2006/relationships/hyperlink" Target="https://youtu.be/X0jcynzqO_4?si=bDGrLGOD3_SLzFer" TargetMode="External"/><Relationship Id="rId32" Type="http://schemas.openxmlformats.org/officeDocument/2006/relationships/hyperlink" Target="https://youtu.be/1whY3cq5JGc?si=Wq0B2buH36dOFwJP" TargetMode="External"/><Relationship Id="rId35" Type="http://schemas.openxmlformats.org/officeDocument/2006/relationships/hyperlink" Target="https://youtu.be/-wrLGBySWY0?si=0ad23L91Yw55USiq" TargetMode="External"/><Relationship Id="rId34" Type="http://schemas.openxmlformats.org/officeDocument/2006/relationships/hyperlink" Target="https://youtu.be/kVfRvglG2zE?si=Ynhlf08oOfwBvIp2" TargetMode="External"/><Relationship Id="rId739" Type="http://schemas.openxmlformats.org/officeDocument/2006/relationships/hyperlink" Target="https://youtu.be/H-XO57q2va8?si=szyz8py4CUgOG9zm" TargetMode="External"/><Relationship Id="rId734" Type="http://schemas.openxmlformats.org/officeDocument/2006/relationships/hyperlink" Target="https://youtu.be/_IJFWImeOaE?si=o-zLHvrJTh18VfJf" TargetMode="External"/><Relationship Id="rId733" Type="http://schemas.openxmlformats.org/officeDocument/2006/relationships/hyperlink" Target="https://youtu.be/smfXguBFBwU?si=qcfU_gdBINgHGgnG" TargetMode="External"/><Relationship Id="rId732" Type="http://schemas.openxmlformats.org/officeDocument/2006/relationships/hyperlink" Target="https://youtu.be/Geui2j-YlFs?si=FSDHHODyT1TwMmGa" TargetMode="External"/><Relationship Id="rId731" Type="http://schemas.openxmlformats.org/officeDocument/2006/relationships/hyperlink" Target="https://youtu.be/i-4dTRM_O7k?si=LIPDsXlC2FuEwyaI" TargetMode="External"/><Relationship Id="rId738" Type="http://schemas.openxmlformats.org/officeDocument/2006/relationships/hyperlink" Target="https://youtu.be/ofh4vesA91A?si=SzzA-bKX9iRYV3hD" TargetMode="External"/><Relationship Id="rId737" Type="http://schemas.openxmlformats.org/officeDocument/2006/relationships/hyperlink" Target="https://youtu.be/s-crs7XH0ME?si=bnMdaM-DwhkK9QQY" TargetMode="External"/><Relationship Id="rId736" Type="http://schemas.openxmlformats.org/officeDocument/2006/relationships/hyperlink" Target="https://youtu.be/NMO0G4Bwxe4?si=XPt6yipoVjXcJsDN" TargetMode="External"/><Relationship Id="rId735" Type="http://schemas.openxmlformats.org/officeDocument/2006/relationships/hyperlink" Target="https://youtu.be/qT0VS3lR1sI?si=yl4_iM9BGibdKLgA" TargetMode="External"/><Relationship Id="rId37" Type="http://schemas.openxmlformats.org/officeDocument/2006/relationships/hyperlink" Target="https://youtu.be/zFyu3I7Pj98?si=cQHpJ-EpeMI4QtWf" TargetMode="External"/><Relationship Id="rId36" Type="http://schemas.openxmlformats.org/officeDocument/2006/relationships/hyperlink" Target="https://youtu.be/5qBAwkxGMLw?si=GQalxnMjb-UZp-gD" TargetMode="External"/><Relationship Id="rId39" Type="http://schemas.openxmlformats.org/officeDocument/2006/relationships/hyperlink" Target="https://youtu.be/nnOYvP9kFOo?si=lLGRXeTTLUSqFMBQ" TargetMode="External"/><Relationship Id="rId38" Type="http://schemas.openxmlformats.org/officeDocument/2006/relationships/hyperlink" Target="https://youtu.be/T84xGh2RFzU?si=-1ncTrUUymFXOksq" TargetMode="External"/><Relationship Id="rId730" Type="http://schemas.openxmlformats.org/officeDocument/2006/relationships/hyperlink" Target="https://youtu.be/BEy1Q0VYeyk?si=QkSMjI4zbhhrjyXe" TargetMode="External"/><Relationship Id="rId20" Type="http://schemas.openxmlformats.org/officeDocument/2006/relationships/hyperlink" Target="https://youtu.be/ozEjPPZ_014?si=DC1lsY8W5As8UzWp" TargetMode="External"/><Relationship Id="rId22" Type="http://schemas.openxmlformats.org/officeDocument/2006/relationships/hyperlink" Target="https://youtu.be/6MjXt46zwTM?si=Czu62FopZFVFtsKA" TargetMode="External"/><Relationship Id="rId21" Type="http://schemas.openxmlformats.org/officeDocument/2006/relationships/hyperlink" Target="https://youtu.be/cnBqvwZ-Wio?si=Tv6cJinyv1HPe4YQ" TargetMode="External"/><Relationship Id="rId24" Type="http://schemas.openxmlformats.org/officeDocument/2006/relationships/hyperlink" Target="https://youtu.be/N18UOzwV7Ic?si=aZ3bmV06R3CIXztm" TargetMode="External"/><Relationship Id="rId23" Type="http://schemas.openxmlformats.org/officeDocument/2006/relationships/hyperlink" Target="https://youtu.be/jhT45HzPDoI?si=6xwhhK84LIJ7xZZM" TargetMode="External"/><Relationship Id="rId525" Type="http://schemas.openxmlformats.org/officeDocument/2006/relationships/hyperlink" Target="https://www.youtube.com/watch?v=OHn6a-_Dt5w&amp;list=RDQMjqntcmzWFe4&amp;start_radio=1" TargetMode="External"/><Relationship Id="rId767" Type="http://schemas.openxmlformats.org/officeDocument/2006/relationships/hyperlink" Target="https://youtu.be/S1jPTnL-53g?si=GKjhilRNylfUgOai" TargetMode="External"/><Relationship Id="rId524" Type="http://schemas.openxmlformats.org/officeDocument/2006/relationships/hyperlink" Target="https://youtu.be/Xj6WaAzyWBI?si=THLEHlmBu4xmC3v_" TargetMode="External"/><Relationship Id="rId766" Type="http://schemas.openxmlformats.org/officeDocument/2006/relationships/hyperlink" Target="https://youtu.be/4YLTWkamwlY?si=GWodCqta-XxrEkC1" TargetMode="External"/><Relationship Id="rId523" Type="http://schemas.openxmlformats.org/officeDocument/2006/relationships/hyperlink" Target="https://youtu.be/fu09lxVMHuw?si=qvYWuT43XdEOgDWJ" TargetMode="External"/><Relationship Id="rId765" Type="http://schemas.openxmlformats.org/officeDocument/2006/relationships/hyperlink" Target="https://youtu.be/lRV-Tx0mEiM?si=zDsNfcIHJbK9sPhs" TargetMode="External"/><Relationship Id="rId522" Type="http://schemas.openxmlformats.org/officeDocument/2006/relationships/hyperlink" Target="https://youtu.be/PXWa6efHwcA?si=SzHmWJJOFJkjjXPI" TargetMode="External"/><Relationship Id="rId764" Type="http://schemas.openxmlformats.org/officeDocument/2006/relationships/hyperlink" Target="https://youtu.be/qy10Yq7zb3Q?si=W4C1LesJXprfug5T" TargetMode="External"/><Relationship Id="rId529" Type="http://schemas.openxmlformats.org/officeDocument/2006/relationships/hyperlink" Target="https://youtu.be/QwONU9X5c5c?si=gCUK52Cde6LNTL02" TargetMode="External"/><Relationship Id="rId528" Type="http://schemas.openxmlformats.org/officeDocument/2006/relationships/hyperlink" Target="https://youtu.be/mvl0pOjzHXk?si=4JQ44b0f7BdVS0y7" TargetMode="External"/><Relationship Id="rId527" Type="http://schemas.openxmlformats.org/officeDocument/2006/relationships/hyperlink" Target="https://youtu.be/dRkN_2y8Slc?si=IEXhaicHWyHujxj_" TargetMode="External"/><Relationship Id="rId769" Type="http://schemas.openxmlformats.org/officeDocument/2006/relationships/hyperlink" Target="https://youtu.be/TcMCe4U0Bi8?si=NR4BCuNUzu9d0G5c" TargetMode="External"/><Relationship Id="rId526" Type="http://schemas.openxmlformats.org/officeDocument/2006/relationships/hyperlink" Target="https://youtu.be/HWukj_DQ8W8?si=_k_-JIUggtWlReBV" TargetMode="External"/><Relationship Id="rId768" Type="http://schemas.openxmlformats.org/officeDocument/2006/relationships/hyperlink" Target="https://youtu.be/6YUO34WHNcc?si=IeLd4SUrn4cMtbN5" TargetMode="External"/><Relationship Id="rId26" Type="http://schemas.openxmlformats.org/officeDocument/2006/relationships/hyperlink" Target="https://youtu.be/vXKVqIvA0tg?si=jDNypXpOu_P_kv2F" TargetMode="External"/><Relationship Id="rId25" Type="http://schemas.openxmlformats.org/officeDocument/2006/relationships/hyperlink" Target="https://youtu.be/GcPekkQADWs?si=bG-eZ3L2Yil_upeE" TargetMode="External"/><Relationship Id="rId28" Type="http://schemas.openxmlformats.org/officeDocument/2006/relationships/hyperlink" Target="https://youtu.be/o5CBNlP8wmE?si=Y9rUu-yxpDc7zL60" TargetMode="External"/><Relationship Id="rId27" Type="http://schemas.openxmlformats.org/officeDocument/2006/relationships/hyperlink" Target="https://youtu.be/pW4CktanGlc?si=533Wsz1DOMZBDE25" TargetMode="External"/><Relationship Id="rId521" Type="http://schemas.openxmlformats.org/officeDocument/2006/relationships/hyperlink" Target="https://youtu.be/Y1vG0Zyxp8U?si=0DOMnakEvEca1PsU" TargetMode="External"/><Relationship Id="rId763" Type="http://schemas.openxmlformats.org/officeDocument/2006/relationships/hyperlink" Target="https://youtu.be/Uf2gRWGSqec?si=e3WBjB4rreszUXZx" TargetMode="External"/><Relationship Id="rId29" Type="http://schemas.openxmlformats.org/officeDocument/2006/relationships/hyperlink" Target="https://youtu.be/neue14ZN3RQ?si=m-3x0zeqGtYAz9FZ" TargetMode="External"/><Relationship Id="rId520" Type="http://schemas.openxmlformats.org/officeDocument/2006/relationships/hyperlink" Target="https://youtu.be/HeBJ0LHliSo?si=ZNqf4U98krWUqi62" TargetMode="External"/><Relationship Id="rId762" Type="http://schemas.openxmlformats.org/officeDocument/2006/relationships/hyperlink" Target="https://youtu.be/o9xI0t7L4C4?si=g9IS9dLLci7Wn6HL" TargetMode="External"/><Relationship Id="rId761" Type="http://schemas.openxmlformats.org/officeDocument/2006/relationships/hyperlink" Target="https://youtu.be/0irN9vKeXl4?si=Ai8AkE4Tcp6TPKvr" TargetMode="External"/><Relationship Id="rId760" Type="http://schemas.openxmlformats.org/officeDocument/2006/relationships/hyperlink" Target="https://youtu.be/TRZJSs9J27Y?si=p7g6KhQ_xP7pdxzj" TargetMode="External"/><Relationship Id="rId11" Type="http://schemas.openxmlformats.org/officeDocument/2006/relationships/hyperlink" Target="https://youtu.be/QxuDG00m3-Y?si=0_Zgoy1s3GWoH2Ka" TargetMode="External"/><Relationship Id="rId10" Type="http://schemas.openxmlformats.org/officeDocument/2006/relationships/hyperlink" Target="https://www.youtube.com/watch?v=B4w6ZlhWVIs" TargetMode="External"/><Relationship Id="rId13" Type="http://schemas.openxmlformats.org/officeDocument/2006/relationships/hyperlink" Target="https://youtu.be/juftd3yg_wY?si=LrX1g7ur3pZOeox3" TargetMode="External"/><Relationship Id="rId12" Type="http://schemas.openxmlformats.org/officeDocument/2006/relationships/hyperlink" Target="https://youtu.be/4lHpL82SM3g?si=jLhiatiJWRHKXrSi" TargetMode="External"/><Relationship Id="rId519" Type="http://schemas.openxmlformats.org/officeDocument/2006/relationships/hyperlink" Target="https://youtu.be/yODqTiXSCFA?si=InEvDWvcZoOuT0f7" TargetMode="External"/><Relationship Id="rId514" Type="http://schemas.openxmlformats.org/officeDocument/2006/relationships/hyperlink" Target="https://youtu.be/eA2_S9Pyds4?si=0EQBo9nr1Pow0OXL" TargetMode="External"/><Relationship Id="rId756" Type="http://schemas.openxmlformats.org/officeDocument/2006/relationships/hyperlink" Target="https://youtu.be/qsERm_kGpLc?si=nLbfetzlNSr6ddPi" TargetMode="External"/><Relationship Id="rId513" Type="http://schemas.openxmlformats.org/officeDocument/2006/relationships/hyperlink" Target="https://youtu.be/m-yqt5KBvqQ?si=C_jm8o68zVdwz9vy" TargetMode="External"/><Relationship Id="rId755" Type="http://schemas.openxmlformats.org/officeDocument/2006/relationships/hyperlink" Target="https://youtu.be/hn7VL92G998?si=511e6mxUwoCBSSxY" TargetMode="External"/><Relationship Id="rId512" Type="http://schemas.openxmlformats.org/officeDocument/2006/relationships/hyperlink" Target="https://youtu.be/0zZbbH1kuxc?si=pESgkmWiCbW0IepJ" TargetMode="External"/><Relationship Id="rId754" Type="http://schemas.openxmlformats.org/officeDocument/2006/relationships/hyperlink" Target="https://www.youtube.com/watch?v=64x8qcujrIo" TargetMode="External"/><Relationship Id="rId511" Type="http://schemas.openxmlformats.org/officeDocument/2006/relationships/hyperlink" Target="https://youtu.be/RXQRtAgZkyU?si=CFD2Y3bK12k-Jnn5" TargetMode="External"/><Relationship Id="rId753" Type="http://schemas.openxmlformats.org/officeDocument/2006/relationships/hyperlink" Target="https://youtu.be/7G_r5Toy73k?si=FVM_Xk6MBMe2G4p9" TargetMode="External"/><Relationship Id="rId518" Type="http://schemas.openxmlformats.org/officeDocument/2006/relationships/hyperlink" Target="https://youtu.be/3wOvhJccIac?si=o3yt_4wBs4vSjVOM" TargetMode="External"/><Relationship Id="rId517" Type="http://schemas.openxmlformats.org/officeDocument/2006/relationships/hyperlink" Target="https://youtu.be/lnjhms7RgtI?si=IpCg7oYlojuMTUJL" TargetMode="External"/><Relationship Id="rId759" Type="http://schemas.openxmlformats.org/officeDocument/2006/relationships/hyperlink" Target="https://youtu.be/eq9UIOtidG8?si=k28B-gBmePLdXrCp" TargetMode="External"/><Relationship Id="rId516" Type="http://schemas.openxmlformats.org/officeDocument/2006/relationships/hyperlink" Target="https://youtu.be/jb-0SlklxzY?si=MMtXOLGUhgLY10Zu" TargetMode="External"/><Relationship Id="rId758" Type="http://schemas.openxmlformats.org/officeDocument/2006/relationships/hyperlink" Target="https://youtu.be/P3qI3_FzWwI?si=9L3D21uz_413OAhe" TargetMode="External"/><Relationship Id="rId515" Type="http://schemas.openxmlformats.org/officeDocument/2006/relationships/hyperlink" Target="https://youtu.be/nriYn6EAq3U?si=QM-QGwEJXeRLmNmp" TargetMode="External"/><Relationship Id="rId757" Type="http://schemas.openxmlformats.org/officeDocument/2006/relationships/hyperlink" Target="https://youtu.be/197RTHAEheI?si=eOT-Z_CxVYAaS3a7" TargetMode="External"/><Relationship Id="rId15" Type="http://schemas.openxmlformats.org/officeDocument/2006/relationships/hyperlink" Target="https://youtu.be/Z-SUL_6JiKs?si=EGl5zWM__bU5C9Kn" TargetMode="External"/><Relationship Id="rId14" Type="http://schemas.openxmlformats.org/officeDocument/2006/relationships/hyperlink" Target="https://youtu.be/s7WRnU0Fi0U?si=IC5cSqLJ9MFvF3zf" TargetMode="External"/><Relationship Id="rId17" Type="http://schemas.openxmlformats.org/officeDocument/2006/relationships/hyperlink" Target="https://youtu.be/Hl6OLEfrY98?si=Tv-rPhxDpLiTxtJh" TargetMode="External"/><Relationship Id="rId16" Type="http://schemas.openxmlformats.org/officeDocument/2006/relationships/hyperlink" Target="https://youtu.be/lahaD7-B8DQ?si=-jxgx294FjSrNzjE" TargetMode="External"/><Relationship Id="rId19" Type="http://schemas.openxmlformats.org/officeDocument/2006/relationships/hyperlink" Target="https://youtu.be/tjE8Z9IEPPY?si=PdBNNjTzUfmg-V7s" TargetMode="External"/><Relationship Id="rId510" Type="http://schemas.openxmlformats.org/officeDocument/2006/relationships/hyperlink" Target="https://youtu.be/gjJFISdrrB4?si=aMlph8ghJ3Q_byCx" TargetMode="External"/><Relationship Id="rId752" Type="http://schemas.openxmlformats.org/officeDocument/2006/relationships/hyperlink" Target="https://youtu.be/1oPpsh5QmWg?si=xiqeKTFau9ZW-kb7" TargetMode="External"/><Relationship Id="rId18" Type="http://schemas.openxmlformats.org/officeDocument/2006/relationships/hyperlink" Target="https://youtu.be/EYfX-4mAJWc?si=XC7arDDtDQCmO_Cc" TargetMode="External"/><Relationship Id="rId751" Type="http://schemas.openxmlformats.org/officeDocument/2006/relationships/hyperlink" Target="https://youtu.be/_2slKklnztQ?si=OqFyIY6tCs94A78Z" TargetMode="External"/><Relationship Id="rId750" Type="http://schemas.openxmlformats.org/officeDocument/2006/relationships/hyperlink" Target="https://youtu.be/1or-E1TFiJE?si=GOcBzsYqxgXCFkJe" TargetMode="External"/><Relationship Id="rId84" Type="http://schemas.openxmlformats.org/officeDocument/2006/relationships/hyperlink" Target="https://youtu.be/3AmM3-E8-HA?si=rGnrVsEMjTQBJq1P" TargetMode="External"/><Relationship Id="rId83" Type="http://schemas.openxmlformats.org/officeDocument/2006/relationships/hyperlink" Target="https://youtu.be/ufm7VhDVUk8?si=rhMHf350e22exBZE" TargetMode="External"/><Relationship Id="rId86" Type="http://schemas.openxmlformats.org/officeDocument/2006/relationships/hyperlink" Target="https://youtu.be/gHNDkDTMTCQ?si=Hr8wQPksGmXqeufd" TargetMode="External"/><Relationship Id="rId85" Type="http://schemas.openxmlformats.org/officeDocument/2006/relationships/hyperlink" Target="https://youtu.be/OdKG1yvTlUU?si=Tal4KfJAjNw11RJU" TargetMode="External"/><Relationship Id="rId88" Type="http://schemas.openxmlformats.org/officeDocument/2006/relationships/hyperlink" Target="https://youtu.be/kFLCQaW1oE8?si=6pmV58ebKQeB5xeS" TargetMode="External"/><Relationship Id="rId87" Type="http://schemas.openxmlformats.org/officeDocument/2006/relationships/hyperlink" Target="https://youtu.be/bdSH8e-7Eg4?si=7pzeQvOKg37JiYc6" TargetMode="External"/><Relationship Id="rId89" Type="http://schemas.openxmlformats.org/officeDocument/2006/relationships/hyperlink" Target="https://youtu.be/V_bUsF30j88?si=-VW8wbQrJfx4gmOV" TargetMode="External"/><Relationship Id="rId709" Type="http://schemas.openxmlformats.org/officeDocument/2006/relationships/hyperlink" Target="https://youtu.be/r2oQkbbqA2Y?si=xuaA1SvQtuhnUiSO" TargetMode="External"/><Relationship Id="rId708" Type="http://schemas.openxmlformats.org/officeDocument/2006/relationships/hyperlink" Target="https://youtu.be/7QuDEx3_Ygo?si=HQQ9bAHneNZQoaJ0" TargetMode="External"/><Relationship Id="rId707" Type="http://schemas.openxmlformats.org/officeDocument/2006/relationships/hyperlink" Target="https://youtu.be/4cJGELPdwW0?si=iwoMs4S0mK-2kXD1" TargetMode="External"/><Relationship Id="rId706" Type="http://schemas.openxmlformats.org/officeDocument/2006/relationships/hyperlink" Target="https://youtu.be/o0xx_z9rQqk?si=UF4GZ1wpXEYvKSJp" TargetMode="External"/><Relationship Id="rId80" Type="http://schemas.openxmlformats.org/officeDocument/2006/relationships/hyperlink" Target="https://youtu.be/36PHXHVWwQc?si=qCkoZ5DzGps89C4W" TargetMode="External"/><Relationship Id="rId82" Type="http://schemas.openxmlformats.org/officeDocument/2006/relationships/hyperlink" Target="https://youtu.be/sMHuOklcxLc?si=Vlp9TKtru8PW5Zjc" TargetMode="External"/><Relationship Id="rId81" Type="http://schemas.openxmlformats.org/officeDocument/2006/relationships/hyperlink" Target="https://youtu.be/7sxH7bRkRe8?si=f88EzkkKDsN3pHa5" TargetMode="External"/><Relationship Id="rId701" Type="http://schemas.openxmlformats.org/officeDocument/2006/relationships/hyperlink" Target="https://youtu.be/0ry0i1RU9kk?si=pdk0_JHmDpyEE-IF" TargetMode="External"/><Relationship Id="rId700" Type="http://schemas.openxmlformats.org/officeDocument/2006/relationships/hyperlink" Target="https://youtu.be/mJlboZ8DcEg?si=-aC9FI06n1ULlzab" TargetMode="External"/><Relationship Id="rId705" Type="http://schemas.openxmlformats.org/officeDocument/2006/relationships/hyperlink" Target="https://youtu.be/jQRTd2p2taE?si=CtAxY9jV1CTvEiTw" TargetMode="External"/><Relationship Id="rId704" Type="http://schemas.openxmlformats.org/officeDocument/2006/relationships/hyperlink" Target="https://youtu.be/92hWGOeZupE?si=G2UMgX8gUZakdeYN" TargetMode="External"/><Relationship Id="rId703" Type="http://schemas.openxmlformats.org/officeDocument/2006/relationships/hyperlink" Target="https://youtu.be/SIjGNm0EbHw?si=lIP2YGB8uRM3X4Zm" TargetMode="External"/><Relationship Id="rId702" Type="http://schemas.openxmlformats.org/officeDocument/2006/relationships/hyperlink" Target="https://youtu.be/H8HdglX3Goo?si=4JNDCG0hfepDem23" TargetMode="External"/><Relationship Id="rId73" Type="http://schemas.openxmlformats.org/officeDocument/2006/relationships/hyperlink" Target="https://youtu.be/_PyplT2u9K8?si=N_kRJCdznvTkOt7P" TargetMode="External"/><Relationship Id="rId72" Type="http://schemas.openxmlformats.org/officeDocument/2006/relationships/hyperlink" Target="https://youtu.be/G5YOMD6tmUY?si=0d2I50XaI2C-7dWo" TargetMode="External"/><Relationship Id="rId75" Type="http://schemas.openxmlformats.org/officeDocument/2006/relationships/hyperlink" Target="https://youtu.be/D31qsk4Zho0?si=l2g_apZuvM4IlM0H" TargetMode="External"/><Relationship Id="rId74" Type="http://schemas.openxmlformats.org/officeDocument/2006/relationships/hyperlink" Target="https://youtu.be/F-pH-fTwXiU?si=jCw39fBjmlr0cxZ-" TargetMode="External"/><Relationship Id="rId77" Type="http://schemas.openxmlformats.org/officeDocument/2006/relationships/hyperlink" Target="https://youtu.be/L8K0SME1oGI?si=AlBwlhW_AVf7yt-G" TargetMode="External"/><Relationship Id="rId76" Type="http://schemas.openxmlformats.org/officeDocument/2006/relationships/hyperlink" Target="https://youtu.be/tnzKppPRW4g?si=NWcaOt58Y0NR18Z5" TargetMode="External"/><Relationship Id="rId79" Type="http://schemas.openxmlformats.org/officeDocument/2006/relationships/hyperlink" Target="https://youtu.be/dBoTBWrc1cg?si=gC-Evmw6xajpqDQP" TargetMode="External"/><Relationship Id="rId78" Type="http://schemas.openxmlformats.org/officeDocument/2006/relationships/hyperlink" Target="https://youtu.be/-lzurpNhpIQ?si=zBS3XZ1YaC39Gmoz" TargetMode="External"/><Relationship Id="rId71" Type="http://schemas.openxmlformats.org/officeDocument/2006/relationships/hyperlink" Target="https://youtu.be/hujzTIKN-nA?si=p0lVDAbehq_6xcGR" TargetMode="External"/><Relationship Id="rId70" Type="http://schemas.openxmlformats.org/officeDocument/2006/relationships/hyperlink" Target="https://youtu.be/uEqYzdz3Zvg?si=8YfgooQwApos2hOS" TargetMode="External"/><Relationship Id="rId62" Type="http://schemas.openxmlformats.org/officeDocument/2006/relationships/hyperlink" Target="https://youtu.be/B6AgVc2gqUM?si=HtIKyj6iODREzTbs" TargetMode="External"/><Relationship Id="rId61" Type="http://schemas.openxmlformats.org/officeDocument/2006/relationships/hyperlink" Target="https://youtu.be/PsXWOBNb-VE?si=vAoqYxilexSTib2w" TargetMode="External"/><Relationship Id="rId64" Type="http://schemas.openxmlformats.org/officeDocument/2006/relationships/hyperlink" Target="https://youtu.be/RzvGFnD6Yqc?si=fDsN8k5-8zN7ZQ4y" TargetMode="External"/><Relationship Id="rId63" Type="http://schemas.openxmlformats.org/officeDocument/2006/relationships/hyperlink" Target="https://youtu.be/N4c2857Ef0U?si=3mzETHZxBsb8kwDQ" TargetMode="External"/><Relationship Id="rId66" Type="http://schemas.openxmlformats.org/officeDocument/2006/relationships/hyperlink" Target="https://youtu.be/5RdN8jzEl4Y?si=tsyml49DnAB3qaWw" TargetMode="External"/><Relationship Id="rId65" Type="http://schemas.openxmlformats.org/officeDocument/2006/relationships/hyperlink" Target="https://youtu.be/kUkmPBoHyI0?si=HAVpiu8qLw9Xz5KH" TargetMode="External"/><Relationship Id="rId68" Type="http://schemas.openxmlformats.org/officeDocument/2006/relationships/hyperlink" Target="https://youtu.be/uSNtEIp-Ew0?si=Srk-i7LKiwhXzFPG" TargetMode="External"/><Relationship Id="rId67" Type="http://schemas.openxmlformats.org/officeDocument/2006/relationships/hyperlink" Target="https://youtu.be/dmGhakW9MXc?si=YH8x-rbLFY7yOsZ2" TargetMode="External"/><Relationship Id="rId729" Type="http://schemas.openxmlformats.org/officeDocument/2006/relationships/hyperlink" Target="https://youtu.be/Y4HBNL7IcBM?si=d-AUiSOcqzJNSOGt" TargetMode="External"/><Relationship Id="rId728" Type="http://schemas.openxmlformats.org/officeDocument/2006/relationships/hyperlink" Target="https://youtu.be/EWJ-P5noOic?si=6ZWfvyssMeEnEzhX" TargetMode="External"/><Relationship Id="rId60" Type="http://schemas.openxmlformats.org/officeDocument/2006/relationships/hyperlink" Target="https://youtu.be/O-aL9CSdjnQ?si=21Ii6i9VDst_SI1m" TargetMode="External"/><Relationship Id="rId723" Type="http://schemas.openxmlformats.org/officeDocument/2006/relationships/hyperlink" Target="https://youtu.be/jKbQiMQFVJ8?si=R70apN25Pr3x4xBK" TargetMode="External"/><Relationship Id="rId722" Type="http://schemas.openxmlformats.org/officeDocument/2006/relationships/hyperlink" Target="https://youtu.be/L63NkRUwqLA?si=AIQBT80KqC61vuIa" TargetMode="External"/><Relationship Id="rId721" Type="http://schemas.openxmlformats.org/officeDocument/2006/relationships/hyperlink" Target="https://youtu.be/q20uSmuKZcE?si=q9ZBnIVmIoB068Cc" TargetMode="External"/><Relationship Id="rId720" Type="http://schemas.openxmlformats.org/officeDocument/2006/relationships/hyperlink" Target="https://youtu.be/b1HAE-Pi4UI?si=Ih0HvdUFwdCAtAdy" TargetMode="External"/><Relationship Id="rId727" Type="http://schemas.openxmlformats.org/officeDocument/2006/relationships/hyperlink" Target="https://youtu.be/slL74iXmY14?si=L71xznULlBmFkXRL" TargetMode="External"/><Relationship Id="rId726" Type="http://schemas.openxmlformats.org/officeDocument/2006/relationships/hyperlink" Target="https://youtu.be/5917dtJPdbU?si=mkOXKzum58xWuiPi" TargetMode="External"/><Relationship Id="rId725" Type="http://schemas.openxmlformats.org/officeDocument/2006/relationships/hyperlink" Target="https://youtu.be/hysLENtHRak?si=edejYcT9OrknEPmc" TargetMode="External"/><Relationship Id="rId724" Type="http://schemas.openxmlformats.org/officeDocument/2006/relationships/hyperlink" Target="https://youtu.be/X_Sf9xOKFN0?si=Lmpx7RJ_v1uNBsNa" TargetMode="External"/><Relationship Id="rId69" Type="http://schemas.openxmlformats.org/officeDocument/2006/relationships/hyperlink" Target="https://youtu.be/687FtBgKVeg?si=knEoOXVacNuEjv7D" TargetMode="External"/><Relationship Id="rId51" Type="http://schemas.openxmlformats.org/officeDocument/2006/relationships/hyperlink" Target="https://youtu.be/nZq0lvclejg?si=EwOyfr7Dyv_bZLbJ" TargetMode="External"/><Relationship Id="rId50" Type="http://schemas.openxmlformats.org/officeDocument/2006/relationships/hyperlink" Target="https://youtu.be/RLpJCLxacUc?si=CMoPYgc86X86x1mD" TargetMode="External"/><Relationship Id="rId53" Type="http://schemas.openxmlformats.org/officeDocument/2006/relationships/hyperlink" Target="https://youtu.be/VwE5Fc_hz6o?si=_2N16CaugV_pL4Vg" TargetMode="External"/><Relationship Id="rId52" Type="http://schemas.openxmlformats.org/officeDocument/2006/relationships/hyperlink" Target="https://youtu.be/7JRLyQNMwV8?si=OfjsjR4i2FpAVrGw" TargetMode="External"/><Relationship Id="rId55" Type="http://schemas.openxmlformats.org/officeDocument/2006/relationships/hyperlink" Target="https://youtu.be/pxZxwF85g_c?si=eFXpKcflgPpfd-UX" TargetMode="External"/><Relationship Id="rId54" Type="http://schemas.openxmlformats.org/officeDocument/2006/relationships/hyperlink" Target="https://youtu.be/IbwZOj9r7qo?si=28i6Q9zO5i0AqtK7" TargetMode="External"/><Relationship Id="rId57" Type="http://schemas.openxmlformats.org/officeDocument/2006/relationships/hyperlink" Target="https://youtu.be/fveOYRT4DDw?si=ayohgCIio_S5qfY3" TargetMode="External"/><Relationship Id="rId56" Type="http://schemas.openxmlformats.org/officeDocument/2006/relationships/hyperlink" Target="https://youtu.be/OX6Da7jmYP8?si=Ld4lAAxTiTlC1J6R" TargetMode="External"/><Relationship Id="rId719" Type="http://schemas.openxmlformats.org/officeDocument/2006/relationships/hyperlink" Target="https://youtu.be/ozpyGM5ELks?si=vtRxRl8or4fZijnE" TargetMode="External"/><Relationship Id="rId718" Type="http://schemas.openxmlformats.org/officeDocument/2006/relationships/hyperlink" Target="https://youtu.be/Cdwa48Ur5OE?si=4QMFrWtK4jkhThpn" TargetMode="External"/><Relationship Id="rId717" Type="http://schemas.openxmlformats.org/officeDocument/2006/relationships/hyperlink" Target="https://youtu.be/GCaNxB7MIe8?si=XtjWUUBYYsOIu1bi" TargetMode="External"/><Relationship Id="rId712" Type="http://schemas.openxmlformats.org/officeDocument/2006/relationships/hyperlink" Target="https://youtu.be/T-hxEksWa84?si=DNsalODUBNtkWJh-" TargetMode="External"/><Relationship Id="rId711" Type="http://schemas.openxmlformats.org/officeDocument/2006/relationships/hyperlink" Target="https://youtu.be/dl7a-sDQniw?si=NS59tyQF2IZeHrjL" TargetMode="External"/><Relationship Id="rId710" Type="http://schemas.openxmlformats.org/officeDocument/2006/relationships/hyperlink" Target="https://youtu.be/FHqenKqsZHM?si=y-dK8kvSA-zvlrmO" TargetMode="External"/><Relationship Id="rId716" Type="http://schemas.openxmlformats.org/officeDocument/2006/relationships/hyperlink" Target="https://youtu.be/vi74ARwvHp0?si=5BnEF5OrDchjRy7o" TargetMode="External"/><Relationship Id="rId715" Type="http://schemas.openxmlformats.org/officeDocument/2006/relationships/hyperlink" Target="https://youtu.be/R_LySSLgurE?si=_XcpAlEPKM_U20e5" TargetMode="External"/><Relationship Id="rId714" Type="http://schemas.openxmlformats.org/officeDocument/2006/relationships/hyperlink" Target="https://youtu.be/0dsgp3_mpBY?si=fPeMiRyPR1UysBvQ" TargetMode="External"/><Relationship Id="rId713" Type="http://schemas.openxmlformats.org/officeDocument/2006/relationships/hyperlink" Target="https://youtu.be/-CjSr8z0qeM?si=tAS3-rfAD9xgOu-B" TargetMode="External"/><Relationship Id="rId59" Type="http://schemas.openxmlformats.org/officeDocument/2006/relationships/hyperlink" Target="https://youtu.be/7hhX-Ru6YU4?si=Y9Ri4XfQ70RjcK-E" TargetMode="External"/><Relationship Id="rId58" Type="http://schemas.openxmlformats.org/officeDocument/2006/relationships/hyperlink" Target="https://youtu.be/XEOo5F0THbA?si=2CYncgT3-yKKRjyF" TargetMode="External"/><Relationship Id="rId590" Type="http://schemas.openxmlformats.org/officeDocument/2006/relationships/hyperlink" Target="https://youtu.be/88X-qa4P3Iw?si=ZZlr37VDzze98m_P" TargetMode="External"/><Relationship Id="rId107" Type="http://schemas.openxmlformats.org/officeDocument/2006/relationships/hyperlink" Target="https://youtu.be/OJzIbmJemA8?si=PXPM6w2oob9w52P3" TargetMode="External"/><Relationship Id="rId349" Type="http://schemas.openxmlformats.org/officeDocument/2006/relationships/hyperlink" Target="https://youtu.be/JXCU8PInAYA?si=7j9GW3a0GiQM7TKc" TargetMode="External"/><Relationship Id="rId106" Type="http://schemas.openxmlformats.org/officeDocument/2006/relationships/hyperlink" Target="https://youtu.be/sDaPoNBX65A?si=8fY984QEHlsP-Ptm" TargetMode="External"/><Relationship Id="rId348" Type="http://schemas.openxmlformats.org/officeDocument/2006/relationships/hyperlink" Target="https://youtu.be/s0mqOz3F6qQ?si=ohhzsVt2k7mU9q9N" TargetMode="External"/><Relationship Id="rId105" Type="http://schemas.openxmlformats.org/officeDocument/2006/relationships/hyperlink" Target="https://youtu.be/LxNT_mL_FnM?si=TaWovIlxVki-cr8u" TargetMode="External"/><Relationship Id="rId347" Type="http://schemas.openxmlformats.org/officeDocument/2006/relationships/hyperlink" Target="https://youtu.be/X-O-aKH_vNQ?si=2w2jqTCrfZQrkVIi" TargetMode="External"/><Relationship Id="rId589" Type="http://schemas.openxmlformats.org/officeDocument/2006/relationships/hyperlink" Target="https://youtu.be/HjR6o_TiPfA?si=wXax3HnMHmM5WNfA" TargetMode="External"/><Relationship Id="rId104" Type="http://schemas.openxmlformats.org/officeDocument/2006/relationships/hyperlink" Target="https://youtu.be/_RnkEjtlaHc?si=WD1iXqUSXyzqwOYT" TargetMode="External"/><Relationship Id="rId346" Type="http://schemas.openxmlformats.org/officeDocument/2006/relationships/hyperlink" Target="https://youtu.be/MzEr0Z3a5UE?si=UgQxysrkG-UmU8kF" TargetMode="External"/><Relationship Id="rId588" Type="http://schemas.openxmlformats.org/officeDocument/2006/relationships/hyperlink" Target="https://youtu.be/Nin99dMWv_o?si=aM8l9CQnJYHrx0Y4" TargetMode="External"/><Relationship Id="rId109" Type="http://schemas.openxmlformats.org/officeDocument/2006/relationships/hyperlink" Target="https://www.youtube.com/watch?v=X2767Q1iBN8" TargetMode="External"/><Relationship Id="rId108" Type="http://schemas.openxmlformats.org/officeDocument/2006/relationships/hyperlink" Target="https://youtu.be/17Z8bSRxhUM?si=KvOhfB07PLrtxAuU" TargetMode="External"/><Relationship Id="rId341" Type="http://schemas.openxmlformats.org/officeDocument/2006/relationships/hyperlink" Target="https://youtu.be/Zfagfqf9R4c?si=XeRL_1zk2QPiJVoZ" TargetMode="External"/><Relationship Id="rId583" Type="http://schemas.openxmlformats.org/officeDocument/2006/relationships/hyperlink" Target="https://youtu.be/na3aEp1DeX4?si=gyJU5WRtZk6VyUW4" TargetMode="External"/><Relationship Id="rId340" Type="http://schemas.openxmlformats.org/officeDocument/2006/relationships/hyperlink" Target="https://youtu.be/pMLiKbuik9k?si=8mjoFiHLtnC1ymoo" TargetMode="External"/><Relationship Id="rId582" Type="http://schemas.openxmlformats.org/officeDocument/2006/relationships/hyperlink" Target="https://youtu.be/UNhXLW3Se74?si=lR-frGv8HUN3vGxz" TargetMode="External"/><Relationship Id="rId581" Type="http://schemas.openxmlformats.org/officeDocument/2006/relationships/hyperlink" Target="https://youtu.be/lgifZKA_f2Y?si=qwqp77W2_OKtCUyM" TargetMode="External"/><Relationship Id="rId580" Type="http://schemas.openxmlformats.org/officeDocument/2006/relationships/hyperlink" Target="https://youtu.be/u3fJQ_XFoBI?si=Wq5EakdQDTYCbR6q" TargetMode="External"/><Relationship Id="rId103" Type="http://schemas.openxmlformats.org/officeDocument/2006/relationships/hyperlink" Target="https://youtu.be/l3WrolnLUNw?si=7yRtTi3uICLONWzu" TargetMode="External"/><Relationship Id="rId345" Type="http://schemas.openxmlformats.org/officeDocument/2006/relationships/hyperlink" Target="https://youtu.be/kAzxck6ijxg?si=OX4VJ4cf-tMhp9Zf" TargetMode="External"/><Relationship Id="rId587" Type="http://schemas.openxmlformats.org/officeDocument/2006/relationships/hyperlink" Target="https://youtu.be/G8wHA-rEnHo?si=TaxYsBH-OmPACaaS" TargetMode="External"/><Relationship Id="rId102" Type="http://schemas.openxmlformats.org/officeDocument/2006/relationships/hyperlink" Target="https://youtu.be/7hIOa5fOEl4?si=cJWd25bxdxzelRvh" TargetMode="External"/><Relationship Id="rId344" Type="http://schemas.openxmlformats.org/officeDocument/2006/relationships/hyperlink" Target="https://youtu.be/Ii3ZKKV5FEw?si=fuFC589jUI8hkePr" TargetMode="External"/><Relationship Id="rId586" Type="http://schemas.openxmlformats.org/officeDocument/2006/relationships/hyperlink" Target="https://youtu.be/bYeMfRD3Hi8?si=eGQymHdNaG-q1tfq" TargetMode="External"/><Relationship Id="rId101" Type="http://schemas.openxmlformats.org/officeDocument/2006/relationships/hyperlink" Target="https://youtu.be/2qrxsvACByw?si=YAj9TCYN3SAZxQwh" TargetMode="External"/><Relationship Id="rId343" Type="http://schemas.openxmlformats.org/officeDocument/2006/relationships/hyperlink" Target="https://youtu.be/LFL2QU19_Hg?si=t1w4un-LbVaYxTT6" TargetMode="External"/><Relationship Id="rId585" Type="http://schemas.openxmlformats.org/officeDocument/2006/relationships/hyperlink" Target="https://youtu.be/2ywtkfHvbR8?si=XKkax8RpFaNt8z_-" TargetMode="External"/><Relationship Id="rId100" Type="http://schemas.openxmlformats.org/officeDocument/2006/relationships/hyperlink" Target="https://youtu.be/0UNxX59oj_o?si=BBrk5wjFwsul_zg0" TargetMode="External"/><Relationship Id="rId342" Type="http://schemas.openxmlformats.org/officeDocument/2006/relationships/hyperlink" Target="https://youtu.be/jFRUQaUEuSs?si=0DGhrSc53Z96oT4R" TargetMode="External"/><Relationship Id="rId584" Type="http://schemas.openxmlformats.org/officeDocument/2006/relationships/hyperlink" Target="https://youtu.be/dRs56S5O-v8?si=zb3DKU2U7JFXGXze" TargetMode="External"/><Relationship Id="rId338" Type="http://schemas.openxmlformats.org/officeDocument/2006/relationships/hyperlink" Target="https://www.youtube.com/watch?v=QaWOYuNci9w&amp;list=RDQMSV6ZQV5OPqg&amp;index=6" TargetMode="External"/><Relationship Id="rId337" Type="http://schemas.openxmlformats.org/officeDocument/2006/relationships/hyperlink" Target="https://www.youtube.com/watch?v=o-nhJp4m5XA&amp;list=RDQMSV6ZQV5OPqg&amp;index=2" TargetMode="External"/><Relationship Id="rId579" Type="http://schemas.openxmlformats.org/officeDocument/2006/relationships/hyperlink" Target="https://youtu.be/PgCmcqIeN0w?si=-so5lMAizqmnabo-" TargetMode="External"/><Relationship Id="rId336" Type="http://schemas.openxmlformats.org/officeDocument/2006/relationships/hyperlink" Target="https://www.youtube.com/watch?v=KJRLjsShqRU&amp;list=RDQMSV6ZQV5OPqg&amp;start_radio=1" TargetMode="External"/><Relationship Id="rId578" Type="http://schemas.openxmlformats.org/officeDocument/2006/relationships/hyperlink" Target="https://youtu.be/tA7R3WkE284?si=ydvck1zzyz8TjUiU" TargetMode="External"/><Relationship Id="rId335" Type="http://schemas.openxmlformats.org/officeDocument/2006/relationships/hyperlink" Target="https://www.youtube.com/watch?v=AmpUY_YbQAc" TargetMode="External"/><Relationship Id="rId577" Type="http://schemas.openxmlformats.org/officeDocument/2006/relationships/hyperlink" Target="https://youtu.be/oiyiMTKsAXI?si=JfC_jc_JELGvOTWS" TargetMode="External"/><Relationship Id="rId339" Type="http://schemas.openxmlformats.org/officeDocument/2006/relationships/hyperlink" Target="https://www.youtube.com/watch?v=dd_owIm8nsA&amp;list=RDQMSV6ZQV5OPqg&amp;index=12" TargetMode="External"/><Relationship Id="rId330" Type="http://schemas.openxmlformats.org/officeDocument/2006/relationships/hyperlink" Target="https://youtu.be/LxhhGoAfWrE?si=SwZM8YR7N-Id3E9z" TargetMode="External"/><Relationship Id="rId572" Type="http://schemas.openxmlformats.org/officeDocument/2006/relationships/hyperlink" Target="https://youtu.be/L2ZbygWGd7E?si=k5ZdYe0oaABkUdzs" TargetMode="External"/><Relationship Id="rId571" Type="http://schemas.openxmlformats.org/officeDocument/2006/relationships/hyperlink" Target="https://youtu.be/YPSgoighuz4?si=grvI0bcKELirJCyt" TargetMode="External"/><Relationship Id="rId570" Type="http://schemas.openxmlformats.org/officeDocument/2006/relationships/hyperlink" Target="https://youtu.be/J06A4nZ2lW4?si=cQPmjohJjrq86nj-" TargetMode="External"/><Relationship Id="rId334" Type="http://schemas.openxmlformats.org/officeDocument/2006/relationships/hyperlink" Target="https://www.youtube.com/watch?v=nW2wh4op8NE" TargetMode="External"/><Relationship Id="rId576" Type="http://schemas.openxmlformats.org/officeDocument/2006/relationships/hyperlink" Target="https://youtu.be/lGN8HyClErk?si=dl-6kAmzpnYHRxzZ" TargetMode="External"/><Relationship Id="rId333" Type="http://schemas.openxmlformats.org/officeDocument/2006/relationships/hyperlink" Target="https://www.youtube.com/watch?v=kcm9TmlUJhk" TargetMode="External"/><Relationship Id="rId575" Type="http://schemas.openxmlformats.org/officeDocument/2006/relationships/hyperlink" Target="https://youtu.be/BdSodSMqNcA?si=6IW9yvLidgA7N8bD" TargetMode="External"/><Relationship Id="rId332" Type="http://schemas.openxmlformats.org/officeDocument/2006/relationships/hyperlink" Target="https://www.youtube.com/watch?v=LBj90_hbtAo" TargetMode="External"/><Relationship Id="rId574" Type="http://schemas.openxmlformats.org/officeDocument/2006/relationships/hyperlink" Target="https://youtu.be/EpdeNA8FHUU?si=lFCo6OMrtMCKEqO6" TargetMode="External"/><Relationship Id="rId331" Type="http://schemas.openxmlformats.org/officeDocument/2006/relationships/hyperlink" Target="https://www.youtube.com/watch?v=dJImITW7mz4" TargetMode="External"/><Relationship Id="rId573" Type="http://schemas.openxmlformats.org/officeDocument/2006/relationships/hyperlink" Target="https://youtu.be/XQBSkESiuZI?si=OSzRoqWdwRRqT7ds" TargetMode="External"/><Relationship Id="rId370" Type="http://schemas.openxmlformats.org/officeDocument/2006/relationships/hyperlink" Target="https://youtu.be/D0kCJWegcMg?si=Vck_hQvBYKqozIQ2" TargetMode="External"/><Relationship Id="rId129" Type="http://schemas.openxmlformats.org/officeDocument/2006/relationships/hyperlink" Target="https://youtu.be/TQ5Hm0M62yA?si=Np0s2-_aQGusA0Cy" TargetMode="External"/><Relationship Id="rId128" Type="http://schemas.openxmlformats.org/officeDocument/2006/relationships/hyperlink" Target="https://youtu.be/JUvXCpZW-o4?si=11Ata7NDQuWq-hE1" TargetMode="External"/><Relationship Id="rId127" Type="http://schemas.openxmlformats.org/officeDocument/2006/relationships/hyperlink" Target="https://youtu.be/_CINIz7qS4I?si=jxmwNZEJaNaeBxuB" TargetMode="External"/><Relationship Id="rId369" Type="http://schemas.openxmlformats.org/officeDocument/2006/relationships/hyperlink" Target="https://youtu.be/D_NgPkRt89c?si=0nhVmMJ8H-8lGyAn" TargetMode="External"/><Relationship Id="rId126" Type="http://schemas.openxmlformats.org/officeDocument/2006/relationships/hyperlink" Target="https://youtu.be/htv0idteKnQ?si=ILtAkeP4zg_L8jDy" TargetMode="External"/><Relationship Id="rId368" Type="http://schemas.openxmlformats.org/officeDocument/2006/relationships/hyperlink" Target="https://youtu.be/wYnXdKHyxHM?si=iepgAT7x3_Gdeew1" TargetMode="External"/><Relationship Id="rId121" Type="http://schemas.openxmlformats.org/officeDocument/2006/relationships/hyperlink" Target="https://youtu.be/ZQcGxPrTGgY?si=HZTjZ2i2DR09WRhd" TargetMode="External"/><Relationship Id="rId363" Type="http://schemas.openxmlformats.org/officeDocument/2006/relationships/hyperlink" Target="https://youtu.be/E9YvtB1-YNw?si=JjT7Dw1wOBsvzRQk" TargetMode="External"/><Relationship Id="rId120" Type="http://schemas.openxmlformats.org/officeDocument/2006/relationships/hyperlink" Target="https://youtu.be/f5nqGiNuTIk?si=aBgbSjbTMzvvM-q_" TargetMode="External"/><Relationship Id="rId362" Type="http://schemas.openxmlformats.org/officeDocument/2006/relationships/hyperlink" Target="https://youtu.be/qe7pEBUhnq8?si=6GSTPZ_a84Wt1sip" TargetMode="External"/><Relationship Id="rId361" Type="http://schemas.openxmlformats.org/officeDocument/2006/relationships/hyperlink" Target="https://www.youtube.com/watch?v=BxNYA-2uNVc&amp;list=RDQM848WvTr7J8M&amp;start_radio=1" TargetMode="External"/><Relationship Id="rId360" Type="http://schemas.openxmlformats.org/officeDocument/2006/relationships/hyperlink" Target="https://youtu.be/hR2W1VKIJOE?si=RYvhXN69li1n4BQD" TargetMode="External"/><Relationship Id="rId125" Type="http://schemas.openxmlformats.org/officeDocument/2006/relationships/hyperlink" Target="https://youtu.be/wshs9Mqq9Eo?si=m6IpUpStKbESFr-T" TargetMode="External"/><Relationship Id="rId367" Type="http://schemas.openxmlformats.org/officeDocument/2006/relationships/hyperlink" Target="https://youtu.be/A9xzW0SP4hs?si=i1VLR00zr56HbBQ0" TargetMode="External"/><Relationship Id="rId124" Type="http://schemas.openxmlformats.org/officeDocument/2006/relationships/hyperlink" Target="https://youtu.be/qrbD9q49n0c?si=IfENTuiNFGUb331t" TargetMode="External"/><Relationship Id="rId366" Type="http://schemas.openxmlformats.org/officeDocument/2006/relationships/hyperlink" Target="https://youtu.be/Prv2-80sJ1I?si=OC69vd06MqXhPD1r" TargetMode="External"/><Relationship Id="rId123" Type="http://schemas.openxmlformats.org/officeDocument/2006/relationships/hyperlink" Target="https://youtu.be/R57Lj3KRW2k?si=52tGBelZwWWFVIOz" TargetMode="External"/><Relationship Id="rId365" Type="http://schemas.openxmlformats.org/officeDocument/2006/relationships/hyperlink" Target="https://youtu.be/JGKiEbGqdkY?si=yIEVsf5FMHGeDMVh" TargetMode="External"/><Relationship Id="rId122" Type="http://schemas.openxmlformats.org/officeDocument/2006/relationships/hyperlink" Target="https://youtu.be/7An8yztP95Y?si=Hx8xtKj2XJ0MiYNs" TargetMode="External"/><Relationship Id="rId364" Type="http://schemas.openxmlformats.org/officeDocument/2006/relationships/hyperlink" Target="https://youtu.be/B8aqvMLfJyk?si=6j9MAjUgC7bBfmmW" TargetMode="External"/><Relationship Id="rId95" Type="http://schemas.openxmlformats.org/officeDocument/2006/relationships/hyperlink" Target="https://youtu.be/vBPYPhu7Gm8?si=0V2v1SG1Oln8eHkv" TargetMode="External"/><Relationship Id="rId94" Type="http://schemas.openxmlformats.org/officeDocument/2006/relationships/hyperlink" Target="https://youtu.be/8chQmqNFdDU?si=g2GKGY_SoX7a8riI" TargetMode="External"/><Relationship Id="rId97" Type="http://schemas.openxmlformats.org/officeDocument/2006/relationships/hyperlink" Target="https://youtu.be/_uUhQLUqF9o?si=zkLllbLz20mPpSWd" TargetMode="External"/><Relationship Id="rId96" Type="http://schemas.openxmlformats.org/officeDocument/2006/relationships/hyperlink" Target="https://youtu.be/EqTNRii6LRA?si=BoWMWGFUQR_fKfMq" TargetMode="External"/><Relationship Id="rId99" Type="http://schemas.openxmlformats.org/officeDocument/2006/relationships/hyperlink" Target="https://youtu.be/zszwh_XJs5M?si=irqlQt2EIcjQYFt3" TargetMode="External"/><Relationship Id="rId98" Type="http://schemas.openxmlformats.org/officeDocument/2006/relationships/hyperlink" Target="https://youtu.be/K0eXpE1OjI4?si=ec8it5caCnSHhXYC" TargetMode="External"/><Relationship Id="rId91" Type="http://schemas.openxmlformats.org/officeDocument/2006/relationships/hyperlink" Target="https://youtu.be/UO3FZgiq2Ac?si=0YCrn8GS7gpQAdev" TargetMode="External"/><Relationship Id="rId90" Type="http://schemas.openxmlformats.org/officeDocument/2006/relationships/hyperlink" Target="https://youtu.be/qINe_MlOKz0?si=cCOfoQ2J-2MFab1c" TargetMode="External"/><Relationship Id="rId93" Type="http://schemas.openxmlformats.org/officeDocument/2006/relationships/hyperlink" Target="https://youtu.be/9OnY_SGgwtA?si=OrzpCFohdq_MVKHe" TargetMode="External"/><Relationship Id="rId92" Type="http://schemas.openxmlformats.org/officeDocument/2006/relationships/hyperlink" Target="https://youtu.be/OHMVGrHhoYs?si=LKgVaOV_dNKevFLX" TargetMode="External"/><Relationship Id="rId118" Type="http://schemas.openxmlformats.org/officeDocument/2006/relationships/hyperlink" Target="https://youtu.be/wH3rLKhhw30?si=ITxaWFwbNc2Yy0Er" TargetMode="External"/><Relationship Id="rId117" Type="http://schemas.openxmlformats.org/officeDocument/2006/relationships/hyperlink" Target="https://youtu.be/1UHjnQRMvIE?si=1iTxJM6Q5C76HnIZ" TargetMode="External"/><Relationship Id="rId359" Type="http://schemas.openxmlformats.org/officeDocument/2006/relationships/hyperlink" Target="https://youtu.be/ovP2jobtPv4?si=dEOmmSNObOTAdJrv" TargetMode="External"/><Relationship Id="rId116" Type="http://schemas.openxmlformats.org/officeDocument/2006/relationships/hyperlink" Target="https://youtu.be/Pk8odDzE-Ps?si=_7dQkUGxcOg3H4An" TargetMode="External"/><Relationship Id="rId358" Type="http://schemas.openxmlformats.org/officeDocument/2006/relationships/hyperlink" Target="https://youtu.be/heqmHue-6Vk?si=5AcubSU9z9l9cAch" TargetMode="External"/><Relationship Id="rId115" Type="http://schemas.openxmlformats.org/officeDocument/2006/relationships/hyperlink" Target="https://youtu.be/oTg3QBVYFSc?si=C4yWmmafrmuJD9G9" TargetMode="External"/><Relationship Id="rId357" Type="http://schemas.openxmlformats.org/officeDocument/2006/relationships/hyperlink" Target="https://www.youtube.com/watch?v=yV1dYi3HoGY" TargetMode="External"/><Relationship Id="rId599" Type="http://schemas.openxmlformats.org/officeDocument/2006/relationships/hyperlink" Target="https://youtu.be/ZMNOeX9UALk?si=XIcBOjqoN-dKnnr_" TargetMode="External"/><Relationship Id="rId119" Type="http://schemas.openxmlformats.org/officeDocument/2006/relationships/hyperlink" Target="https://youtu.be/g2fHVAOtUdg?si=17AyqKRnxU10mDNr" TargetMode="External"/><Relationship Id="rId110" Type="http://schemas.openxmlformats.org/officeDocument/2006/relationships/hyperlink" Target="https://youtu.be/VOQusm9-1NI?si=9juVaLU-R6JFxHyL" TargetMode="External"/><Relationship Id="rId352" Type="http://schemas.openxmlformats.org/officeDocument/2006/relationships/hyperlink" Target="https://www.youtube.com/watch?v=p1WHScB-Bx8" TargetMode="External"/><Relationship Id="rId594" Type="http://schemas.openxmlformats.org/officeDocument/2006/relationships/hyperlink" Target="https://youtu.be/eNKpNu9Ja8g?si=liKJmu92QvfV7nxF" TargetMode="External"/><Relationship Id="rId351" Type="http://schemas.openxmlformats.org/officeDocument/2006/relationships/hyperlink" Target="https://youtu.be/1JlKvzPVFJY?si=QnMJiteQIcxlS0pl" TargetMode="External"/><Relationship Id="rId593" Type="http://schemas.openxmlformats.org/officeDocument/2006/relationships/hyperlink" Target="https://youtu.be/P4UwqxAnWZs?si=csc9fSBiN4ikmDrO" TargetMode="External"/><Relationship Id="rId350" Type="http://schemas.openxmlformats.org/officeDocument/2006/relationships/hyperlink" Target="https://youtu.be/HIgqgVocOrQ?si=72wfp44GK04le573" TargetMode="External"/><Relationship Id="rId592" Type="http://schemas.openxmlformats.org/officeDocument/2006/relationships/hyperlink" Target="https://youtu.be/wXuIa6OFOCE?si=hHhQOseCa8iHREAs" TargetMode="External"/><Relationship Id="rId591" Type="http://schemas.openxmlformats.org/officeDocument/2006/relationships/hyperlink" Target="https://youtu.be/dDGGVpQUrOo?si=rY2K_JCaWJ3zlj1A" TargetMode="External"/><Relationship Id="rId114" Type="http://schemas.openxmlformats.org/officeDocument/2006/relationships/hyperlink" Target="https://youtu.be/ZYQITiocNfk?si=kQ2M2GQciy3KVVuJ" TargetMode="External"/><Relationship Id="rId356" Type="http://schemas.openxmlformats.org/officeDocument/2006/relationships/hyperlink" Target="https://www.youtube.com/watch?v=BkXDu8L0d9M" TargetMode="External"/><Relationship Id="rId598" Type="http://schemas.openxmlformats.org/officeDocument/2006/relationships/hyperlink" Target="https://youtu.be/fFdAR6znIlY?si=KsiZ9U60uWg_pLGA" TargetMode="External"/><Relationship Id="rId113" Type="http://schemas.openxmlformats.org/officeDocument/2006/relationships/hyperlink" Target="https://youtu.be/t9WAREKVaW0?si=jmePA_e4SJQbhMNh" TargetMode="External"/><Relationship Id="rId355" Type="http://schemas.openxmlformats.org/officeDocument/2006/relationships/hyperlink" Target="https://www.youtube.com/watch?v=VF3SYl0udts" TargetMode="External"/><Relationship Id="rId597" Type="http://schemas.openxmlformats.org/officeDocument/2006/relationships/hyperlink" Target="https://youtu.be/lp7gAzKvl0M?si=iBmHOEFrmfOVXz3-" TargetMode="External"/><Relationship Id="rId112" Type="http://schemas.openxmlformats.org/officeDocument/2006/relationships/hyperlink" Target="https://youtu.be/W01XQbLWL0A?si=yYXCYs1FPxM6xGKw" TargetMode="External"/><Relationship Id="rId354" Type="http://schemas.openxmlformats.org/officeDocument/2006/relationships/hyperlink" Target="https://youtu.be/C2vMvlJlYDg?si=K8c4O5fW-sTEnVyw" TargetMode="External"/><Relationship Id="rId596" Type="http://schemas.openxmlformats.org/officeDocument/2006/relationships/hyperlink" Target="https://youtu.be/DJCXKGC1FuM?si=kjy4hKNXDypBazXZ" TargetMode="External"/><Relationship Id="rId111" Type="http://schemas.openxmlformats.org/officeDocument/2006/relationships/hyperlink" Target="https://youtu.be/ksfYVfh-mBk?si=Nao0Jl1yRIOKY0vh" TargetMode="External"/><Relationship Id="rId353" Type="http://schemas.openxmlformats.org/officeDocument/2006/relationships/hyperlink" Target="https://www.youtube.com/watch?v=9WZX8lSyGSw" TargetMode="External"/><Relationship Id="rId595" Type="http://schemas.openxmlformats.org/officeDocument/2006/relationships/hyperlink" Target="https://youtu.be/QxtUT8fUOS8?si=brVf736Jp4b1f7gj" TargetMode="External"/><Relationship Id="rId305" Type="http://schemas.openxmlformats.org/officeDocument/2006/relationships/hyperlink" Target="https://youtu.be/FwMxgPVAz80?si=Z4tTIhQBMyztl482" TargetMode="External"/><Relationship Id="rId547" Type="http://schemas.openxmlformats.org/officeDocument/2006/relationships/hyperlink" Target="https://youtu.be/8vR550wUJno?si=1_3NXlPfiYDN5mwv" TargetMode="External"/><Relationship Id="rId789" Type="http://schemas.openxmlformats.org/officeDocument/2006/relationships/hyperlink" Target="https://youtu.be/Wa1DThe3dxA?si=DVikzGrL5sd-P78V" TargetMode="External"/><Relationship Id="rId304" Type="http://schemas.openxmlformats.org/officeDocument/2006/relationships/hyperlink" Target="https://youtu.be/NoMzkUml-EA?si=eCCgYS4m655QXwX_" TargetMode="External"/><Relationship Id="rId546" Type="http://schemas.openxmlformats.org/officeDocument/2006/relationships/hyperlink" Target="https://youtu.be/vdemybLmpss?si=L0MX205FcBc9I8lP" TargetMode="External"/><Relationship Id="rId788" Type="http://schemas.openxmlformats.org/officeDocument/2006/relationships/hyperlink" Target="https://www.youtube.com/watch?v=tsYSUJ1HCGI" TargetMode="External"/><Relationship Id="rId303" Type="http://schemas.openxmlformats.org/officeDocument/2006/relationships/hyperlink" Target="https://youtu.be/Z2uGa1rKzBE?si=5_qwnlcj4DzDEAId" TargetMode="External"/><Relationship Id="rId545" Type="http://schemas.openxmlformats.org/officeDocument/2006/relationships/hyperlink" Target="https://www.youtube.com/watch?v=JHgsGsozAl0&amp;list=PLQHNKf9B6MduhBXoGjU3vRVMy5hNPAQ4W" TargetMode="External"/><Relationship Id="rId787" Type="http://schemas.openxmlformats.org/officeDocument/2006/relationships/hyperlink" Target="https://youtu.be/hD9Z0YdRZvg?si=bTQ9ztW9Di1fgFP1" TargetMode="External"/><Relationship Id="rId302" Type="http://schemas.openxmlformats.org/officeDocument/2006/relationships/hyperlink" Target="https://youtu.be/HMi-k1wo2oc?si=SYgvAvTmzhIiNz1T" TargetMode="External"/><Relationship Id="rId544" Type="http://schemas.openxmlformats.org/officeDocument/2006/relationships/hyperlink" Target="https://youtu.be/PQ7QxpvLo9M?si=bgYZjeSWMXGJv8ux" TargetMode="External"/><Relationship Id="rId786" Type="http://schemas.openxmlformats.org/officeDocument/2006/relationships/hyperlink" Target="https://youtu.be/2FOFWWkV0GQ?si=LgMakfsn_snw8BZn" TargetMode="External"/><Relationship Id="rId309" Type="http://schemas.openxmlformats.org/officeDocument/2006/relationships/hyperlink" Target="https://youtu.be/eLek0SU9MUg?si=8tifU8mlcd9mqHes" TargetMode="External"/><Relationship Id="rId308" Type="http://schemas.openxmlformats.org/officeDocument/2006/relationships/hyperlink" Target="https://www.youtube.com/watch?v=2eWFDV00gIw" TargetMode="External"/><Relationship Id="rId307" Type="http://schemas.openxmlformats.org/officeDocument/2006/relationships/hyperlink" Target="https://youtu.be/g82xMt2hcTk?si=gqWJB00dMaW5w-Qo" TargetMode="External"/><Relationship Id="rId549" Type="http://schemas.openxmlformats.org/officeDocument/2006/relationships/hyperlink" Target="https://youtu.be/ADGzWbZzElw?si=BWGk-GXNXd8BWukA" TargetMode="External"/><Relationship Id="rId306" Type="http://schemas.openxmlformats.org/officeDocument/2006/relationships/hyperlink" Target="https://youtu.be/U2ZC4fvqgGE?si=WfVMJdjDMlrTHbAd" TargetMode="External"/><Relationship Id="rId548" Type="http://schemas.openxmlformats.org/officeDocument/2006/relationships/hyperlink" Target="https://youtu.be/7nUARP2jpOs?si=DnR5eVWNRaB1aWRG" TargetMode="External"/><Relationship Id="rId781" Type="http://schemas.openxmlformats.org/officeDocument/2006/relationships/hyperlink" Target="https://youtu.be/avRJACXZz6U?si=EEJ7gqG09BopTSAG" TargetMode="External"/><Relationship Id="rId780" Type="http://schemas.openxmlformats.org/officeDocument/2006/relationships/hyperlink" Target="https://youtu.be/RF__Jlrnv90?si=FbrF1KGVptGn01Xq" TargetMode="External"/><Relationship Id="rId301" Type="http://schemas.openxmlformats.org/officeDocument/2006/relationships/hyperlink" Target="https://youtu.be/M8YD0P8vtHQ?si=Hnt4atkyCZfckdsu" TargetMode="External"/><Relationship Id="rId543" Type="http://schemas.openxmlformats.org/officeDocument/2006/relationships/hyperlink" Target="https://youtu.be/C8owHKOWTQE?si=MrhZxheSTjT3-3e4" TargetMode="External"/><Relationship Id="rId785" Type="http://schemas.openxmlformats.org/officeDocument/2006/relationships/hyperlink" Target="https://youtu.be/fOWsJEXA7Mo?si=2GDcMz52ieSJoKwn" TargetMode="External"/><Relationship Id="rId300" Type="http://schemas.openxmlformats.org/officeDocument/2006/relationships/hyperlink" Target="https://youtu.be/Q6O5KrywLVo?si=coA_Zvqv3ILioUIY" TargetMode="External"/><Relationship Id="rId542" Type="http://schemas.openxmlformats.org/officeDocument/2006/relationships/hyperlink" Target="https://youtu.be/32GqvgRfGn8?si=yeoj5zggaDo76CfO" TargetMode="External"/><Relationship Id="rId784" Type="http://schemas.openxmlformats.org/officeDocument/2006/relationships/hyperlink" Target="https://youtu.be/4VQLic50xKc?si=DbkcKgzdMltq7t9x" TargetMode="External"/><Relationship Id="rId541" Type="http://schemas.openxmlformats.org/officeDocument/2006/relationships/hyperlink" Target="https://youtu.be/49hTmBpJ-vc?si=ZlcVWrTHDeR4I66j" TargetMode="External"/><Relationship Id="rId783" Type="http://schemas.openxmlformats.org/officeDocument/2006/relationships/hyperlink" Target="https://youtu.be/FnhrRwJFUHE?si=bgc84JEcEUXLNeAr" TargetMode="External"/><Relationship Id="rId540" Type="http://schemas.openxmlformats.org/officeDocument/2006/relationships/hyperlink" Target="https://youtu.be/W8gri1p51Qk?si=NMVY4xzwasJgyOpt" TargetMode="External"/><Relationship Id="rId782" Type="http://schemas.openxmlformats.org/officeDocument/2006/relationships/hyperlink" Target="https://youtu.be/3Jiv_Q-wny8?si=PwSqPSQq4Ckwbxxz" TargetMode="External"/><Relationship Id="rId536" Type="http://schemas.openxmlformats.org/officeDocument/2006/relationships/hyperlink" Target="https://youtu.be/9z_QhSnekHE?si=cPnCxMHoK9edJAS_" TargetMode="External"/><Relationship Id="rId778" Type="http://schemas.openxmlformats.org/officeDocument/2006/relationships/hyperlink" Target="https://youtu.be/buR9Wlan6Qc?si=lpg2vZ3OKv16tmP9" TargetMode="External"/><Relationship Id="rId535" Type="http://schemas.openxmlformats.org/officeDocument/2006/relationships/hyperlink" Target="https://youtu.be/7yFnaXK2fNE?si=Cmd2iIF5XONqqDxt" TargetMode="External"/><Relationship Id="rId777" Type="http://schemas.openxmlformats.org/officeDocument/2006/relationships/hyperlink" Target="https://youtu.be/aRpCaJZlJ24?si=eLghjv9uTr02GZQ3" TargetMode="External"/><Relationship Id="rId534" Type="http://schemas.openxmlformats.org/officeDocument/2006/relationships/hyperlink" Target="https://youtu.be/M2dIF09soQo?si=5sA8EdbiLal91aqv" TargetMode="External"/><Relationship Id="rId776" Type="http://schemas.openxmlformats.org/officeDocument/2006/relationships/hyperlink" Target="https://youtu.be/HvKl33WjuDk?si=jzh_32t1CmIQZrZ1" TargetMode="External"/><Relationship Id="rId533" Type="http://schemas.openxmlformats.org/officeDocument/2006/relationships/hyperlink" Target="https://youtu.be/kjgRHd6FaAo?si=MNMATSY8gE_RtbOP" TargetMode="External"/><Relationship Id="rId775" Type="http://schemas.openxmlformats.org/officeDocument/2006/relationships/hyperlink" Target="https://youtu.be/wioUZhifTs4?si=_tuOe1GgU9vhLUMd" TargetMode="External"/><Relationship Id="rId539" Type="http://schemas.openxmlformats.org/officeDocument/2006/relationships/hyperlink" Target="https://youtu.be/W3kCjgrStW8?si=zhId9Mgo0Kk4TtFn" TargetMode="External"/><Relationship Id="rId538" Type="http://schemas.openxmlformats.org/officeDocument/2006/relationships/hyperlink" Target="https://youtu.be/BHeuhfWcqT0?si=M8fGDaWNdF6IY79D" TargetMode="External"/><Relationship Id="rId537" Type="http://schemas.openxmlformats.org/officeDocument/2006/relationships/hyperlink" Target="https://youtu.be/Y5whMoPfE9s?si=GMjKGIPQPF6RqF3S" TargetMode="External"/><Relationship Id="rId779" Type="http://schemas.openxmlformats.org/officeDocument/2006/relationships/hyperlink" Target="https://youtu.be/VruwVMXDUOM?si=dkLx6ghDJR6Y_PNU" TargetMode="External"/><Relationship Id="rId770" Type="http://schemas.openxmlformats.org/officeDocument/2006/relationships/hyperlink" Target="https://youtu.be/d2oPNmsBZyo?si=SERx_5bb9jfCWZZ5" TargetMode="External"/><Relationship Id="rId532" Type="http://schemas.openxmlformats.org/officeDocument/2006/relationships/hyperlink" Target="https://youtu.be/1hWAOReJehw?si=MW-vx8ec70nko1r5" TargetMode="External"/><Relationship Id="rId774" Type="http://schemas.openxmlformats.org/officeDocument/2006/relationships/hyperlink" Target="https://youtu.be/DC0f_J2QEss?si=DDBK1BMjNZDckiVW" TargetMode="External"/><Relationship Id="rId531" Type="http://schemas.openxmlformats.org/officeDocument/2006/relationships/hyperlink" Target="https://youtu.be/bv6Q9G9w0VA?si=Ua945j5qFh3L9rH0" TargetMode="External"/><Relationship Id="rId773" Type="http://schemas.openxmlformats.org/officeDocument/2006/relationships/hyperlink" Target="https://youtu.be/5D08LXU-aDU?si=h4sve1TllTrszn9Y" TargetMode="External"/><Relationship Id="rId530" Type="http://schemas.openxmlformats.org/officeDocument/2006/relationships/hyperlink" Target="https://youtu.be/Xvv5qpH_OT8?si=Zq6Hm3-667JWj6Kv" TargetMode="External"/><Relationship Id="rId772" Type="http://schemas.openxmlformats.org/officeDocument/2006/relationships/hyperlink" Target="https://youtu.be/E0jhUWfmwAM?si=oDQAthyCqip5gx68" TargetMode="External"/><Relationship Id="rId771" Type="http://schemas.openxmlformats.org/officeDocument/2006/relationships/hyperlink" Target="https://youtu.be/LhJ1BWRuU9o?si=a1uvjdXo-bK0gfXF" TargetMode="External"/><Relationship Id="rId327" Type="http://schemas.openxmlformats.org/officeDocument/2006/relationships/hyperlink" Target="https://youtu.be/neWuw5NQblM?si=rNwyRW6nlgjBvfIw" TargetMode="External"/><Relationship Id="rId569" Type="http://schemas.openxmlformats.org/officeDocument/2006/relationships/hyperlink" Target="https://youtu.be/qMQqrooHn3c?si=-vYl72J5fXpplJb9" TargetMode="External"/><Relationship Id="rId326" Type="http://schemas.openxmlformats.org/officeDocument/2006/relationships/hyperlink" Target="https://www.youtube.com/watch?v=bygJfvOBzTM" TargetMode="External"/><Relationship Id="rId568" Type="http://schemas.openxmlformats.org/officeDocument/2006/relationships/hyperlink" Target="https://youtu.be/xZdI6oyOJa4?si=oFV5n-RBKZQgbP-M" TargetMode="External"/><Relationship Id="rId325" Type="http://schemas.openxmlformats.org/officeDocument/2006/relationships/hyperlink" Target="https://www.youtube.com/watch?v=RqVxvpfJ_xQ" TargetMode="External"/><Relationship Id="rId567" Type="http://schemas.openxmlformats.org/officeDocument/2006/relationships/hyperlink" Target="https://youtu.be/ZiM72z7aPiQ?si=JNos2ySGrSV_GMki" TargetMode="External"/><Relationship Id="rId324" Type="http://schemas.openxmlformats.org/officeDocument/2006/relationships/hyperlink" Target="https://www.youtube.com/watch?v=L63G-Rme0Q0" TargetMode="External"/><Relationship Id="rId566" Type="http://schemas.openxmlformats.org/officeDocument/2006/relationships/hyperlink" Target="https://youtu.be/VDDoGt2UM84?si=BMxcBLmcSGS9iz79" TargetMode="External"/><Relationship Id="rId329" Type="http://schemas.openxmlformats.org/officeDocument/2006/relationships/hyperlink" Target="https://youtu.be/pN1rrC28Ga4?si=rle7vw-KGMlRveTK" TargetMode="External"/><Relationship Id="rId328" Type="http://schemas.openxmlformats.org/officeDocument/2006/relationships/hyperlink" Target="https://youtu.be/OsqGNDyVNPs?si=Q4eSiZmRx8gvFTNd" TargetMode="External"/><Relationship Id="rId561" Type="http://schemas.openxmlformats.org/officeDocument/2006/relationships/hyperlink" Target="https://youtu.be/Crwj1Ze2T-A?si=4Q6jL3E4uEXadm-8" TargetMode="External"/><Relationship Id="rId560" Type="http://schemas.openxmlformats.org/officeDocument/2006/relationships/hyperlink" Target="https://youtu.be/M77-d0UISmw?si=NL8R7Yio1cJylyxc" TargetMode="External"/><Relationship Id="rId323" Type="http://schemas.openxmlformats.org/officeDocument/2006/relationships/hyperlink" Target="https://www.youtube.com/watch?v=fHW1-8JOFy8" TargetMode="External"/><Relationship Id="rId565" Type="http://schemas.openxmlformats.org/officeDocument/2006/relationships/hyperlink" Target="https://youtu.be/BwIyLj7VpQ0?si=_W5DXikSIyc_AuKV" TargetMode="External"/><Relationship Id="rId322" Type="http://schemas.openxmlformats.org/officeDocument/2006/relationships/hyperlink" Target="https://www.youtube.com/watch?v=4tV4Y56wQlE" TargetMode="External"/><Relationship Id="rId564" Type="http://schemas.openxmlformats.org/officeDocument/2006/relationships/hyperlink" Target="https://youtu.be/G0V0q_yA49U?si=6AOMjvVNrVq76p_9" TargetMode="External"/><Relationship Id="rId321" Type="http://schemas.openxmlformats.org/officeDocument/2006/relationships/hyperlink" Target="https://www.youtube.com/watch?v=HFXhK2RScvU" TargetMode="External"/><Relationship Id="rId563" Type="http://schemas.openxmlformats.org/officeDocument/2006/relationships/hyperlink" Target="https://youtu.be/jXHmB-wZDX0?si=khuYIUo8sxhGwa0b" TargetMode="External"/><Relationship Id="rId320" Type="http://schemas.openxmlformats.org/officeDocument/2006/relationships/hyperlink" Target="https://www.youtube.com/watch?v=YvGWTBZRsjE" TargetMode="External"/><Relationship Id="rId562" Type="http://schemas.openxmlformats.org/officeDocument/2006/relationships/hyperlink" Target="https://youtu.be/xxAGsZzI7So?si=-s2bsG6H89aXZnqf" TargetMode="External"/><Relationship Id="rId316" Type="http://schemas.openxmlformats.org/officeDocument/2006/relationships/hyperlink" Target="https://youtu.be/cb3Nx3L1Qck?si=ExJKX13lRfspnooY" TargetMode="External"/><Relationship Id="rId558" Type="http://schemas.openxmlformats.org/officeDocument/2006/relationships/hyperlink" Target="https://youtu.be/uMY_ECALRTU?si=04LjJP9gO3VtMQha" TargetMode="External"/><Relationship Id="rId315" Type="http://schemas.openxmlformats.org/officeDocument/2006/relationships/hyperlink" Target="https://www.youtube.com/watch?v=Y0nyfGmTsL4" TargetMode="External"/><Relationship Id="rId557" Type="http://schemas.openxmlformats.org/officeDocument/2006/relationships/hyperlink" Target="https://youtu.be/7jPOwDapXiI?si=Mrrq3MUpShKFYCmP" TargetMode="External"/><Relationship Id="rId799" Type="http://schemas.openxmlformats.org/officeDocument/2006/relationships/table" Target="../tables/table2.xml"/><Relationship Id="rId314" Type="http://schemas.openxmlformats.org/officeDocument/2006/relationships/hyperlink" Target="https://www.youtube.com/watch?v=2fTQ6C8h4xc" TargetMode="External"/><Relationship Id="rId556" Type="http://schemas.openxmlformats.org/officeDocument/2006/relationships/hyperlink" Target="https://youtu.be/3R0olDTS9wI?si=2FXvf17F_Tw3v-92" TargetMode="External"/><Relationship Id="rId313" Type="http://schemas.openxmlformats.org/officeDocument/2006/relationships/hyperlink" Target="https://www.youtube.com/watch?v=O1CTD93OOTc" TargetMode="External"/><Relationship Id="rId555" Type="http://schemas.openxmlformats.org/officeDocument/2006/relationships/hyperlink" Target="https://youtu.be/JZnPFOH5vUg?si=4Y__JrNqlmY-ORkF" TargetMode="External"/><Relationship Id="rId797" Type="http://schemas.openxmlformats.org/officeDocument/2006/relationships/drawing" Target="../drawings/drawing2.xml"/><Relationship Id="rId319" Type="http://schemas.openxmlformats.org/officeDocument/2006/relationships/hyperlink" Target="https://www.youtube.com/watch?v=PWp9pIXAetw" TargetMode="External"/><Relationship Id="rId318" Type="http://schemas.openxmlformats.org/officeDocument/2006/relationships/hyperlink" Target="https://youtu.be/Vh2SFMP2U0U?si=1LyXsBYI08K7dXNE" TargetMode="External"/><Relationship Id="rId317" Type="http://schemas.openxmlformats.org/officeDocument/2006/relationships/hyperlink" Target="https://youtu.be/JnnXfprWPkg?si=iVZNPX4X6czGUvwg" TargetMode="External"/><Relationship Id="rId559" Type="http://schemas.openxmlformats.org/officeDocument/2006/relationships/hyperlink" Target="https://youtu.be/YkJkwqJE0fU?si=1dmeuwBZ6ICKgTha" TargetMode="External"/><Relationship Id="rId550" Type="http://schemas.openxmlformats.org/officeDocument/2006/relationships/hyperlink" Target="https://youtu.be/MRNkYR9xtFU?si=lKHxQw4gjTpSslfW" TargetMode="External"/><Relationship Id="rId792" Type="http://schemas.openxmlformats.org/officeDocument/2006/relationships/hyperlink" Target="https://youtu.be/xB3lTXgk2dE?si=GjWE9zuR_i3fzhei" TargetMode="External"/><Relationship Id="rId791" Type="http://schemas.openxmlformats.org/officeDocument/2006/relationships/hyperlink" Target="https://youtu.be/BIuyueI0QYM?si=cKFuwtBngX4RosCr" TargetMode="External"/><Relationship Id="rId790" Type="http://schemas.openxmlformats.org/officeDocument/2006/relationships/hyperlink" Target="https://youtu.be/gsMdALrFPM0?si=xouTHaA2t2vun3DM" TargetMode="External"/><Relationship Id="rId312" Type="http://schemas.openxmlformats.org/officeDocument/2006/relationships/hyperlink" Target="https://youtu.be/WbuoINNvoQ0?si=46G_jm5FaG0hge8h" TargetMode="External"/><Relationship Id="rId554" Type="http://schemas.openxmlformats.org/officeDocument/2006/relationships/hyperlink" Target="https://youtu.be/H7LqH8jWBJ4?si=tLx8-YjjA2muSYAd" TargetMode="External"/><Relationship Id="rId796" Type="http://schemas.openxmlformats.org/officeDocument/2006/relationships/hyperlink" Target="https://youtu.be/D9HT06jcZXI?si=D3fdG_uHQho9-H4E" TargetMode="External"/><Relationship Id="rId311" Type="http://schemas.openxmlformats.org/officeDocument/2006/relationships/hyperlink" Target="https://youtu.be/WMCN-cd1DpE?si=cN8V4FxhsXPDCmbj" TargetMode="External"/><Relationship Id="rId553" Type="http://schemas.openxmlformats.org/officeDocument/2006/relationships/hyperlink" Target="https://youtu.be/meSCEMoeJx8?si=wlZHgmS72vimremt" TargetMode="External"/><Relationship Id="rId795" Type="http://schemas.openxmlformats.org/officeDocument/2006/relationships/hyperlink" Target="https://youtu.be/l4I7XyxDJVY?si=Fb_8xlxwb4tHJGF-" TargetMode="External"/><Relationship Id="rId310" Type="http://schemas.openxmlformats.org/officeDocument/2006/relationships/hyperlink" Target="https://youtu.be/Qqqb1gQHXQk?si=ADfczjC6mkCY175Y" TargetMode="External"/><Relationship Id="rId552" Type="http://schemas.openxmlformats.org/officeDocument/2006/relationships/hyperlink" Target="https://youtu.be/DTzLBeo676Q?si=bmGeJAmtI6s__PIm" TargetMode="External"/><Relationship Id="rId794" Type="http://schemas.openxmlformats.org/officeDocument/2006/relationships/hyperlink" Target="https://youtu.be/OXOh4xiZYo4?si=Gb2ekmwKJdsD92mA" TargetMode="External"/><Relationship Id="rId551" Type="http://schemas.openxmlformats.org/officeDocument/2006/relationships/hyperlink" Target="https://youtu.be/8cjbNwvgtCU?si=7tfuET4z9tTEmNKP" TargetMode="External"/><Relationship Id="rId793" Type="http://schemas.openxmlformats.org/officeDocument/2006/relationships/hyperlink" Target="https://youtu.be/mRnjvQBzhqA?si=OHDH2cxyWa4OHu8B" TargetMode="External"/><Relationship Id="rId297" Type="http://schemas.openxmlformats.org/officeDocument/2006/relationships/hyperlink" Target="https://youtu.be/NUnGBfxwE54?si=LdUP8jd4ELQpWXhH" TargetMode="External"/><Relationship Id="rId296" Type="http://schemas.openxmlformats.org/officeDocument/2006/relationships/hyperlink" Target="https://youtu.be/W8PnzbWG2UU?si=MONZP8yo9avpyXai" TargetMode="External"/><Relationship Id="rId295" Type="http://schemas.openxmlformats.org/officeDocument/2006/relationships/hyperlink" Target="https://youtu.be/7tdkWTR0jTs?si=8mHDHTLd7GEC1zau" TargetMode="External"/><Relationship Id="rId294" Type="http://schemas.openxmlformats.org/officeDocument/2006/relationships/hyperlink" Target="https://youtu.be/7k_mH9gKBic?si=KaaR0N5bVOjJMS6p" TargetMode="External"/><Relationship Id="rId299" Type="http://schemas.openxmlformats.org/officeDocument/2006/relationships/hyperlink" Target="https://youtu.be/yEMFA82tMv8?si=dk9Eh3NNiRCM3ZeI" TargetMode="External"/><Relationship Id="rId298" Type="http://schemas.openxmlformats.org/officeDocument/2006/relationships/hyperlink" Target="https://youtu.be/oGzz3ERRyj8?si=Pk_i9VYTiIB-MV5j" TargetMode="External"/><Relationship Id="rId271" Type="http://schemas.openxmlformats.org/officeDocument/2006/relationships/hyperlink" Target="https://youtu.be/qUDGh5g2qko?si=-9GV9bSTkFGKLPtt" TargetMode="External"/><Relationship Id="rId270" Type="http://schemas.openxmlformats.org/officeDocument/2006/relationships/hyperlink" Target="https://youtu.be/vyUIYk8Rwj4?si=Nv-CmbC7fMZ_DHYi" TargetMode="External"/><Relationship Id="rId269" Type="http://schemas.openxmlformats.org/officeDocument/2006/relationships/hyperlink" Target="https://youtu.be/bo4wSpAa1iY?si=kk1-ctkr1cW---r-" TargetMode="External"/><Relationship Id="rId264" Type="http://schemas.openxmlformats.org/officeDocument/2006/relationships/hyperlink" Target="https://youtu.be/Mshi-7hfKJM?si=rDb-VwRUC70-302u" TargetMode="External"/><Relationship Id="rId263" Type="http://schemas.openxmlformats.org/officeDocument/2006/relationships/hyperlink" Target="https://youtu.be/m7eULGoGmUE?si=a6ahs86SUi_8t-N7" TargetMode="External"/><Relationship Id="rId262" Type="http://schemas.openxmlformats.org/officeDocument/2006/relationships/hyperlink" Target="https://youtu.be/qghEFd3hPq4?si=ueN1nH_hcYsC_00I" TargetMode="External"/><Relationship Id="rId261" Type="http://schemas.openxmlformats.org/officeDocument/2006/relationships/hyperlink" Target="https://youtu.be/ji_65YOSXNg?si=-oq2UN9GVpcgiOYP" TargetMode="External"/><Relationship Id="rId268" Type="http://schemas.openxmlformats.org/officeDocument/2006/relationships/hyperlink" Target="https://youtu.be/cm-sFotvxJA?si=9I_E33NVctJpQxka" TargetMode="External"/><Relationship Id="rId267" Type="http://schemas.openxmlformats.org/officeDocument/2006/relationships/hyperlink" Target="https://youtu.be/_g0KzKlu_mE?si=Rk_C0ccbpEIZRcd9" TargetMode="External"/><Relationship Id="rId266" Type="http://schemas.openxmlformats.org/officeDocument/2006/relationships/hyperlink" Target="https://youtu.be/ZE8eoA8Z7Sc?si=Je4jdsST5LoLWQTz" TargetMode="External"/><Relationship Id="rId265" Type="http://schemas.openxmlformats.org/officeDocument/2006/relationships/hyperlink" Target="https://youtu.be/M3Pf6fRus1U?si=YZLsPRD-ZQ22bKa5" TargetMode="External"/><Relationship Id="rId260" Type="http://schemas.openxmlformats.org/officeDocument/2006/relationships/hyperlink" Target="https://youtu.be/5IXJc_4Ecik?si=TzckKxJFW__lwO8u" TargetMode="External"/><Relationship Id="rId259" Type="http://schemas.openxmlformats.org/officeDocument/2006/relationships/hyperlink" Target="https://youtu.be/OWsqT8FvPW8?si=u49_AmLFvhvb5W6P" TargetMode="External"/><Relationship Id="rId258" Type="http://schemas.openxmlformats.org/officeDocument/2006/relationships/hyperlink" Target="https://youtu.be/w68H93Gd5s8?si=NNkZb7E_dY2HakC_" TargetMode="External"/><Relationship Id="rId253" Type="http://schemas.openxmlformats.org/officeDocument/2006/relationships/hyperlink" Target="https://youtu.be/rxpHNzo_FgU?si=GHtWvstIgegzV19o" TargetMode="External"/><Relationship Id="rId495" Type="http://schemas.openxmlformats.org/officeDocument/2006/relationships/hyperlink" Target="https://www.youtube.com/watch?v=emKJ5_cMEHk" TargetMode="External"/><Relationship Id="rId252" Type="http://schemas.openxmlformats.org/officeDocument/2006/relationships/hyperlink" Target="https://youtu.be/Pc-X5ltv_wY?si=dCyqA35wtzBJ2e98" TargetMode="External"/><Relationship Id="rId494" Type="http://schemas.openxmlformats.org/officeDocument/2006/relationships/hyperlink" Target="https://youtu.be/TndC4jTr2Xk?si=VRwn6zyDp8HpOc3-" TargetMode="External"/><Relationship Id="rId251" Type="http://schemas.openxmlformats.org/officeDocument/2006/relationships/hyperlink" Target="https://www.youtube.com/@FirstEditionArtsChannel" TargetMode="External"/><Relationship Id="rId493" Type="http://schemas.openxmlformats.org/officeDocument/2006/relationships/hyperlink" Target="https://youtu.be/Ie4Jwmzt8qU?si=GoUYr-zfrcA27IRy" TargetMode="External"/><Relationship Id="rId250" Type="http://schemas.openxmlformats.org/officeDocument/2006/relationships/hyperlink" Target="https://youtu.be/oqIlHxoI7s4?si=MlocAwpn-YhLQj2k" TargetMode="External"/><Relationship Id="rId492" Type="http://schemas.openxmlformats.org/officeDocument/2006/relationships/hyperlink" Target="https://youtu.be/YjmAX7rqpNY?si=4NkVrspa-fW7hm8w" TargetMode="External"/><Relationship Id="rId257" Type="http://schemas.openxmlformats.org/officeDocument/2006/relationships/hyperlink" Target="https://youtu.be/gM1TNiKTkpQ?si=S5xft1Ej3pcnDwMX" TargetMode="External"/><Relationship Id="rId499" Type="http://schemas.openxmlformats.org/officeDocument/2006/relationships/hyperlink" Target="https://www.youtube.com/watch?v=Mh0sQPQs6x0" TargetMode="External"/><Relationship Id="rId256" Type="http://schemas.openxmlformats.org/officeDocument/2006/relationships/hyperlink" Target="https://youtu.be/AjHzJOwl2kY?si=isjJPFvTzZQ_tSJP" TargetMode="External"/><Relationship Id="rId498" Type="http://schemas.openxmlformats.org/officeDocument/2006/relationships/hyperlink" Target="https://www.youtube.com/watch?v=anHvAeEYBQw" TargetMode="External"/><Relationship Id="rId255" Type="http://schemas.openxmlformats.org/officeDocument/2006/relationships/hyperlink" Target="https://youtu.be/YXI1rXrLKzU?si=N5er406VhvJrL1Eo" TargetMode="External"/><Relationship Id="rId497" Type="http://schemas.openxmlformats.org/officeDocument/2006/relationships/hyperlink" Target="https://www.youtube.com/watch?v=yDeA4nvda3Q" TargetMode="External"/><Relationship Id="rId254" Type="http://schemas.openxmlformats.org/officeDocument/2006/relationships/hyperlink" Target="https://youtu.be/zQ5QP52lrrc?si=4J8ycEi2kX75Uj5a" TargetMode="External"/><Relationship Id="rId496" Type="http://schemas.openxmlformats.org/officeDocument/2006/relationships/hyperlink" Target="https://www.youtube.com/watch?v=e-g-GESCe20" TargetMode="External"/><Relationship Id="rId293" Type="http://schemas.openxmlformats.org/officeDocument/2006/relationships/hyperlink" Target="https://youtu.be/wPXQmdZH7Ew?si=IX6g7b-HrCXZeTvq" TargetMode="External"/><Relationship Id="rId292" Type="http://schemas.openxmlformats.org/officeDocument/2006/relationships/hyperlink" Target="https://youtu.be/dTbY0FdrmLU?si=9E-PWBrVvh_z54PV" TargetMode="External"/><Relationship Id="rId291" Type="http://schemas.openxmlformats.org/officeDocument/2006/relationships/hyperlink" Target="https://youtu.be/2l4gq0C0SPM?si=ydNewf0T9wz5ip1W" TargetMode="External"/><Relationship Id="rId290" Type="http://schemas.openxmlformats.org/officeDocument/2006/relationships/hyperlink" Target="https://youtu.be/PdWenqMtpas?si=Lyj02F1t2Tx7_9fh" TargetMode="External"/><Relationship Id="rId286" Type="http://schemas.openxmlformats.org/officeDocument/2006/relationships/hyperlink" Target="https://youtu.be/BL8FDnJMkjo?si=Q7xYR7tqILFb9BNi" TargetMode="External"/><Relationship Id="rId285" Type="http://schemas.openxmlformats.org/officeDocument/2006/relationships/hyperlink" Target="https://youtu.be/2yUiHcp01cQ?si=yy5pUEd9SJ2mHEYE" TargetMode="External"/><Relationship Id="rId284" Type="http://schemas.openxmlformats.org/officeDocument/2006/relationships/hyperlink" Target="https://youtu.be/9a4ydru4K88?si=1YDSKD1zcrJE-aFr" TargetMode="External"/><Relationship Id="rId283" Type="http://schemas.openxmlformats.org/officeDocument/2006/relationships/hyperlink" Target="https://youtu.be/-zIm1sK1m7w?si=PKHg4Sxkk0Qu_hbr" TargetMode="External"/><Relationship Id="rId289" Type="http://schemas.openxmlformats.org/officeDocument/2006/relationships/hyperlink" Target="https://youtu.be/X5GXomDTrBg?si=GdZN0FJnEKbmcj7l" TargetMode="External"/><Relationship Id="rId288" Type="http://schemas.openxmlformats.org/officeDocument/2006/relationships/hyperlink" Target="https://youtu.be/uSsgvmvijUM?si=gbI_7gzrEFgo5bha" TargetMode="External"/><Relationship Id="rId287" Type="http://schemas.openxmlformats.org/officeDocument/2006/relationships/hyperlink" Target="https://youtu.be/ZXrkENWHbT8?si=6rRCTtK8S2yiblxG" TargetMode="External"/><Relationship Id="rId282" Type="http://schemas.openxmlformats.org/officeDocument/2006/relationships/hyperlink" Target="https://youtu.be/4tIxcWz8ofY?si=jzsFXM375-DVv0V2" TargetMode="External"/><Relationship Id="rId281" Type="http://schemas.openxmlformats.org/officeDocument/2006/relationships/hyperlink" Target="https://youtu.be/ka0DZJSb5Dw?si=V8b2Yo6MGQQqtiO0" TargetMode="External"/><Relationship Id="rId280" Type="http://schemas.openxmlformats.org/officeDocument/2006/relationships/hyperlink" Target="https://youtu.be/wS_iCHZTsc4?si=HMRvPU-QEOPtCrY7" TargetMode="External"/><Relationship Id="rId275" Type="http://schemas.openxmlformats.org/officeDocument/2006/relationships/hyperlink" Target="https://youtu.be/S5VRlnJzdEI?si=euEUT61kutRZdMv4" TargetMode="External"/><Relationship Id="rId274" Type="http://schemas.openxmlformats.org/officeDocument/2006/relationships/hyperlink" Target="https://youtu.be/_hmFArybf28?si=h0Y6Y_-DlN_8XmZD" TargetMode="External"/><Relationship Id="rId273" Type="http://schemas.openxmlformats.org/officeDocument/2006/relationships/hyperlink" Target="https://youtu.be/LXLyEPU77CM?si=W0nvz_6BsqJTHBwY" TargetMode="External"/><Relationship Id="rId272" Type="http://schemas.openxmlformats.org/officeDocument/2006/relationships/hyperlink" Target="https://youtu.be/jE-VBSOvmDE?si=-PLQoff3WVIoeAGV" TargetMode="External"/><Relationship Id="rId279" Type="http://schemas.openxmlformats.org/officeDocument/2006/relationships/hyperlink" Target="https://youtu.be/5WPJ3WxBRds?si=unXxJ8qaGAx5M0sV" TargetMode="External"/><Relationship Id="rId278" Type="http://schemas.openxmlformats.org/officeDocument/2006/relationships/hyperlink" Target="https://youtu.be/PrrOhka-qHc?si=jpKMtNR2obpfyWPZ" TargetMode="External"/><Relationship Id="rId277" Type="http://schemas.openxmlformats.org/officeDocument/2006/relationships/hyperlink" Target="https://youtu.be/DlL1rmoDSI8?si=XUBdx8Ki3YItfFgB" TargetMode="External"/><Relationship Id="rId276" Type="http://schemas.openxmlformats.org/officeDocument/2006/relationships/hyperlink" Target="https://youtu.be/UCd62tLKkWc?si=GtmDR3e92s6UkHLv" TargetMode="External"/><Relationship Id="rId629" Type="http://schemas.openxmlformats.org/officeDocument/2006/relationships/hyperlink" Target="https://youtu.be/WhuzYxmaPlc?si=qZlQUhpQmAooM5UC" TargetMode="External"/><Relationship Id="rId624" Type="http://schemas.openxmlformats.org/officeDocument/2006/relationships/hyperlink" Target="https://youtu.be/mSfbe2swHuU?si=4lcuDaIbfIblb_OT" TargetMode="External"/><Relationship Id="rId623" Type="http://schemas.openxmlformats.org/officeDocument/2006/relationships/hyperlink" Target="https://youtu.be/VYVzqMyeiDg?si=3Oztl3PoconWAMuL" TargetMode="External"/><Relationship Id="rId622" Type="http://schemas.openxmlformats.org/officeDocument/2006/relationships/hyperlink" Target="https://youtu.be/B_sCkyPfkmY?si=aEEpfhi3FrlkEklE" TargetMode="External"/><Relationship Id="rId621" Type="http://schemas.openxmlformats.org/officeDocument/2006/relationships/hyperlink" Target="https://youtu.be/jondMRB3VRQ?si=3hCzs1Fxb083b8uj" TargetMode="External"/><Relationship Id="rId628" Type="http://schemas.openxmlformats.org/officeDocument/2006/relationships/hyperlink" Target="https://youtu.be/TY1T7KrvNX4?si=9ybyxBkPH4Ucfeys" TargetMode="External"/><Relationship Id="rId627" Type="http://schemas.openxmlformats.org/officeDocument/2006/relationships/hyperlink" Target="https://youtu.be/LFP4Ff23gZ4?si=EVQQe0sYBniMx0Tu" TargetMode="External"/><Relationship Id="rId626" Type="http://schemas.openxmlformats.org/officeDocument/2006/relationships/hyperlink" Target="https://youtu.be/oAzl-jkUJdE?si=9GQKLPy1RINlo1Yq" TargetMode="External"/><Relationship Id="rId625" Type="http://schemas.openxmlformats.org/officeDocument/2006/relationships/hyperlink" Target="https://youtu.be/r335-qG--fE?si=ho_-gWHctsoz4n80" TargetMode="External"/><Relationship Id="rId620" Type="http://schemas.openxmlformats.org/officeDocument/2006/relationships/hyperlink" Target="https://youtu.be/8XRxGdO475E?si=3cPHlUc2FteWqrD8" TargetMode="External"/><Relationship Id="rId619" Type="http://schemas.openxmlformats.org/officeDocument/2006/relationships/hyperlink" Target="https://youtu.be/d4o5hfzkXcw?si=q0jaD5fQhOOMkVvj" TargetMode="External"/><Relationship Id="rId618" Type="http://schemas.openxmlformats.org/officeDocument/2006/relationships/hyperlink" Target="https://youtu.be/TtePkZkSL-0?si=fEi8UZm4qyRJpT70" TargetMode="External"/><Relationship Id="rId613" Type="http://schemas.openxmlformats.org/officeDocument/2006/relationships/hyperlink" Target="https://youtu.be/_zpODC7mWNc?si=un2f0kK_XsOq0dD7" TargetMode="External"/><Relationship Id="rId612" Type="http://schemas.openxmlformats.org/officeDocument/2006/relationships/hyperlink" Target="https://youtu.be/OGEqncJNu5o?si=2AsNAUBXm6FMEDVd" TargetMode="External"/><Relationship Id="rId611" Type="http://schemas.openxmlformats.org/officeDocument/2006/relationships/hyperlink" Target="https://youtu.be/HjiBHC7Q8kM?si=xa-eQR3ch08DBmA3" TargetMode="External"/><Relationship Id="rId610" Type="http://schemas.openxmlformats.org/officeDocument/2006/relationships/hyperlink" Target="https://youtu.be/VD12iexjVqU?si=01MON3NdR2jJ71cm" TargetMode="External"/><Relationship Id="rId617" Type="http://schemas.openxmlformats.org/officeDocument/2006/relationships/hyperlink" Target="https://youtu.be/lxVz0J9ilvU?si=ILuEMIDz5hUg9Gyc" TargetMode="External"/><Relationship Id="rId616" Type="http://schemas.openxmlformats.org/officeDocument/2006/relationships/hyperlink" Target="https://youtu.be/c6A6g8NlroM?si=tlQpit1A54F2Ia_M" TargetMode="External"/><Relationship Id="rId615" Type="http://schemas.openxmlformats.org/officeDocument/2006/relationships/hyperlink" Target="https://youtu.be/1KpPthHsjMo?si=b2FJxFNhQEGat-Vo" TargetMode="External"/><Relationship Id="rId614" Type="http://schemas.openxmlformats.org/officeDocument/2006/relationships/hyperlink" Target="https://youtu.be/ql3j5vHVhtY?si=zcllrXi7Jk-8YM4U" TargetMode="External"/><Relationship Id="rId409" Type="http://schemas.openxmlformats.org/officeDocument/2006/relationships/hyperlink" Target="https://youtu.be/4HBG8pMvwcw?si=WHu_7l66UQP8kYM_" TargetMode="External"/><Relationship Id="rId404" Type="http://schemas.openxmlformats.org/officeDocument/2006/relationships/hyperlink" Target="https://youtu.be/cYtARn9x0NI?si=lC8O_hEmHy0QWe3t" TargetMode="External"/><Relationship Id="rId646" Type="http://schemas.openxmlformats.org/officeDocument/2006/relationships/hyperlink" Target="https://youtu.be/aNfZVeAO6dQ?si=mtn4yDhds3L6MXxG" TargetMode="External"/><Relationship Id="rId403" Type="http://schemas.openxmlformats.org/officeDocument/2006/relationships/hyperlink" Target="https://youtu.be/ZNxorE2hZn0?si=Xfr5iSTT2bhfgUSm" TargetMode="External"/><Relationship Id="rId645" Type="http://schemas.openxmlformats.org/officeDocument/2006/relationships/hyperlink" Target="https://youtu.be/kL0QJ_MV1H0?si=J5c8Op_Eu_3KdJCi" TargetMode="External"/><Relationship Id="rId402" Type="http://schemas.openxmlformats.org/officeDocument/2006/relationships/hyperlink" Target="https://youtu.be/ncL5lc-pszQ?si=RdqC_YBZ4__vmbPc" TargetMode="External"/><Relationship Id="rId644" Type="http://schemas.openxmlformats.org/officeDocument/2006/relationships/hyperlink" Target="https://youtu.be/LWg2hUVYAcE?si=iuALMg8qVhpdfb8x" TargetMode="External"/><Relationship Id="rId401" Type="http://schemas.openxmlformats.org/officeDocument/2006/relationships/hyperlink" Target="https://youtu.be/FdWEI-RvScU?si=cM-ktoowy0ch6BaW" TargetMode="External"/><Relationship Id="rId643" Type="http://schemas.openxmlformats.org/officeDocument/2006/relationships/hyperlink" Target="https://youtu.be/kpauR4kKF8Q?si=86f337uZD5K42vAs" TargetMode="External"/><Relationship Id="rId408" Type="http://schemas.openxmlformats.org/officeDocument/2006/relationships/hyperlink" Target="https://youtu.be/u1-Y4lWOBtY?si=A-7v-59u4jIdTAA5" TargetMode="External"/><Relationship Id="rId407" Type="http://schemas.openxmlformats.org/officeDocument/2006/relationships/hyperlink" Target="https://youtu.be/feWqgGAQ2Hs?si=zRBHRMTP3-T4EZDk" TargetMode="External"/><Relationship Id="rId649" Type="http://schemas.openxmlformats.org/officeDocument/2006/relationships/hyperlink" Target="https://youtu.be/DRQg2lqZavg?si=LODneS-52PhvaKy1" TargetMode="External"/><Relationship Id="rId406" Type="http://schemas.openxmlformats.org/officeDocument/2006/relationships/hyperlink" Target="https://youtu.be/LsXkq3Bc16E?si=RhMUuztcYOYVBtBW" TargetMode="External"/><Relationship Id="rId648" Type="http://schemas.openxmlformats.org/officeDocument/2006/relationships/hyperlink" Target="https://youtu.be/I8D-Cf51K6A?si=sPWt2QJ1ttx2j6I5" TargetMode="External"/><Relationship Id="rId405" Type="http://schemas.openxmlformats.org/officeDocument/2006/relationships/hyperlink" Target="https://youtu.be/5WKd7zXf1wg?si=tHUz3B9n4Mj0aOwM" TargetMode="External"/><Relationship Id="rId647" Type="http://schemas.openxmlformats.org/officeDocument/2006/relationships/hyperlink" Target="https://youtu.be/JHOwVL069lY?si=M78lr_Z5a60feyMU" TargetMode="External"/><Relationship Id="rId400" Type="http://schemas.openxmlformats.org/officeDocument/2006/relationships/hyperlink" Target="https://youtu.be/PdBnw8lfK8A?si=ur3ZPpZRg6dllpYT" TargetMode="External"/><Relationship Id="rId642" Type="http://schemas.openxmlformats.org/officeDocument/2006/relationships/hyperlink" Target="https://youtu.be/D1mTLI1ogXo?si=I6PYyAh4kwXFO_7j" TargetMode="External"/><Relationship Id="rId641" Type="http://schemas.openxmlformats.org/officeDocument/2006/relationships/hyperlink" Target="https://youtu.be/VuziFHmr9hc?si=KpIVFq1xs_-pGYmI" TargetMode="External"/><Relationship Id="rId640" Type="http://schemas.openxmlformats.org/officeDocument/2006/relationships/hyperlink" Target="https://youtu.be/QnUxbihBh8Q?si=3i3cBkxqnKgJy5IN" TargetMode="External"/><Relationship Id="rId635" Type="http://schemas.openxmlformats.org/officeDocument/2006/relationships/hyperlink" Target="https://youtu.be/AfEL3Fy61_Y?si=S79O3kBEI94SQrxI" TargetMode="External"/><Relationship Id="rId634" Type="http://schemas.openxmlformats.org/officeDocument/2006/relationships/hyperlink" Target="https://youtu.be/CFAfu1gQ08Q?si=Ms6OVEHuv_ce8YEp" TargetMode="External"/><Relationship Id="rId633" Type="http://schemas.openxmlformats.org/officeDocument/2006/relationships/hyperlink" Target="https://youtu.be/MHL0wzLYrzQ?si=oQTSWi5W3ZrvoTwM" TargetMode="External"/><Relationship Id="rId632" Type="http://schemas.openxmlformats.org/officeDocument/2006/relationships/hyperlink" Target="https://youtu.be/LVgVPrnTyJY?si=piIoVJfLbK_OP8UE" TargetMode="External"/><Relationship Id="rId639" Type="http://schemas.openxmlformats.org/officeDocument/2006/relationships/hyperlink" Target="https://youtu.be/2_-o72eMxR0?si=Z0JUE3gm-6dAjokj" TargetMode="External"/><Relationship Id="rId638" Type="http://schemas.openxmlformats.org/officeDocument/2006/relationships/hyperlink" Target="https://youtu.be/NvHsJPCPK3Q?si=TYaRklEpYmw2xH2-" TargetMode="External"/><Relationship Id="rId637" Type="http://schemas.openxmlformats.org/officeDocument/2006/relationships/hyperlink" Target="https://youtu.be/DWLFnfaOL3s?si=Oclq8CXyzTwgy2CG" TargetMode="External"/><Relationship Id="rId636" Type="http://schemas.openxmlformats.org/officeDocument/2006/relationships/hyperlink" Target="https://youtu.be/hA3A2xW9G0c?si=P6FOGzPIqhfIbVMt" TargetMode="External"/><Relationship Id="rId631" Type="http://schemas.openxmlformats.org/officeDocument/2006/relationships/hyperlink" Target="https://youtu.be/Xi3xlZyCqQQ?si=1oxKS5nPeaE6_nCv" TargetMode="External"/><Relationship Id="rId630" Type="http://schemas.openxmlformats.org/officeDocument/2006/relationships/hyperlink" Target="https://youtu.be/enUqv-HZcLE?si=_nNfrfC-f-DMgtjx" TargetMode="External"/><Relationship Id="rId609" Type="http://schemas.openxmlformats.org/officeDocument/2006/relationships/hyperlink" Target="https://youtu.be/_qyGPiXBfwc?si=qo1_sU0UfBKB8mVs" TargetMode="External"/><Relationship Id="rId608" Type="http://schemas.openxmlformats.org/officeDocument/2006/relationships/hyperlink" Target="https://youtu.be/xfrdURs549g?si=pzEXMAuCVG0xALVH" TargetMode="External"/><Relationship Id="rId607" Type="http://schemas.openxmlformats.org/officeDocument/2006/relationships/hyperlink" Target="https://youtu.be/tIC9MSf0O_c?si=d0D8l1rQtdWG2DPJ" TargetMode="External"/><Relationship Id="rId602" Type="http://schemas.openxmlformats.org/officeDocument/2006/relationships/hyperlink" Target="https://youtu.be/b4axavWSFoo?si=HNOkmys0bUm5_Xc-" TargetMode="External"/><Relationship Id="rId601" Type="http://schemas.openxmlformats.org/officeDocument/2006/relationships/hyperlink" Target="https://youtu.be/ZwkjYAAsfKc?si=KgvettoULf_LTcqY" TargetMode="External"/><Relationship Id="rId600" Type="http://schemas.openxmlformats.org/officeDocument/2006/relationships/hyperlink" Target="https://youtu.be/jZp1dmcwV3s?si=h3maQ8sf4FRY6DLL" TargetMode="External"/><Relationship Id="rId606" Type="http://schemas.openxmlformats.org/officeDocument/2006/relationships/hyperlink" Target="https://youtu.be/vWjjooBAFz8?si=9ESQ1ra3aOmc-P-0" TargetMode="External"/><Relationship Id="rId605" Type="http://schemas.openxmlformats.org/officeDocument/2006/relationships/hyperlink" Target="https://youtu.be/_XuJvTUNeRU?si=RLLV5HsB0jkihO8M" TargetMode="External"/><Relationship Id="rId604" Type="http://schemas.openxmlformats.org/officeDocument/2006/relationships/hyperlink" Target="https://youtu.be/SpvSt1q-VoU?si=EnHscuIK2tctkQnS" TargetMode="External"/><Relationship Id="rId603" Type="http://schemas.openxmlformats.org/officeDocument/2006/relationships/hyperlink" Target="https://youtu.be/smQYC1aARjA?si=or4y46qH9Tb8Xqm6" TargetMode="External"/><Relationship Id="rId228" Type="http://schemas.openxmlformats.org/officeDocument/2006/relationships/hyperlink" Target="https://youtu.be/9YoXGh1s5KA?si=Fni-OfgM-Mixi9eA" TargetMode="External"/><Relationship Id="rId227" Type="http://schemas.openxmlformats.org/officeDocument/2006/relationships/hyperlink" Target="https://youtu.be/20AL-bG4q6Y?si=TGAG12irt0unRsLs" TargetMode="External"/><Relationship Id="rId469" Type="http://schemas.openxmlformats.org/officeDocument/2006/relationships/hyperlink" Target="https://youtu.be/ZqgW7I1tpkk?si=fyH16iE1t8aLgcxo" TargetMode="External"/><Relationship Id="rId226" Type="http://schemas.openxmlformats.org/officeDocument/2006/relationships/hyperlink" Target="https://youtu.be/ybqhHmwMADI?si=q1qLNkYm9WpIEcAe" TargetMode="External"/><Relationship Id="rId468" Type="http://schemas.openxmlformats.org/officeDocument/2006/relationships/hyperlink" Target="https://youtu.be/1xv00HKtOcE?si=PZLyHciCSZHF3fsG" TargetMode="External"/><Relationship Id="rId225" Type="http://schemas.openxmlformats.org/officeDocument/2006/relationships/hyperlink" Target="https://youtu.be/wvkQweUvkQI?si=NJmSK2jhWstTnQT9" TargetMode="External"/><Relationship Id="rId467" Type="http://schemas.openxmlformats.org/officeDocument/2006/relationships/hyperlink" Target="https://youtu.be/DerC0YmGft4?si=xJrcru3JiudaIvgN" TargetMode="External"/><Relationship Id="rId229" Type="http://schemas.openxmlformats.org/officeDocument/2006/relationships/hyperlink" Target="https://youtu.be/dchgqcMKp7M?si=H1DuqOZccWrtH6BO" TargetMode="External"/><Relationship Id="rId220" Type="http://schemas.openxmlformats.org/officeDocument/2006/relationships/hyperlink" Target="https://youtu.be/I4FTKvoVWl8?si=hpFkmIvAGRYfx3pf" TargetMode="External"/><Relationship Id="rId462" Type="http://schemas.openxmlformats.org/officeDocument/2006/relationships/hyperlink" Target="https://youtu.be/1s35FHQlESY?si=dVbegNokUS1u9MbB" TargetMode="External"/><Relationship Id="rId461" Type="http://schemas.openxmlformats.org/officeDocument/2006/relationships/hyperlink" Target="https://youtu.be/CN48HtVdgVU?si=T3E56S3CVSVu5aQ5" TargetMode="External"/><Relationship Id="rId460" Type="http://schemas.openxmlformats.org/officeDocument/2006/relationships/hyperlink" Target="https://youtu.be/k-RfFGPFUOQ?si=8sjZ45XV_f1NBxjf" TargetMode="External"/><Relationship Id="rId224" Type="http://schemas.openxmlformats.org/officeDocument/2006/relationships/hyperlink" Target="https://youtu.be/f1CRp6kCyZQ?si=hzIiS5FdETF7_VF1" TargetMode="External"/><Relationship Id="rId466" Type="http://schemas.openxmlformats.org/officeDocument/2006/relationships/hyperlink" Target="https://youtu.be/VdostKXHFpo?si=u30Iy34GTvBbUpS5" TargetMode="External"/><Relationship Id="rId223" Type="http://schemas.openxmlformats.org/officeDocument/2006/relationships/hyperlink" Target="https://youtu.be/gR7yqkEzQxI?si=sQ1QnYNwOS9YrGg7" TargetMode="External"/><Relationship Id="rId465" Type="http://schemas.openxmlformats.org/officeDocument/2006/relationships/hyperlink" Target="https://youtu.be/1WpuANyTX1s?si=-JrbVbNF3XNM5sPi" TargetMode="External"/><Relationship Id="rId222" Type="http://schemas.openxmlformats.org/officeDocument/2006/relationships/hyperlink" Target="https://youtu.be/KzZVMsqhU-o?si=vtFNSNvGAeFv0v07" TargetMode="External"/><Relationship Id="rId464" Type="http://schemas.openxmlformats.org/officeDocument/2006/relationships/hyperlink" Target="https://youtu.be/vxGSeCi72nE?si=jGnP3hiWIMYz0XMY" TargetMode="External"/><Relationship Id="rId221" Type="http://schemas.openxmlformats.org/officeDocument/2006/relationships/hyperlink" Target="https://youtu.be/rTEHQJ5ld6E?si=0TgLTC1-ErN16wt2" TargetMode="External"/><Relationship Id="rId463" Type="http://schemas.openxmlformats.org/officeDocument/2006/relationships/hyperlink" Target="https://youtu.be/YZujnbeOaO8?si=TKCOs8zIAj2fdU1t" TargetMode="External"/><Relationship Id="rId217" Type="http://schemas.openxmlformats.org/officeDocument/2006/relationships/hyperlink" Target="https://youtu.be/K7H-ptuxlr8?si=P_efCm5kyB74TOuy" TargetMode="External"/><Relationship Id="rId459" Type="http://schemas.openxmlformats.org/officeDocument/2006/relationships/hyperlink" Target="https://youtu.be/SprppaO9GYY?si=SwZLg6b6yVeSXMty" TargetMode="External"/><Relationship Id="rId216" Type="http://schemas.openxmlformats.org/officeDocument/2006/relationships/hyperlink" Target="https://youtu.be/2Z2ALPvXIig?si=7tTwdkacifpWw33V" TargetMode="External"/><Relationship Id="rId458" Type="http://schemas.openxmlformats.org/officeDocument/2006/relationships/hyperlink" Target="https://youtu.be/KtmyOUEDpXA?si=wQUlaV84CPC6XFyg" TargetMode="External"/><Relationship Id="rId215" Type="http://schemas.openxmlformats.org/officeDocument/2006/relationships/hyperlink" Target="https://youtu.be/VUjQ__gqBJc?si=H4wiHfU2wBXy9vdb" TargetMode="External"/><Relationship Id="rId457" Type="http://schemas.openxmlformats.org/officeDocument/2006/relationships/hyperlink" Target="https://youtu.be/PV15vohXgG0?si=JhnYi21vmpgjqcE8" TargetMode="External"/><Relationship Id="rId699" Type="http://schemas.openxmlformats.org/officeDocument/2006/relationships/hyperlink" Target="https://youtu.be/oJYkFY07aAQ?si=ufse93Q8Hf_mAihq" TargetMode="External"/><Relationship Id="rId214" Type="http://schemas.openxmlformats.org/officeDocument/2006/relationships/hyperlink" Target="https://youtu.be/MlFkMRnPk_Q?si=h1CPwWQ_vWYYr5u1" TargetMode="External"/><Relationship Id="rId456" Type="http://schemas.openxmlformats.org/officeDocument/2006/relationships/hyperlink" Target="https://youtu.be/s83Fj8SEs-k?si=S1wYHvrY0U5TMb_1" TargetMode="External"/><Relationship Id="rId698" Type="http://schemas.openxmlformats.org/officeDocument/2006/relationships/hyperlink" Target="https://youtu.be/W1q_rh1d-Mw?si=kCVOgyl-1CrmX1u2" TargetMode="External"/><Relationship Id="rId219" Type="http://schemas.openxmlformats.org/officeDocument/2006/relationships/hyperlink" Target="https://youtu.be/3Cj14wrWHqw?si=7wXsmm5YDqlCGkIG" TargetMode="External"/><Relationship Id="rId218" Type="http://schemas.openxmlformats.org/officeDocument/2006/relationships/hyperlink" Target="https://youtu.be/XfbTpq6cDTk?si=_87VBbQ6KLlQOc4Z" TargetMode="External"/><Relationship Id="rId451" Type="http://schemas.openxmlformats.org/officeDocument/2006/relationships/hyperlink" Target="https://youtu.be/i051DNFnd68?si=w52mBivLcEBilrbA" TargetMode="External"/><Relationship Id="rId693" Type="http://schemas.openxmlformats.org/officeDocument/2006/relationships/hyperlink" Target="https://youtu.be/ECWzL8LIFQw?si=JsEUdVbH4WabCXKJ" TargetMode="External"/><Relationship Id="rId450" Type="http://schemas.openxmlformats.org/officeDocument/2006/relationships/hyperlink" Target="https://youtu.be/5r0mq_paPxg?si=P3En2mMtLq6rRCl_" TargetMode="External"/><Relationship Id="rId692" Type="http://schemas.openxmlformats.org/officeDocument/2006/relationships/hyperlink" Target="https://youtu.be/N5IMMOFrgv4?si=GZKu0AeMdWJ_WDfo" TargetMode="External"/><Relationship Id="rId691" Type="http://schemas.openxmlformats.org/officeDocument/2006/relationships/hyperlink" Target="https://youtu.be/v9tlvBywXOo?si=mvOHOq2F3DlmVAos" TargetMode="External"/><Relationship Id="rId690" Type="http://schemas.openxmlformats.org/officeDocument/2006/relationships/hyperlink" Target="https://youtu.be/J0SkzPaOgwc?si=ygqtG1_Kz56dwYlz" TargetMode="External"/><Relationship Id="rId213" Type="http://schemas.openxmlformats.org/officeDocument/2006/relationships/hyperlink" Target="https://youtu.be/wRVar1lhzL8?si=1Oho3ZL6-g_aZpsz" TargetMode="External"/><Relationship Id="rId455" Type="http://schemas.openxmlformats.org/officeDocument/2006/relationships/hyperlink" Target="https://youtu.be/_zMinS2c9qA?si=N_z1Nw-l-D_PaKu-" TargetMode="External"/><Relationship Id="rId697" Type="http://schemas.openxmlformats.org/officeDocument/2006/relationships/hyperlink" Target="https://youtu.be/cJ7WYq11wFg?si=m--9YU2kR-n9f37l" TargetMode="External"/><Relationship Id="rId212" Type="http://schemas.openxmlformats.org/officeDocument/2006/relationships/hyperlink" Target="https://youtu.be/VzoKlWVcGIg?si=ZoZMQbl_gimA1RYR" TargetMode="External"/><Relationship Id="rId454" Type="http://schemas.openxmlformats.org/officeDocument/2006/relationships/hyperlink" Target="https://youtu.be/zV1IG1SepqA?si=dSrF3_Td_2MvB7Nf" TargetMode="External"/><Relationship Id="rId696" Type="http://schemas.openxmlformats.org/officeDocument/2006/relationships/hyperlink" Target="https://youtu.be/Gf96sPfHitw?si=-_rxAnDi8b2waP7y" TargetMode="External"/><Relationship Id="rId211" Type="http://schemas.openxmlformats.org/officeDocument/2006/relationships/hyperlink" Target="https://youtu.be/05MaWBpkNvE?si=roQEa-Psq9XfPh1r" TargetMode="External"/><Relationship Id="rId453" Type="http://schemas.openxmlformats.org/officeDocument/2006/relationships/hyperlink" Target="https://youtu.be/bRdrbdPif8E?si=FJv-Ui_g28iRZC4b" TargetMode="External"/><Relationship Id="rId695" Type="http://schemas.openxmlformats.org/officeDocument/2006/relationships/hyperlink" Target="https://youtu.be/LZ2oLN7AsGo?si=pARmYffsWUrZzexM" TargetMode="External"/><Relationship Id="rId210" Type="http://schemas.openxmlformats.org/officeDocument/2006/relationships/hyperlink" Target="https://youtu.be/Km0WC0ISX20?si=-5VDsnbKBJmgxmq_" TargetMode="External"/><Relationship Id="rId452" Type="http://schemas.openxmlformats.org/officeDocument/2006/relationships/hyperlink" Target="https://youtu.be/J-wt2snhhQc?si=RSF1xoxsW9umiUyu" TargetMode="External"/><Relationship Id="rId694" Type="http://schemas.openxmlformats.org/officeDocument/2006/relationships/hyperlink" Target="https://youtu.be/O92sdlDyd0Q?si=gmhDKaXX2CFfkCgw" TargetMode="External"/><Relationship Id="rId491" Type="http://schemas.openxmlformats.org/officeDocument/2006/relationships/hyperlink" Target="https://youtu.be/w8wsO4t3jK0?si=gWPNQYIGgQecOShy" TargetMode="External"/><Relationship Id="rId490" Type="http://schemas.openxmlformats.org/officeDocument/2006/relationships/hyperlink" Target="https://youtu.be/oX8UKKBB4RI?si=GnawHFnuDVBU_jXj" TargetMode="External"/><Relationship Id="rId249" Type="http://schemas.openxmlformats.org/officeDocument/2006/relationships/hyperlink" Target="https://youtu.be/vFdUHWpbscU?si=Rn5RinmHpHspvpcc" TargetMode="External"/><Relationship Id="rId248" Type="http://schemas.openxmlformats.org/officeDocument/2006/relationships/hyperlink" Target="https://youtu.be/mQMauYtuBwM?si=1Oi_XmMZ72UjM974" TargetMode="External"/><Relationship Id="rId247" Type="http://schemas.openxmlformats.org/officeDocument/2006/relationships/hyperlink" Target="https://youtu.be/bE1LEFfzMv0?si=d2yZ2ZrQ1E8qhTAr" TargetMode="External"/><Relationship Id="rId489" Type="http://schemas.openxmlformats.org/officeDocument/2006/relationships/hyperlink" Target="https://youtu.be/bKQ2L8-qYDo?si=ZqUnnDaSUoCxtCz4" TargetMode="External"/><Relationship Id="rId242" Type="http://schemas.openxmlformats.org/officeDocument/2006/relationships/hyperlink" Target="https://youtu.be/t3nXcAPO_Us?si=7IgQe7hEt1g_T-AO" TargetMode="External"/><Relationship Id="rId484" Type="http://schemas.openxmlformats.org/officeDocument/2006/relationships/hyperlink" Target="https://youtu.be/CYpjCJ1CRRk?si=NcU80oFY5Rn543Qd" TargetMode="External"/><Relationship Id="rId241" Type="http://schemas.openxmlformats.org/officeDocument/2006/relationships/hyperlink" Target="https://youtu.be/DGEV8Yui5VI?si=Za-1ew-2sZDF7BTG" TargetMode="External"/><Relationship Id="rId483" Type="http://schemas.openxmlformats.org/officeDocument/2006/relationships/hyperlink" Target="https://youtu.be/ZO19_pYASog?si=7AMGQRQ8IV-0bE7p" TargetMode="External"/><Relationship Id="rId240" Type="http://schemas.openxmlformats.org/officeDocument/2006/relationships/hyperlink" Target="https://youtu.be/aprAWoTtVy8?si=ckJxGbV1ljv329Wo" TargetMode="External"/><Relationship Id="rId482" Type="http://schemas.openxmlformats.org/officeDocument/2006/relationships/hyperlink" Target="https://youtu.be/2Yzi_PWuxLg?si=WDVl4IoAPG93WwWg" TargetMode="External"/><Relationship Id="rId481" Type="http://schemas.openxmlformats.org/officeDocument/2006/relationships/hyperlink" Target="https://youtu.be/aWZdiCjtXC8?si=ZpgODbMQXcbkLN2E" TargetMode="External"/><Relationship Id="rId246" Type="http://schemas.openxmlformats.org/officeDocument/2006/relationships/hyperlink" Target="https://youtu.be/OctxFgBlXPw?si=_iO1WwhiPapat3cm" TargetMode="External"/><Relationship Id="rId488" Type="http://schemas.openxmlformats.org/officeDocument/2006/relationships/hyperlink" Target="https://youtu.be/XOMKtR3hPm8?si=x4Z4zPuyxx25X8MD" TargetMode="External"/><Relationship Id="rId245" Type="http://schemas.openxmlformats.org/officeDocument/2006/relationships/hyperlink" Target="https://youtu.be/c4BL5zyM0XA?si=KS5h_X3ywyLCcZrT" TargetMode="External"/><Relationship Id="rId487" Type="http://schemas.openxmlformats.org/officeDocument/2006/relationships/hyperlink" Target="https://youtu.be/arubSKCfNBA?si=muCe0Ywrqbg_LX8s" TargetMode="External"/><Relationship Id="rId244" Type="http://schemas.openxmlformats.org/officeDocument/2006/relationships/hyperlink" Target="https://youtu.be/_qqF_-KpxtY?si=0mROpPRBNCoGwRYo" TargetMode="External"/><Relationship Id="rId486" Type="http://schemas.openxmlformats.org/officeDocument/2006/relationships/hyperlink" Target="https://youtu.be/xhXRCYx_b_c?si=c0UCid5NWFvTNE-B" TargetMode="External"/><Relationship Id="rId243" Type="http://schemas.openxmlformats.org/officeDocument/2006/relationships/hyperlink" Target="https://youtu.be/szgaHp_wYN4?si=r4honytk5mfTVUtN" TargetMode="External"/><Relationship Id="rId485" Type="http://schemas.openxmlformats.org/officeDocument/2006/relationships/hyperlink" Target="https://youtu.be/T7RXhwh6lTc?si=f3ZnjazQd9kdQ9Ms" TargetMode="External"/><Relationship Id="rId480" Type="http://schemas.openxmlformats.org/officeDocument/2006/relationships/hyperlink" Target="https://youtu.be/zgdS5mnaSRU?si=UpE86_OfVaPYeAb5" TargetMode="External"/><Relationship Id="rId239" Type="http://schemas.openxmlformats.org/officeDocument/2006/relationships/hyperlink" Target="https://youtu.be/YIEnyayjl-w?si=EfNgzEKpM2-bfg-h" TargetMode="External"/><Relationship Id="rId238" Type="http://schemas.openxmlformats.org/officeDocument/2006/relationships/hyperlink" Target="https://youtu.be/a2V7Bm1gPWQ?si=k2BEf-G3jnacIPEy" TargetMode="External"/><Relationship Id="rId237" Type="http://schemas.openxmlformats.org/officeDocument/2006/relationships/hyperlink" Target="https://youtu.be/QdI2DjLdoOs?si=WyXNi80i4MIL7AXd" TargetMode="External"/><Relationship Id="rId479" Type="http://schemas.openxmlformats.org/officeDocument/2006/relationships/hyperlink" Target="https://youtu.be/GZ3ihpi690I?si=BxnMHVSmei8vilGB" TargetMode="External"/><Relationship Id="rId236" Type="http://schemas.openxmlformats.org/officeDocument/2006/relationships/hyperlink" Target="https://youtu.be/PEN-EeKGQk0?si=iMRPMqSNJnC5D1rj" TargetMode="External"/><Relationship Id="rId478" Type="http://schemas.openxmlformats.org/officeDocument/2006/relationships/hyperlink" Target="https://youtu.be/VTOX-_ecLC4?si=iZmI34Ju1J_b06on" TargetMode="External"/><Relationship Id="rId231" Type="http://schemas.openxmlformats.org/officeDocument/2006/relationships/hyperlink" Target="https://youtu.be/WubrSEQG36Y?si=fVhaliTFaAoT6kHi" TargetMode="External"/><Relationship Id="rId473" Type="http://schemas.openxmlformats.org/officeDocument/2006/relationships/hyperlink" Target="https://youtu.be/nMo351735os?si=LSQwbSaeIUiv5wY-" TargetMode="External"/><Relationship Id="rId230" Type="http://schemas.openxmlformats.org/officeDocument/2006/relationships/hyperlink" Target="https://youtu.be/vApho8HCFh4?si=_-gBkKL45gxriXa2" TargetMode="External"/><Relationship Id="rId472" Type="http://schemas.openxmlformats.org/officeDocument/2006/relationships/hyperlink" Target="https://youtu.be/lH15Iv2uX2g?si=i2NqCsPtMV9VWvqE" TargetMode="External"/><Relationship Id="rId471" Type="http://schemas.openxmlformats.org/officeDocument/2006/relationships/hyperlink" Target="https://youtu.be/kjUZzGNqm5g?si=nBtLwXsVo6EH33xt" TargetMode="External"/><Relationship Id="rId470" Type="http://schemas.openxmlformats.org/officeDocument/2006/relationships/hyperlink" Target="https://youtu.be/glqTRXkbRbc?si=ia5zimQE49UwOfaL" TargetMode="External"/><Relationship Id="rId235" Type="http://schemas.openxmlformats.org/officeDocument/2006/relationships/hyperlink" Target="https://youtu.be/FrSCKDYet3s?si=uzp-mQYK-buywxeP" TargetMode="External"/><Relationship Id="rId477" Type="http://schemas.openxmlformats.org/officeDocument/2006/relationships/hyperlink" Target="https://youtu.be/F8Rlfm36dN8?si=HX1wMOa-ZVKSrnw4" TargetMode="External"/><Relationship Id="rId234" Type="http://schemas.openxmlformats.org/officeDocument/2006/relationships/hyperlink" Target="https://youtu.be/8Gh3J3bK0O8?si=j9VszrGjNvnR_SzY" TargetMode="External"/><Relationship Id="rId476" Type="http://schemas.openxmlformats.org/officeDocument/2006/relationships/hyperlink" Target="https://youtu.be/CTKBESpQVFY?si=PHyxC3oGIGaQYu3p" TargetMode="External"/><Relationship Id="rId233" Type="http://schemas.openxmlformats.org/officeDocument/2006/relationships/hyperlink" Target="https://youtu.be/3xptxMNlNhA?si=vSEM2FbZpk9NG_UN" TargetMode="External"/><Relationship Id="rId475" Type="http://schemas.openxmlformats.org/officeDocument/2006/relationships/hyperlink" Target="https://youtu.be/yFICh0o79bI?si=4bKaCSYB5L-LiRjL" TargetMode="External"/><Relationship Id="rId232" Type="http://schemas.openxmlformats.org/officeDocument/2006/relationships/hyperlink" Target="https://youtu.be/dmssVlsU9vg?si=F-niD-D8w5AcEMMa" TargetMode="External"/><Relationship Id="rId474" Type="http://schemas.openxmlformats.org/officeDocument/2006/relationships/hyperlink" Target="https://youtu.be/mtCHo-53QGQ?si=H-xlPF6hLFZCO2NQ" TargetMode="External"/><Relationship Id="rId426" Type="http://schemas.openxmlformats.org/officeDocument/2006/relationships/hyperlink" Target="https://youtu.be/q69GQuZL6jI?si=VIPneXsiR5E37cgL" TargetMode="External"/><Relationship Id="rId668" Type="http://schemas.openxmlformats.org/officeDocument/2006/relationships/hyperlink" Target="https://youtu.be/4Y4UZagZNm0?si=7-knSkTZs_3pZViP" TargetMode="External"/><Relationship Id="rId425" Type="http://schemas.openxmlformats.org/officeDocument/2006/relationships/hyperlink" Target="https://www.youtube.com/watch?v=jyb9LAY7BCA&amp;list=PL-sO0pd2ZajQzBFSEeX8IQ4nTP-cFZP9O" TargetMode="External"/><Relationship Id="rId667" Type="http://schemas.openxmlformats.org/officeDocument/2006/relationships/hyperlink" Target="https://youtu.be/UeDW6A1iYv4?si=R8kh630r8GfB1xge" TargetMode="External"/><Relationship Id="rId424" Type="http://schemas.openxmlformats.org/officeDocument/2006/relationships/hyperlink" Target="https://youtu.be/bv1erGwRCBw?si=MAQkBfbHu6nHvuaC" TargetMode="External"/><Relationship Id="rId666" Type="http://schemas.openxmlformats.org/officeDocument/2006/relationships/hyperlink" Target="https://youtu.be/AxOv9YCKb8g?si=Ml44feiZNbFCG3i7" TargetMode="External"/><Relationship Id="rId423" Type="http://schemas.openxmlformats.org/officeDocument/2006/relationships/hyperlink" Target="https://youtu.be/LdF8n5uRMZk?si=kI8xt4JE2ZdbhTbX" TargetMode="External"/><Relationship Id="rId665" Type="http://schemas.openxmlformats.org/officeDocument/2006/relationships/hyperlink" Target="https://youtu.be/cCtY1FwtAow?si=0qFw5tw15UWUBIo6" TargetMode="External"/><Relationship Id="rId429" Type="http://schemas.openxmlformats.org/officeDocument/2006/relationships/hyperlink" Target="https://youtu.be/bvkuuo0Y5Ac?si=9Z9oNeyBUFE3eFkc" TargetMode="External"/><Relationship Id="rId428" Type="http://schemas.openxmlformats.org/officeDocument/2006/relationships/hyperlink" Target="https://youtu.be/GeYe7sjzA_k?si=Nn98vFgdEoBMfb6r" TargetMode="External"/><Relationship Id="rId427" Type="http://schemas.openxmlformats.org/officeDocument/2006/relationships/hyperlink" Target="https://youtu.be/tXY-Up7JDn0?si=ruFHB1ZbQVuzKPIC" TargetMode="External"/><Relationship Id="rId669" Type="http://schemas.openxmlformats.org/officeDocument/2006/relationships/hyperlink" Target="https://youtu.be/PzCZomuHVVQ?si=6rpC2ZBvHgxEBsWP" TargetMode="External"/><Relationship Id="rId660" Type="http://schemas.openxmlformats.org/officeDocument/2006/relationships/hyperlink" Target="https://youtu.be/y5afu9af9yM?si=b6zwABd848zsTMPk" TargetMode="External"/><Relationship Id="rId422" Type="http://schemas.openxmlformats.org/officeDocument/2006/relationships/hyperlink" Target="https://youtu.be/zNFHFMJktVU?si=9jlXI3nx4pezA6lC" TargetMode="External"/><Relationship Id="rId664" Type="http://schemas.openxmlformats.org/officeDocument/2006/relationships/hyperlink" Target="https://youtu.be/WOql4gBdk3g?si=EfjibtzqWovmSKrI" TargetMode="External"/><Relationship Id="rId421" Type="http://schemas.openxmlformats.org/officeDocument/2006/relationships/hyperlink" Target="https://youtu.be/iTlWT3aOitw?si=6OmZnBPioisxcLu6" TargetMode="External"/><Relationship Id="rId663" Type="http://schemas.openxmlformats.org/officeDocument/2006/relationships/hyperlink" Target="https://youtu.be/vgVNZnlXpa0?si=Ve4Uz21CTGyepBZh" TargetMode="External"/><Relationship Id="rId420" Type="http://schemas.openxmlformats.org/officeDocument/2006/relationships/hyperlink" Target="https://youtu.be/rX73UeSEx6o?si=Jkl3UVztb7yFJes6" TargetMode="External"/><Relationship Id="rId662" Type="http://schemas.openxmlformats.org/officeDocument/2006/relationships/hyperlink" Target="https://youtu.be/hOGDb_e0ykk?si=mpA7Cg0vnBFGSVd_" TargetMode="External"/><Relationship Id="rId661" Type="http://schemas.openxmlformats.org/officeDocument/2006/relationships/hyperlink" Target="https://youtu.be/IRVbguCS2TM?si=3Bq3lmxQvXI3BBca" TargetMode="External"/><Relationship Id="rId415" Type="http://schemas.openxmlformats.org/officeDocument/2006/relationships/hyperlink" Target="https://youtu.be/LPr1voQFWN4?si=3t1vUoooL6O2KHlY" TargetMode="External"/><Relationship Id="rId657" Type="http://schemas.openxmlformats.org/officeDocument/2006/relationships/hyperlink" Target="https://youtu.be/XKL0wIZRO-E?si=YYPOic3pLxthDzsB" TargetMode="External"/><Relationship Id="rId414" Type="http://schemas.openxmlformats.org/officeDocument/2006/relationships/hyperlink" Target="https://youtu.be/vX3MyKjP5vs?si=KIJhLfgcUc5Mexyj" TargetMode="External"/><Relationship Id="rId656" Type="http://schemas.openxmlformats.org/officeDocument/2006/relationships/hyperlink" Target="https://youtu.be/FJLVq145BlQ?si=aCgNwDbBqszRo17n" TargetMode="External"/><Relationship Id="rId413" Type="http://schemas.openxmlformats.org/officeDocument/2006/relationships/hyperlink" Target="https://youtu.be/pKn_pYFHYXI?si=fqAGHe3Qa1Sak2Pm" TargetMode="External"/><Relationship Id="rId655" Type="http://schemas.openxmlformats.org/officeDocument/2006/relationships/hyperlink" Target="https://youtu.be/TjjFda4hiPo?si=qtzp4BZLIFewA0CJ" TargetMode="External"/><Relationship Id="rId412" Type="http://schemas.openxmlformats.org/officeDocument/2006/relationships/hyperlink" Target="https://youtu.be/y_PjbArrUYo?si=XDDbKw_11c0QT9Gl" TargetMode="External"/><Relationship Id="rId654" Type="http://schemas.openxmlformats.org/officeDocument/2006/relationships/hyperlink" Target="https://youtu.be/F22c85xmSPM?si=BsKM2KgThz7xRDcb" TargetMode="External"/><Relationship Id="rId419" Type="http://schemas.openxmlformats.org/officeDocument/2006/relationships/hyperlink" Target="https://youtu.be/bjVjWKpr-ag?si=UPiErlNXstPQnMDE" TargetMode="External"/><Relationship Id="rId418" Type="http://schemas.openxmlformats.org/officeDocument/2006/relationships/hyperlink" Target="https://youtu.be/DNYk0cffr98?si=NrsEJfa4Rqd8nFDV" TargetMode="External"/><Relationship Id="rId417" Type="http://schemas.openxmlformats.org/officeDocument/2006/relationships/hyperlink" Target="https://youtu.be/8ODGpL-V_ZQ?si=jhVpoupwHtaUSv8M" TargetMode="External"/><Relationship Id="rId659" Type="http://schemas.openxmlformats.org/officeDocument/2006/relationships/hyperlink" Target="https://youtu.be/WTwZRTTepTY?si=rzG43H8PolPj5F8B" TargetMode="External"/><Relationship Id="rId416" Type="http://schemas.openxmlformats.org/officeDocument/2006/relationships/hyperlink" Target="https://youtu.be/G2OUrXkMlSQ?si=BvAx1RER21Pe0WJN" TargetMode="External"/><Relationship Id="rId658" Type="http://schemas.openxmlformats.org/officeDocument/2006/relationships/hyperlink" Target="https://youtu.be/dANHj4UuZnQ?si=gCbhOaH90PdCWSg0" TargetMode="External"/><Relationship Id="rId411" Type="http://schemas.openxmlformats.org/officeDocument/2006/relationships/hyperlink" Target="https://youtu.be/_Wrq9S5O4vw?si=Fw4C7dGOQd-6L8Sq" TargetMode="External"/><Relationship Id="rId653" Type="http://schemas.openxmlformats.org/officeDocument/2006/relationships/hyperlink" Target="https://youtu.be/Z1kxnraQFnc?si=CdO8r4g5GQjLfO0d" TargetMode="External"/><Relationship Id="rId410" Type="http://schemas.openxmlformats.org/officeDocument/2006/relationships/hyperlink" Target="https://youtu.be/SQu4DcDgtwY?si=stXUULYTbsZIC1Mt" TargetMode="External"/><Relationship Id="rId652" Type="http://schemas.openxmlformats.org/officeDocument/2006/relationships/hyperlink" Target="https://youtu.be/SYg-f3NOVac?si=PS7vqdS6tdvHQUUo" TargetMode="External"/><Relationship Id="rId651" Type="http://schemas.openxmlformats.org/officeDocument/2006/relationships/hyperlink" Target="https://youtu.be/W3hSyzZ4pGA?si=eTexv4kV7rOElcuT" TargetMode="External"/><Relationship Id="rId650" Type="http://schemas.openxmlformats.org/officeDocument/2006/relationships/hyperlink" Target="https://youtu.be/RYzFh_pUk6Q?si=KWiTWQMCESCdjyqt" TargetMode="External"/><Relationship Id="rId206" Type="http://schemas.openxmlformats.org/officeDocument/2006/relationships/hyperlink" Target="https://youtu.be/4pJKKMYfN00?si=XHSBvqx9R2rYPaA-" TargetMode="External"/><Relationship Id="rId448" Type="http://schemas.openxmlformats.org/officeDocument/2006/relationships/hyperlink" Target="https://youtu.be/KEygiM7E8yU?si=rgaMA9Oup0U3Hrbq" TargetMode="External"/><Relationship Id="rId205" Type="http://schemas.openxmlformats.org/officeDocument/2006/relationships/hyperlink" Target="https://youtu.be/kc3VHrJdjJ0?si=7tcH0KH_uuq4eruJ" TargetMode="External"/><Relationship Id="rId447" Type="http://schemas.openxmlformats.org/officeDocument/2006/relationships/hyperlink" Target="https://youtu.be/b_BMoFwbNQY?si=lUbe_wsFpAbLPgmI" TargetMode="External"/><Relationship Id="rId689" Type="http://schemas.openxmlformats.org/officeDocument/2006/relationships/hyperlink" Target="https://www.youtube.com/watch?v=vua6dQrJEkQ" TargetMode="External"/><Relationship Id="rId204" Type="http://schemas.openxmlformats.org/officeDocument/2006/relationships/hyperlink" Target="https://youtu.be/Rz4SFzNgVMI?si=OkVZHecigvfZHEgN" TargetMode="External"/><Relationship Id="rId446" Type="http://schemas.openxmlformats.org/officeDocument/2006/relationships/hyperlink" Target="https://youtu.be/xrhtPK5-RSM?si=Tz7WYiN_GUEGOhA0" TargetMode="External"/><Relationship Id="rId688" Type="http://schemas.openxmlformats.org/officeDocument/2006/relationships/hyperlink" Target="https://youtu.be/-BOgoqt2eZ0?si=FvRRXS4WG867NZSr" TargetMode="External"/><Relationship Id="rId203" Type="http://schemas.openxmlformats.org/officeDocument/2006/relationships/hyperlink" Target="https://youtu.be/jrIYQBqLBGg?si=B9G0uWKD44RfsoqO" TargetMode="External"/><Relationship Id="rId445" Type="http://schemas.openxmlformats.org/officeDocument/2006/relationships/hyperlink" Target="https://youtu.be/ncQaY1iA15U?si=FrCp_j_z6LpcNlWc" TargetMode="External"/><Relationship Id="rId687" Type="http://schemas.openxmlformats.org/officeDocument/2006/relationships/hyperlink" Target="https://youtu.be/-a02vTZ_UF4?si=fZcJWwYwpC4Cjipz" TargetMode="External"/><Relationship Id="rId209" Type="http://schemas.openxmlformats.org/officeDocument/2006/relationships/hyperlink" Target="https://youtu.be/tLYfXjPsPq4?si=VtaZ7Uv2Di9Q0UpM" TargetMode="External"/><Relationship Id="rId208" Type="http://schemas.openxmlformats.org/officeDocument/2006/relationships/hyperlink" Target="https://youtu.be/PKUO-nqbABg?si=uLVj6vFWIDukUMyf" TargetMode="External"/><Relationship Id="rId207" Type="http://schemas.openxmlformats.org/officeDocument/2006/relationships/hyperlink" Target="https://youtu.be/tKyyVj6TLG4?si=6tmFerkxYDF61mNZ" TargetMode="External"/><Relationship Id="rId449" Type="http://schemas.openxmlformats.org/officeDocument/2006/relationships/hyperlink" Target="https://youtu.be/_Uge3_CKQNU?si=V8TagcTjHv6hcGXX" TargetMode="External"/><Relationship Id="rId440" Type="http://schemas.openxmlformats.org/officeDocument/2006/relationships/hyperlink" Target="https://youtu.be/oPT03wh_CuM?si=aOGJhAoQgJO9Q4ZH" TargetMode="External"/><Relationship Id="rId682" Type="http://schemas.openxmlformats.org/officeDocument/2006/relationships/hyperlink" Target="https://youtu.be/OD8qYnJ7bdY?si=JkPJPBVPZAO5UOc8" TargetMode="External"/><Relationship Id="rId681" Type="http://schemas.openxmlformats.org/officeDocument/2006/relationships/hyperlink" Target="https://youtu.be/bPnePIYfLx0?si=OJKH8HnPud-K43FJ" TargetMode="External"/><Relationship Id="rId680" Type="http://schemas.openxmlformats.org/officeDocument/2006/relationships/hyperlink" Target="https://youtu.be/oMsN2v861Yk?si=tFtPiQI6A6ouNDJJ" TargetMode="External"/><Relationship Id="rId202" Type="http://schemas.openxmlformats.org/officeDocument/2006/relationships/hyperlink" Target="https://youtu.be/LmRUXZAw8l0?si=GamK7TP-RrS57DtO" TargetMode="External"/><Relationship Id="rId444" Type="http://schemas.openxmlformats.org/officeDocument/2006/relationships/hyperlink" Target="https://youtu.be/wM65ML547Ho?si=-4dWUN3Vndh5YwJ-" TargetMode="External"/><Relationship Id="rId686" Type="http://schemas.openxmlformats.org/officeDocument/2006/relationships/hyperlink" Target="https://youtu.be/hhFeX7xb8x0?si=gOXBgV900jF2De9j" TargetMode="External"/><Relationship Id="rId201" Type="http://schemas.openxmlformats.org/officeDocument/2006/relationships/hyperlink" Target="https://youtu.be/226Usqahn3Y?si=XmcgQJCmQEuHczow" TargetMode="External"/><Relationship Id="rId443" Type="http://schemas.openxmlformats.org/officeDocument/2006/relationships/hyperlink" Target="https://youtu.be/ALlftHVVlLk?si=3hYOPWy1sSzWLN8Y" TargetMode="External"/><Relationship Id="rId685" Type="http://schemas.openxmlformats.org/officeDocument/2006/relationships/hyperlink" Target="https://youtu.be/HicwKMUMQUc?si=aMtbHl7xTyHCcUUt" TargetMode="External"/><Relationship Id="rId200" Type="http://schemas.openxmlformats.org/officeDocument/2006/relationships/hyperlink" Target="https://youtu.be/41BhHSq5-5w?si=EtnAw8qNsHDpn0GA" TargetMode="External"/><Relationship Id="rId442" Type="http://schemas.openxmlformats.org/officeDocument/2006/relationships/hyperlink" Target="https://youtu.be/nuCOB4dl9FA?si=53pKJrevFooLUBhI" TargetMode="External"/><Relationship Id="rId684" Type="http://schemas.openxmlformats.org/officeDocument/2006/relationships/hyperlink" Target="https://youtu.be/j2bSmRNOAfo?si=6P2Z38h_3VzHp5aQ" TargetMode="External"/><Relationship Id="rId441" Type="http://schemas.openxmlformats.org/officeDocument/2006/relationships/hyperlink" Target="https://youtu.be/QNC2oPxD3es?si=CqXHHPsJSG0XxgWw" TargetMode="External"/><Relationship Id="rId683" Type="http://schemas.openxmlformats.org/officeDocument/2006/relationships/hyperlink" Target="https://youtu.be/gE8o2800V7k?si=4BAZ022fjEHgfc35" TargetMode="External"/><Relationship Id="rId437" Type="http://schemas.openxmlformats.org/officeDocument/2006/relationships/hyperlink" Target="https://youtu.be/jS_hrCj-4wA?si=5QMJOZGcO6iRiO8O" TargetMode="External"/><Relationship Id="rId679" Type="http://schemas.openxmlformats.org/officeDocument/2006/relationships/hyperlink" Target="https://youtu.be/Jl5gH-OhaPs?si=AgAYxFthi3nSXIXj" TargetMode="External"/><Relationship Id="rId436" Type="http://schemas.openxmlformats.org/officeDocument/2006/relationships/hyperlink" Target="https://youtu.be/3g4I0IzpBbQ?si=D0iCt3nD0GMc63NZ" TargetMode="External"/><Relationship Id="rId678" Type="http://schemas.openxmlformats.org/officeDocument/2006/relationships/hyperlink" Target="https://youtu.be/81eOUFc7J4w?si=nR7XEsA8hgGse-Dx" TargetMode="External"/><Relationship Id="rId435" Type="http://schemas.openxmlformats.org/officeDocument/2006/relationships/hyperlink" Target="https://youtu.be/SbsEHkcpSCw?si=1tE6ifNzTdAN80Zi" TargetMode="External"/><Relationship Id="rId677" Type="http://schemas.openxmlformats.org/officeDocument/2006/relationships/hyperlink" Target="https://youtu.be/j0FTmlZRe1s?si=K-z38z5S3bl55tOK" TargetMode="External"/><Relationship Id="rId434" Type="http://schemas.openxmlformats.org/officeDocument/2006/relationships/hyperlink" Target="https://youtu.be/r2APW1j9I8I?si=0V_frjQly7eifVz1" TargetMode="External"/><Relationship Id="rId676" Type="http://schemas.openxmlformats.org/officeDocument/2006/relationships/hyperlink" Target="https://youtu.be/mh_IJ0uZTJ4?si=cYjSy_IUk26A7HwI" TargetMode="External"/><Relationship Id="rId439" Type="http://schemas.openxmlformats.org/officeDocument/2006/relationships/hyperlink" Target="https://youtu.be/DEld5lF_ms0?si=xNJFNay5tfIzKMZ2" TargetMode="External"/><Relationship Id="rId438" Type="http://schemas.openxmlformats.org/officeDocument/2006/relationships/hyperlink" Target="https://youtu.be/v1w61MlvKAU?si=g-HMb1vN5zTngubc" TargetMode="External"/><Relationship Id="rId671" Type="http://schemas.openxmlformats.org/officeDocument/2006/relationships/hyperlink" Target="https://youtu.be/_WnWK6z6Lh4?si=G3Xwmv-vL8x90VVs" TargetMode="External"/><Relationship Id="rId670" Type="http://schemas.openxmlformats.org/officeDocument/2006/relationships/hyperlink" Target="https://youtu.be/CTNw2Q_A3sc?si=1Ip4qcQpXTg6-2Tl" TargetMode="External"/><Relationship Id="rId433" Type="http://schemas.openxmlformats.org/officeDocument/2006/relationships/hyperlink" Target="https://youtu.be/vk-nmx17Y_k?si=N7bjVPd2xo7BhEw_" TargetMode="External"/><Relationship Id="rId675" Type="http://schemas.openxmlformats.org/officeDocument/2006/relationships/hyperlink" Target="https://youtu.be/zfCGyEEbhLc?si=A-QMoURyMUIMV_h9" TargetMode="External"/><Relationship Id="rId432" Type="http://schemas.openxmlformats.org/officeDocument/2006/relationships/hyperlink" Target="https://youtu.be/TiGK1GOa_WU?si=Sane9YkUxBbJ5QEV" TargetMode="External"/><Relationship Id="rId674" Type="http://schemas.openxmlformats.org/officeDocument/2006/relationships/hyperlink" Target="https://youtu.be/CM7QGjMt6Bk?si=ENDMV3DaHfqmIAvS" TargetMode="External"/><Relationship Id="rId431" Type="http://schemas.openxmlformats.org/officeDocument/2006/relationships/hyperlink" Target="https://youtu.be/t9hh_411RYQ?si=AAMGlTwL0M_FXpD9" TargetMode="External"/><Relationship Id="rId673" Type="http://schemas.openxmlformats.org/officeDocument/2006/relationships/hyperlink" Target="https://youtu.be/qMJ8Yr9U5Ss?si=0nk9xfsUdPlK4cpm" TargetMode="External"/><Relationship Id="rId430" Type="http://schemas.openxmlformats.org/officeDocument/2006/relationships/hyperlink" Target="https://youtu.be/ELzfGbt8xlM?si=BpBD0lyq3TD_QrN4" TargetMode="External"/><Relationship Id="rId672" Type="http://schemas.openxmlformats.org/officeDocument/2006/relationships/hyperlink" Target="https://youtu.be/WIMDQH4nUoc?si=zqQ5tSU1IIkqHg4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youtu.be/wv3-esnuZzE?si=2TyjDgqwttADx5Tf" TargetMode="External"/><Relationship Id="rId194" Type="http://schemas.openxmlformats.org/officeDocument/2006/relationships/hyperlink" Target="https://youtu.be/XN2YrhbJRbc?si=QEotu_VOwxukx7Ef" TargetMode="External"/><Relationship Id="rId193" Type="http://schemas.openxmlformats.org/officeDocument/2006/relationships/hyperlink" Target="https://youtu.be/1gLTeABf5hY?si=bS9BDUhnfEFCd-RF" TargetMode="External"/><Relationship Id="rId192" Type="http://schemas.openxmlformats.org/officeDocument/2006/relationships/hyperlink" Target="https://youtu.be/tJVHkdYFxmY?si=OBPuy0eO2lvDboUU" TargetMode="External"/><Relationship Id="rId191" Type="http://schemas.openxmlformats.org/officeDocument/2006/relationships/hyperlink" Target="https://youtu.be/Y5j5QVeXHy8?si=3Lwty-xNrSOWLARb" TargetMode="External"/><Relationship Id="rId187" Type="http://schemas.openxmlformats.org/officeDocument/2006/relationships/hyperlink" Target="https://youtu.be/0jmUOK-gsRs?si=4qXPDgl7szoSTBul" TargetMode="External"/><Relationship Id="rId186" Type="http://schemas.openxmlformats.org/officeDocument/2006/relationships/hyperlink" Target="https://youtu.be/vF1pvk8sNsY?si=wTQhWIoWkObQ0PWM" TargetMode="External"/><Relationship Id="rId185" Type="http://schemas.openxmlformats.org/officeDocument/2006/relationships/hyperlink" Target="https://youtu.be/K9ruffturYY?si=ms5DGpG3oyNU38fk" TargetMode="External"/><Relationship Id="rId184" Type="http://schemas.openxmlformats.org/officeDocument/2006/relationships/hyperlink" Target="https://youtu.be/6Lh1886X_4s?si=dEkzDCrV0IcgkHxR" TargetMode="External"/><Relationship Id="rId189" Type="http://schemas.openxmlformats.org/officeDocument/2006/relationships/hyperlink" Target="https://youtu.be/IEodibJCZbI?si=-HcK6gNkKPSEkLuz" TargetMode="External"/><Relationship Id="rId188" Type="http://schemas.openxmlformats.org/officeDocument/2006/relationships/hyperlink" Target="https://youtu.be/BAzm0gT4Yuw?si=8daNIkyViDofBEZ3" TargetMode="External"/><Relationship Id="rId183" Type="http://schemas.openxmlformats.org/officeDocument/2006/relationships/hyperlink" Target="https://youtu.be/BdlUztybVro?si=kMTaFDvzmsE-1nfL" TargetMode="External"/><Relationship Id="rId182" Type="http://schemas.openxmlformats.org/officeDocument/2006/relationships/hyperlink" Target="https://youtu.be/k1QEo8fqvic?si=jgG58FO86E_dxVmh" TargetMode="External"/><Relationship Id="rId181" Type="http://schemas.openxmlformats.org/officeDocument/2006/relationships/hyperlink" Target="https://youtu.be/a6mTJ4hXjnk?si=PG9h2VdcB64EUeXo" TargetMode="External"/><Relationship Id="rId180" Type="http://schemas.openxmlformats.org/officeDocument/2006/relationships/hyperlink" Target="https://youtu.be/rPy2E9-PRW0?si=2DIh0SM8-fOLtucN" TargetMode="External"/><Relationship Id="rId176" Type="http://schemas.openxmlformats.org/officeDocument/2006/relationships/hyperlink" Target="https://youtu.be/y17mvudCNA4?si=PPx4basqXFIQAB4R" TargetMode="External"/><Relationship Id="rId175" Type="http://schemas.openxmlformats.org/officeDocument/2006/relationships/hyperlink" Target="https://youtu.be/6zOPQGJXmZI?si=IWgY2rRgBAq_UGT7" TargetMode="External"/><Relationship Id="rId174" Type="http://schemas.openxmlformats.org/officeDocument/2006/relationships/hyperlink" Target="https://youtu.be/7oQj5Qh5ScU?si=0L1W1k3TqbtZxsFE" TargetMode="External"/><Relationship Id="rId173" Type="http://schemas.openxmlformats.org/officeDocument/2006/relationships/hyperlink" Target="https://youtu.be/TPLnZQfQvWc?si=vMmS_oZkGXbpmrNu" TargetMode="External"/><Relationship Id="rId179" Type="http://schemas.openxmlformats.org/officeDocument/2006/relationships/hyperlink" Target="https://www.youtube.com/watch?v=5p2IUDczkrM" TargetMode="External"/><Relationship Id="rId178" Type="http://schemas.openxmlformats.org/officeDocument/2006/relationships/hyperlink" Target="https://youtu.be/vMmsqeCrl38?si=7Q8cT39F-F24ZTkN" TargetMode="External"/><Relationship Id="rId177" Type="http://schemas.openxmlformats.org/officeDocument/2006/relationships/hyperlink" Target="https://youtu.be/n58fm2qqYTI?si=RIF1TWn5x3S14BIs" TargetMode="External"/><Relationship Id="rId198" Type="http://schemas.openxmlformats.org/officeDocument/2006/relationships/hyperlink" Target="https://youtu.be/3mVtWjHMADs?si=YLgiQ-A2NvQa2dZ_" TargetMode="External"/><Relationship Id="rId197" Type="http://schemas.openxmlformats.org/officeDocument/2006/relationships/hyperlink" Target="https://youtu.be/fxFbtJDptPU?si=VOCSoNgk-XEchgUJ" TargetMode="External"/><Relationship Id="rId196" Type="http://schemas.openxmlformats.org/officeDocument/2006/relationships/hyperlink" Target="https://youtu.be/k2M5WTYHKKM?si=WJMiCOcaHHr0ym5v" TargetMode="External"/><Relationship Id="rId195" Type="http://schemas.openxmlformats.org/officeDocument/2006/relationships/hyperlink" Target="https://youtu.be/_PMlV0V_7TI?si=R3h2YC6mwIOgFwIr" TargetMode="External"/><Relationship Id="rId199" Type="http://schemas.openxmlformats.org/officeDocument/2006/relationships/hyperlink" Target="https://youtu.be/4CeGpb2aSsg?si=H2UcdcPuCli_DmYh" TargetMode="External"/><Relationship Id="rId150" Type="http://schemas.openxmlformats.org/officeDocument/2006/relationships/hyperlink" Target="https://youtu.be/mhYIePQDLO4?si=sRCvYqBMbwwkLRVs" TargetMode="External"/><Relationship Id="rId392" Type="http://schemas.openxmlformats.org/officeDocument/2006/relationships/hyperlink" Target="https://youtu.be/xPf3BAdVcXU?si=PTfB3wxrv3jtnd6L" TargetMode="External"/><Relationship Id="rId391" Type="http://schemas.openxmlformats.org/officeDocument/2006/relationships/hyperlink" Target="https://youtu.be/TTKY92oj2uw?si=OIHfu68g1w40TDDd" TargetMode="External"/><Relationship Id="rId390" Type="http://schemas.openxmlformats.org/officeDocument/2006/relationships/hyperlink" Target="https://youtu.be/45T5nM3dBoA?si=odYK0dy9q27lYj5w" TargetMode="External"/><Relationship Id="rId1" Type="http://schemas.openxmlformats.org/officeDocument/2006/relationships/hyperlink" Target="https://youtu.be/QXibHEHcwsc?si=sxmgmD3XRF27dPwB" TargetMode="External"/><Relationship Id="rId2" Type="http://schemas.openxmlformats.org/officeDocument/2006/relationships/hyperlink" Target="https://youtu.be/HyrXaj896jA?si=_z_Hbbdns67FtXyv" TargetMode="External"/><Relationship Id="rId3" Type="http://schemas.openxmlformats.org/officeDocument/2006/relationships/hyperlink" Target="https://youtu.be/yQfyusksjt4?si=oksGRG3MlcBQgqYN" TargetMode="External"/><Relationship Id="rId149" Type="http://schemas.openxmlformats.org/officeDocument/2006/relationships/hyperlink" Target="https://youtu.be/Nn33rsSi8ZA?si=ZmGXXDbRaCSdBn66" TargetMode="External"/><Relationship Id="rId4" Type="http://schemas.openxmlformats.org/officeDocument/2006/relationships/hyperlink" Target="https://youtu.be/59fzA3Ipn-E?si=5onUBzyHCrs1EwOP" TargetMode="External"/><Relationship Id="rId148" Type="http://schemas.openxmlformats.org/officeDocument/2006/relationships/hyperlink" Target="https://youtu.be/Gl3a75jFdeE?si=TaPhethlfFxm5zly" TargetMode="External"/><Relationship Id="rId9" Type="http://schemas.openxmlformats.org/officeDocument/2006/relationships/hyperlink" Target="https://youtu.be/RmBivLu-8HQ?si=odS481-bF8FvzzWI" TargetMode="External"/><Relationship Id="rId143" Type="http://schemas.openxmlformats.org/officeDocument/2006/relationships/hyperlink" Target="https://youtu.be/vPib32E1fXs?si=OnY4zKnAMNVjyKUx" TargetMode="External"/><Relationship Id="rId385" Type="http://schemas.openxmlformats.org/officeDocument/2006/relationships/hyperlink" Target="https://youtu.be/NQVNe4pUWs0?si=VKoxjUyh4kk2QL_l" TargetMode="External"/><Relationship Id="rId142" Type="http://schemas.openxmlformats.org/officeDocument/2006/relationships/hyperlink" Target="https://youtu.be/BZTwmLoKZ2U?si=MlueF8nfgp1NXgu5" TargetMode="External"/><Relationship Id="rId384" Type="http://schemas.openxmlformats.org/officeDocument/2006/relationships/hyperlink" Target="https://youtu.be/TvVtcfXZgWY?si=-DJQItQtr0FMIrxo" TargetMode="External"/><Relationship Id="rId141" Type="http://schemas.openxmlformats.org/officeDocument/2006/relationships/hyperlink" Target="https://youtu.be/QsvBJ914reg?si=_foCWI57VkSmri-u" TargetMode="External"/><Relationship Id="rId383" Type="http://schemas.openxmlformats.org/officeDocument/2006/relationships/hyperlink" Target="https://youtu.be/Es3sea4IRes?si=NCZyAaW8LPiEZzqh" TargetMode="External"/><Relationship Id="rId140" Type="http://schemas.openxmlformats.org/officeDocument/2006/relationships/hyperlink" Target="https://youtu.be/djv4bJH8250?si=Sz2zEcBrNrmsyM2i" TargetMode="External"/><Relationship Id="rId382" Type="http://schemas.openxmlformats.org/officeDocument/2006/relationships/hyperlink" Target="https://youtu.be/ufUCBbMrk1g?si=ejTWGolnofc78OGJ" TargetMode="External"/><Relationship Id="rId5" Type="http://schemas.openxmlformats.org/officeDocument/2006/relationships/hyperlink" Target="https://youtu.be/Oi_6zNupJvk?si=GLKimNqBgC6NqVaa" TargetMode="External"/><Relationship Id="rId147" Type="http://schemas.openxmlformats.org/officeDocument/2006/relationships/hyperlink" Target="https://youtu.be/Csnd2DXsJL4?si=6Y-0XILswaHd0P_5" TargetMode="External"/><Relationship Id="rId389" Type="http://schemas.openxmlformats.org/officeDocument/2006/relationships/hyperlink" Target="https://youtu.be/OImw3pgLgYI?si=UWfDyQzyc3LtCrmw" TargetMode="External"/><Relationship Id="rId6" Type="http://schemas.openxmlformats.org/officeDocument/2006/relationships/hyperlink" Target="https://youtu.be/Hnw3BF08xSk?si=WKfZ_CIvRkC29Ij1" TargetMode="External"/><Relationship Id="rId146" Type="http://schemas.openxmlformats.org/officeDocument/2006/relationships/hyperlink" Target="https://youtu.be/QNV0No4U96c?si=CNjVziy-2a9FDxJD" TargetMode="External"/><Relationship Id="rId388" Type="http://schemas.openxmlformats.org/officeDocument/2006/relationships/hyperlink" Target="https://youtu.be/Zm45sk5Ef18?si=agtrBPayagg9ogfO" TargetMode="External"/><Relationship Id="rId7" Type="http://schemas.openxmlformats.org/officeDocument/2006/relationships/hyperlink" Target="https://youtu.be/1dTwD7dDzL4?si=4OA4jayRi8GqH7kp" TargetMode="External"/><Relationship Id="rId145" Type="http://schemas.openxmlformats.org/officeDocument/2006/relationships/hyperlink" Target="https://youtu.be/2UeSDbLyKU4?si=efvy9GoZbKq_s1ja" TargetMode="External"/><Relationship Id="rId387" Type="http://schemas.openxmlformats.org/officeDocument/2006/relationships/hyperlink" Target="https://www.youtube.com/watch?v=dA8y4dQuq3c" TargetMode="External"/><Relationship Id="rId8" Type="http://schemas.openxmlformats.org/officeDocument/2006/relationships/hyperlink" Target="https://youtu.be/7AYHKNG_qBo?si=BckiNEhrb8k-hRb3" TargetMode="External"/><Relationship Id="rId144" Type="http://schemas.openxmlformats.org/officeDocument/2006/relationships/hyperlink" Target="https://youtu.be/xRy5_iJIYZo?si=J4_9DNQN3kNM6IM7" TargetMode="External"/><Relationship Id="rId386" Type="http://schemas.openxmlformats.org/officeDocument/2006/relationships/hyperlink" Target="https://www.youtube.com/watch?v=ZyV2pyRg8S8" TargetMode="External"/><Relationship Id="rId381" Type="http://schemas.openxmlformats.org/officeDocument/2006/relationships/hyperlink" Target="https://youtu.be/racYrXYRJQc?si=YqSTUkBCrLoMUydq" TargetMode="External"/><Relationship Id="rId380" Type="http://schemas.openxmlformats.org/officeDocument/2006/relationships/hyperlink" Target="https://youtu.be/BxnmSAD81Sc?si=mzWysLl-Rb6H68fp" TargetMode="External"/><Relationship Id="rId139" Type="http://schemas.openxmlformats.org/officeDocument/2006/relationships/hyperlink" Target="https://youtu.be/c_KWyF1E41s?si=kiCyHmqblfqbtt9c" TargetMode="External"/><Relationship Id="rId138" Type="http://schemas.openxmlformats.org/officeDocument/2006/relationships/hyperlink" Target="https://youtu.be/YhSl69_G5Ws?si=InKmhDJ3T1pzoxlz" TargetMode="External"/><Relationship Id="rId137" Type="http://schemas.openxmlformats.org/officeDocument/2006/relationships/hyperlink" Target="https://youtu.be/yLa9Y1zECdw?si=lA9hQTDuF2ep9M17" TargetMode="External"/><Relationship Id="rId379" Type="http://schemas.openxmlformats.org/officeDocument/2006/relationships/hyperlink" Target="https://youtu.be/T0mXtyi1Gsg?si=IMLPLEqfA8va4Hyg" TargetMode="External"/><Relationship Id="rId132" Type="http://schemas.openxmlformats.org/officeDocument/2006/relationships/hyperlink" Target="https://youtu.be/eIlzQPm5PYQ?si=sItHKxkxE5ln9GYU" TargetMode="External"/><Relationship Id="rId374" Type="http://schemas.openxmlformats.org/officeDocument/2006/relationships/hyperlink" Target="https://youtu.be/cjF0VxYXv1Q?si=osY_1zDbC5rwL0DY" TargetMode="External"/><Relationship Id="rId131" Type="http://schemas.openxmlformats.org/officeDocument/2006/relationships/hyperlink" Target="https://youtu.be/PfiEPZE9w7M?si=WSHeU5cwpy6jkAhj" TargetMode="External"/><Relationship Id="rId373" Type="http://schemas.openxmlformats.org/officeDocument/2006/relationships/hyperlink" Target="https://youtu.be/BZKo4o3hBB4?si=9q77-y1r-Cq8QK21" TargetMode="External"/><Relationship Id="rId130" Type="http://schemas.openxmlformats.org/officeDocument/2006/relationships/hyperlink" Target="https://youtu.be/kZTC4eB-DKU?si=nBeykx8ZK3ZWjz5i" TargetMode="External"/><Relationship Id="rId372" Type="http://schemas.openxmlformats.org/officeDocument/2006/relationships/hyperlink" Target="https://youtu.be/D0kCJWegcMg?si=Vck_hQvBYKqozIQ2" TargetMode="External"/><Relationship Id="rId371" Type="http://schemas.openxmlformats.org/officeDocument/2006/relationships/hyperlink" Target="https://youtu.be/D_NgPkRt89c?si=0nhVmMJ8H-8lGyAn" TargetMode="External"/><Relationship Id="rId136" Type="http://schemas.openxmlformats.org/officeDocument/2006/relationships/hyperlink" Target="https://youtu.be/j2vYHWssJHQ?si=jITN6d-TnDgivOmS" TargetMode="External"/><Relationship Id="rId378" Type="http://schemas.openxmlformats.org/officeDocument/2006/relationships/hyperlink" Target="https://youtu.be/gPfg701K_CU?si=QAETZqFOBR9AylVC" TargetMode="External"/><Relationship Id="rId135" Type="http://schemas.openxmlformats.org/officeDocument/2006/relationships/hyperlink" Target="https://youtu.be/WHmB9UK6D_w?si=Pcr4igIkAFbH0dGD" TargetMode="External"/><Relationship Id="rId377" Type="http://schemas.openxmlformats.org/officeDocument/2006/relationships/hyperlink" Target="https://youtu.be/orj543WjUC0?si=iqjUl_TGS-gh4uHK" TargetMode="External"/><Relationship Id="rId134" Type="http://schemas.openxmlformats.org/officeDocument/2006/relationships/hyperlink" Target="https://youtu.be/C-l-BZMlYJA?si=_XYCTVlroeTPF9Sz" TargetMode="External"/><Relationship Id="rId376" Type="http://schemas.openxmlformats.org/officeDocument/2006/relationships/hyperlink" Target="https://youtu.be/2_xtgEsQVyo?si=eCtrOyDnJuRyaBiu" TargetMode="External"/><Relationship Id="rId133" Type="http://schemas.openxmlformats.org/officeDocument/2006/relationships/hyperlink" Target="https://youtu.be/g22BWgZ2cCE?si=F_dzgaXbaOEp63Lp" TargetMode="External"/><Relationship Id="rId375" Type="http://schemas.openxmlformats.org/officeDocument/2006/relationships/hyperlink" Target="https://youtu.be/QSDGCtchpfQ?si=ca2SxxxvjgDmCk93" TargetMode="External"/><Relationship Id="rId172" Type="http://schemas.openxmlformats.org/officeDocument/2006/relationships/hyperlink" Target="https://youtu.be/B2YT_CJEn2k?si=miyiu1JgUsYXjvOs" TargetMode="External"/><Relationship Id="rId171" Type="http://schemas.openxmlformats.org/officeDocument/2006/relationships/hyperlink" Target="https://youtu.be/0GZ7UdDiRDU?si=mIy7YM3r-S9Zv164" TargetMode="External"/><Relationship Id="rId170" Type="http://schemas.openxmlformats.org/officeDocument/2006/relationships/hyperlink" Target="https://youtu.be/E8CFmo7tRWA?si=v_Wq7D6pn4Zb_7ni" TargetMode="External"/><Relationship Id="rId165" Type="http://schemas.openxmlformats.org/officeDocument/2006/relationships/hyperlink" Target="https://youtu.be/AQlc_HFI6H0?si=PsmsCxpaGqagfgmH" TargetMode="External"/><Relationship Id="rId164" Type="http://schemas.openxmlformats.org/officeDocument/2006/relationships/hyperlink" Target="https://youtu.be/Omp0w2dBQhk?si=ajL5_6OWZZjK_zZp" TargetMode="External"/><Relationship Id="rId163" Type="http://schemas.openxmlformats.org/officeDocument/2006/relationships/hyperlink" Target="https://youtu.be/DuzwJ2jI15U?si=KlJ8ZZeTnHr5xaPv" TargetMode="External"/><Relationship Id="rId162" Type="http://schemas.openxmlformats.org/officeDocument/2006/relationships/hyperlink" Target="https://youtu.be/UKBck_KGjPo?si=SsjpIhrXuotEG88A" TargetMode="External"/><Relationship Id="rId169" Type="http://schemas.openxmlformats.org/officeDocument/2006/relationships/hyperlink" Target="https://youtu.be/JuG7NLLCmos?si=Rli3XfwtqGKAn_2P" TargetMode="External"/><Relationship Id="rId168" Type="http://schemas.openxmlformats.org/officeDocument/2006/relationships/hyperlink" Target="https://youtu.be/zUPqAx3FG68?si=8VAzRtzYkO8J6Oip" TargetMode="External"/><Relationship Id="rId167" Type="http://schemas.openxmlformats.org/officeDocument/2006/relationships/hyperlink" Target="https://youtu.be/gPmBuhO1hzI?si=1rbuGdTGnL53YxwV" TargetMode="External"/><Relationship Id="rId166" Type="http://schemas.openxmlformats.org/officeDocument/2006/relationships/hyperlink" Target="https://youtu.be/S_Bzrk7e6G4?si=nMZxW9cND1YAEVA7" TargetMode="External"/><Relationship Id="rId161" Type="http://schemas.openxmlformats.org/officeDocument/2006/relationships/hyperlink" Target="https://youtu.be/S_vXFqdaaJQ?si=6w8R_RrI72_qmKzl" TargetMode="External"/><Relationship Id="rId160" Type="http://schemas.openxmlformats.org/officeDocument/2006/relationships/hyperlink" Target="https://youtu.be/98FLpKeOtNA?si=n-VPUtBc-M9hlx7q" TargetMode="External"/><Relationship Id="rId159" Type="http://schemas.openxmlformats.org/officeDocument/2006/relationships/hyperlink" Target="https://youtu.be/Th8e6xxyg5E?si=QjpwZIEwFbiHLiQh" TargetMode="External"/><Relationship Id="rId154" Type="http://schemas.openxmlformats.org/officeDocument/2006/relationships/hyperlink" Target="https://youtu.be/X3GbWOegovU?si=qUR7SlET5_IhSOB0" TargetMode="External"/><Relationship Id="rId396" Type="http://schemas.openxmlformats.org/officeDocument/2006/relationships/hyperlink" Target="https://youtu.be/6UyMyr7YRKQ?si=IzNugk3BdvoSMKRK" TargetMode="External"/><Relationship Id="rId153" Type="http://schemas.openxmlformats.org/officeDocument/2006/relationships/hyperlink" Target="https://youtu.be/IBHgJamPOm8?si=bx_GTdyLXAVQNJ12" TargetMode="External"/><Relationship Id="rId395" Type="http://schemas.openxmlformats.org/officeDocument/2006/relationships/hyperlink" Target="https://youtu.be/oa2czuykJCE?si=9Wj2IT-f4Gi3TOP1" TargetMode="External"/><Relationship Id="rId152" Type="http://schemas.openxmlformats.org/officeDocument/2006/relationships/hyperlink" Target="https://youtu.be/f0X6kQ5s5Uw?si=ctMfrSY9WbmTKYU2" TargetMode="External"/><Relationship Id="rId394" Type="http://schemas.openxmlformats.org/officeDocument/2006/relationships/hyperlink" Target="https://youtu.be/6_Q983uTU_8?si=WnrBJjbLiAxAQxp3" TargetMode="External"/><Relationship Id="rId151" Type="http://schemas.openxmlformats.org/officeDocument/2006/relationships/hyperlink" Target="https://youtu.be/A-wVsNjigbY?si=JHpom2T5RqlxeEk-" TargetMode="External"/><Relationship Id="rId393" Type="http://schemas.openxmlformats.org/officeDocument/2006/relationships/hyperlink" Target="https://youtu.be/jNj-n3QvVPs?si=uuV5n9V2UWmanhwq" TargetMode="External"/><Relationship Id="rId158" Type="http://schemas.openxmlformats.org/officeDocument/2006/relationships/hyperlink" Target="https://youtu.be/HPdg75gadgc?si=wv5i_Mkjm1zXBABj" TargetMode="External"/><Relationship Id="rId157" Type="http://schemas.openxmlformats.org/officeDocument/2006/relationships/hyperlink" Target="https://youtu.be/3nb28JVb3-4?si=XynPXMTeXvbjxS8I" TargetMode="External"/><Relationship Id="rId399" Type="http://schemas.openxmlformats.org/officeDocument/2006/relationships/hyperlink" Target="https://youtu.be/mtY7ByTh0es?si=GplgkILSDsgD4zLp" TargetMode="External"/><Relationship Id="rId156" Type="http://schemas.openxmlformats.org/officeDocument/2006/relationships/hyperlink" Target="https://youtu.be/NKzWJG--URg?si=DwQnx0TrLsKWiHMS" TargetMode="External"/><Relationship Id="rId398" Type="http://schemas.openxmlformats.org/officeDocument/2006/relationships/hyperlink" Target="https://youtu.be/DFqqyzKUmjs?si=Ka2XujnjSjNwW1yS" TargetMode="External"/><Relationship Id="rId155" Type="http://schemas.openxmlformats.org/officeDocument/2006/relationships/hyperlink" Target="https://youtu.be/uQamzyf3RwU?si=fDtYvBcuaINyYDcP" TargetMode="External"/><Relationship Id="rId397" Type="http://schemas.openxmlformats.org/officeDocument/2006/relationships/hyperlink" Target="https://youtu.be/4a9WMtbsCFs?si=AHihUGk04zPI8fxH" TargetMode="External"/><Relationship Id="rId800" Type="http://schemas.openxmlformats.org/officeDocument/2006/relationships/drawing" Target="../drawings/drawing6.xml"/><Relationship Id="rId802" Type="http://schemas.openxmlformats.org/officeDocument/2006/relationships/table" Target="../tables/table4.xml"/><Relationship Id="rId40" Type="http://schemas.openxmlformats.org/officeDocument/2006/relationships/hyperlink" Target="https://youtu.be/Ycae84vHcdo?si=8j1sKp8h_CpU0hvd" TargetMode="External"/><Relationship Id="rId42" Type="http://schemas.openxmlformats.org/officeDocument/2006/relationships/hyperlink" Target="https://youtu.be/VMZdQJB6Fi4?si=BhgkGw76FYJ7cM8N" TargetMode="External"/><Relationship Id="rId41" Type="http://schemas.openxmlformats.org/officeDocument/2006/relationships/hyperlink" Target="https://youtu.be/MdQiGj9yVdw?si=ypaQbFSfZwEF4Xvo" TargetMode="External"/><Relationship Id="rId44" Type="http://schemas.openxmlformats.org/officeDocument/2006/relationships/hyperlink" Target="https://youtu.be/O5nfIpwiah0?si=Pro5pwWimEW2TG2e" TargetMode="External"/><Relationship Id="rId43" Type="http://schemas.openxmlformats.org/officeDocument/2006/relationships/hyperlink" Target="https://youtu.be/lXExts3WHyY?si=rAgsjiR8PwT-Rt0I" TargetMode="External"/><Relationship Id="rId46" Type="http://schemas.openxmlformats.org/officeDocument/2006/relationships/hyperlink" Target="https://youtu.be/XEYTuTI9gqw?si=H6siwTa1lRJexfMM" TargetMode="External"/><Relationship Id="rId45" Type="http://schemas.openxmlformats.org/officeDocument/2006/relationships/hyperlink" Target="https://youtu.be/DWSqFPCIrwM?si=pK-cwkvUm6Dhtpjb" TargetMode="External"/><Relationship Id="rId509" Type="http://schemas.openxmlformats.org/officeDocument/2006/relationships/hyperlink" Target="https://youtu.be/A0r6HTE8PLw?si=vJ3cvZCuASEGrs7F" TargetMode="External"/><Relationship Id="rId508" Type="http://schemas.openxmlformats.org/officeDocument/2006/relationships/hyperlink" Target="https://youtu.be/85xCjeGF4qM?si=Ee7rlxgg0axQen7Y" TargetMode="External"/><Relationship Id="rId503" Type="http://schemas.openxmlformats.org/officeDocument/2006/relationships/hyperlink" Target="https://youtu.be/sUAhqXdPCoo?si=RZsyfuXP9TK-ypKN" TargetMode="External"/><Relationship Id="rId745" Type="http://schemas.openxmlformats.org/officeDocument/2006/relationships/hyperlink" Target="https://youtu.be/H-XO57q2va8?si=szyz8py4CUgOG9zm" TargetMode="External"/><Relationship Id="rId502" Type="http://schemas.openxmlformats.org/officeDocument/2006/relationships/hyperlink" Target="https://youtu.be/2MXKu617XBY?si=bp7VOYlHnLsa_t_W" TargetMode="External"/><Relationship Id="rId744" Type="http://schemas.openxmlformats.org/officeDocument/2006/relationships/hyperlink" Target="https://youtu.be/w3YTNzOHHRs?si=sG2QK86zWQqVxdsm" TargetMode="External"/><Relationship Id="rId501" Type="http://schemas.openxmlformats.org/officeDocument/2006/relationships/hyperlink" Target="https://www.youtube.com/watch?v=Mh0sQPQs6x0" TargetMode="External"/><Relationship Id="rId743" Type="http://schemas.openxmlformats.org/officeDocument/2006/relationships/hyperlink" Target="https://youtu.be/D6xQSJWBh3I?si=JIQP100JmolvwRma" TargetMode="External"/><Relationship Id="rId500" Type="http://schemas.openxmlformats.org/officeDocument/2006/relationships/hyperlink" Target="https://www.youtube.com/watch?v=anHvAeEYBQw" TargetMode="External"/><Relationship Id="rId742" Type="http://schemas.openxmlformats.org/officeDocument/2006/relationships/hyperlink" Target="https://youtu.be/ln75GA5UkM8?si=xcrc6MGVkERU79NG" TargetMode="External"/><Relationship Id="rId507" Type="http://schemas.openxmlformats.org/officeDocument/2006/relationships/hyperlink" Target="https://youtu.be/s7-yc8DOxXY?si=xHp0Hr_lL7Awg-N2" TargetMode="External"/><Relationship Id="rId749" Type="http://schemas.openxmlformats.org/officeDocument/2006/relationships/hyperlink" Target="https://youtu.be/hn7VL92G998?si=511e6mxUwoCBSSxY" TargetMode="External"/><Relationship Id="rId506" Type="http://schemas.openxmlformats.org/officeDocument/2006/relationships/hyperlink" Target="https://youtu.be/FjOsaXzSVrI?si=BBxGA8pkmtsXNEZx" TargetMode="External"/><Relationship Id="rId748" Type="http://schemas.openxmlformats.org/officeDocument/2006/relationships/hyperlink" Target="https://youtu.be/DL_XWnYuM7s?si=1ZPT08nwlWz8J--f" TargetMode="External"/><Relationship Id="rId505" Type="http://schemas.openxmlformats.org/officeDocument/2006/relationships/hyperlink" Target="https://youtu.be/K42ldGYcL70?si=hLquXGN_9PriMvVS" TargetMode="External"/><Relationship Id="rId747" Type="http://schemas.openxmlformats.org/officeDocument/2006/relationships/hyperlink" Target="https://youtu.be/oX-joGHPNKE?si=JdYzQWHrbMN3L5ku" TargetMode="External"/><Relationship Id="rId504" Type="http://schemas.openxmlformats.org/officeDocument/2006/relationships/hyperlink" Target="https://youtu.be/nVYvgQNokmo?si=FbdY1ofrT_jlkVxo" TargetMode="External"/><Relationship Id="rId746" Type="http://schemas.openxmlformats.org/officeDocument/2006/relationships/hyperlink" Target="https://youtu.be/ofh4vesA91A?si=SzzA-bKX9iRYV3hD" TargetMode="External"/><Relationship Id="rId48" Type="http://schemas.openxmlformats.org/officeDocument/2006/relationships/hyperlink" Target="https://youtu.be/ZtOQ49_hO8s?si=9-ZVCntvCpSFNl3N" TargetMode="External"/><Relationship Id="rId47" Type="http://schemas.openxmlformats.org/officeDocument/2006/relationships/hyperlink" Target="https://youtu.be/tLXNNejKhJs?si=JD3pcV6-44uEaOII" TargetMode="External"/><Relationship Id="rId49" Type="http://schemas.openxmlformats.org/officeDocument/2006/relationships/hyperlink" Target="https://youtu.be/uKjhHebmZJM?si=Ekp98katXml9CM2N" TargetMode="External"/><Relationship Id="rId741" Type="http://schemas.openxmlformats.org/officeDocument/2006/relationships/hyperlink" Target="https://youtu.be/Dn95jiD-RZU?si=ZXppG-W9GWIZ7pJa" TargetMode="External"/><Relationship Id="rId740" Type="http://schemas.openxmlformats.org/officeDocument/2006/relationships/hyperlink" Target="https://youtu.be/s-crs7XH0ME?si=bnMdaM-DwhkK9QQY" TargetMode="External"/><Relationship Id="rId31" Type="http://schemas.openxmlformats.org/officeDocument/2006/relationships/hyperlink" Target="https://youtu.be/7IFNhVLCrOU?si=IuN7AcQ4wU65eZXN" TargetMode="External"/><Relationship Id="rId30" Type="http://schemas.openxmlformats.org/officeDocument/2006/relationships/hyperlink" Target="https://youtu.be/3oTmAUuYdN4?si=5HBEeCZQ_gJt3tkR" TargetMode="External"/><Relationship Id="rId33" Type="http://schemas.openxmlformats.org/officeDocument/2006/relationships/hyperlink" Target="https://youtu.be/X0jcynzqO_4?si=bDGrLGOD3_SLzFer" TargetMode="External"/><Relationship Id="rId32" Type="http://schemas.openxmlformats.org/officeDocument/2006/relationships/hyperlink" Target="https://youtu.be/1whY3cq5JGc?si=Wq0B2buH36dOFwJP" TargetMode="External"/><Relationship Id="rId35" Type="http://schemas.openxmlformats.org/officeDocument/2006/relationships/hyperlink" Target="https://youtu.be/-wrLGBySWY0?si=0ad23L91Yw55USiq" TargetMode="External"/><Relationship Id="rId34" Type="http://schemas.openxmlformats.org/officeDocument/2006/relationships/hyperlink" Target="https://youtu.be/kVfRvglG2zE?si=Ynhlf08oOfwBvIp2" TargetMode="External"/><Relationship Id="rId739" Type="http://schemas.openxmlformats.org/officeDocument/2006/relationships/hyperlink" Target="https://youtu.be/OPGSp5_c9oE?si=9YPhbU20FqlC1DaP" TargetMode="External"/><Relationship Id="rId734" Type="http://schemas.openxmlformats.org/officeDocument/2006/relationships/hyperlink" Target="https://youtu.be/BEy1Q0VYeyk?si=QkSMjI4zbhhrjyXe" TargetMode="External"/><Relationship Id="rId733" Type="http://schemas.openxmlformats.org/officeDocument/2006/relationships/hyperlink" Target="https://youtu.be/i-4dTRM_O7k?si=LIPDsXlC2FuEwyaI" TargetMode="External"/><Relationship Id="rId732" Type="http://schemas.openxmlformats.org/officeDocument/2006/relationships/hyperlink" Target="https://youtu.be/Geui2j-YlFs?si=FSDHHODyT1TwMmGa" TargetMode="External"/><Relationship Id="rId731" Type="http://schemas.openxmlformats.org/officeDocument/2006/relationships/hyperlink" Target="https://youtu.be/smfXguBFBwU?si=qcfU_gdBINgHGgnG" TargetMode="External"/><Relationship Id="rId738" Type="http://schemas.openxmlformats.org/officeDocument/2006/relationships/hyperlink" Target="https://youtu.be/qT0VS3lR1sI?si=yl4_iM9BGibdKLgA" TargetMode="External"/><Relationship Id="rId737" Type="http://schemas.openxmlformats.org/officeDocument/2006/relationships/hyperlink" Target="https://youtu.be/NMO0G4Bwxe4?si=XPt6yipoVjXcJsDN" TargetMode="External"/><Relationship Id="rId736" Type="http://schemas.openxmlformats.org/officeDocument/2006/relationships/hyperlink" Target="https://youtu.be/EWJ-P5noOic?si=6ZWfvyssMeEnEzhX" TargetMode="External"/><Relationship Id="rId735" Type="http://schemas.openxmlformats.org/officeDocument/2006/relationships/hyperlink" Target="https://youtu.be/Y4HBNL7IcBM?si=d-AUiSOcqzJNSOGt" TargetMode="External"/><Relationship Id="rId37" Type="http://schemas.openxmlformats.org/officeDocument/2006/relationships/hyperlink" Target="https://youtu.be/zFyu3I7Pj98?si=cQHpJ-EpeMI4QtWf" TargetMode="External"/><Relationship Id="rId36" Type="http://schemas.openxmlformats.org/officeDocument/2006/relationships/hyperlink" Target="https://youtu.be/5qBAwkxGMLw?si=GQalxnMjb-UZp-gD" TargetMode="External"/><Relationship Id="rId39" Type="http://schemas.openxmlformats.org/officeDocument/2006/relationships/hyperlink" Target="https://youtu.be/nnOYvP9kFOo?si=lLGRXeTTLUSqFMBQ" TargetMode="External"/><Relationship Id="rId38" Type="http://schemas.openxmlformats.org/officeDocument/2006/relationships/hyperlink" Target="https://youtu.be/T84xGh2RFzU?si=-1ncTrUUymFXOksq" TargetMode="External"/><Relationship Id="rId730" Type="http://schemas.openxmlformats.org/officeDocument/2006/relationships/hyperlink" Target="https://youtu.be/slL74iXmY14?si=L71xznULlBmFkXRL" TargetMode="External"/><Relationship Id="rId20" Type="http://schemas.openxmlformats.org/officeDocument/2006/relationships/hyperlink" Target="https://youtu.be/ozEjPPZ_014?si=DC1lsY8W5As8UzWp" TargetMode="External"/><Relationship Id="rId22" Type="http://schemas.openxmlformats.org/officeDocument/2006/relationships/hyperlink" Target="https://youtu.be/6MjXt46zwTM?si=Czu62FopZFVFtsKA" TargetMode="External"/><Relationship Id="rId21" Type="http://schemas.openxmlformats.org/officeDocument/2006/relationships/hyperlink" Target="https://youtu.be/cnBqvwZ-Wio?si=Tv6cJinyv1HPe4YQ" TargetMode="External"/><Relationship Id="rId24" Type="http://schemas.openxmlformats.org/officeDocument/2006/relationships/hyperlink" Target="https://youtu.be/N18UOzwV7Ic?si=aZ3bmV06R3CIXztm" TargetMode="External"/><Relationship Id="rId23" Type="http://schemas.openxmlformats.org/officeDocument/2006/relationships/hyperlink" Target="https://youtu.be/jhT45HzPDoI?si=6xwhhK84LIJ7xZZM" TargetMode="External"/><Relationship Id="rId525" Type="http://schemas.openxmlformats.org/officeDocument/2006/relationships/hyperlink" Target="https://youtu.be/fu09lxVMHuw?si=qvYWuT43XdEOgDWJ" TargetMode="External"/><Relationship Id="rId767" Type="http://schemas.openxmlformats.org/officeDocument/2006/relationships/hyperlink" Target="https://youtu.be/Lw-YF125sZs?si=1aOBTZ4kwXYkUWw5" TargetMode="External"/><Relationship Id="rId524" Type="http://schemas.openxmlformats.org/officeDocument/2006/relationships/hyperlink" Target="https://youtu.be/PXWa6efHwcA?si=SzHmWJJOFJkjjXPI" TargetMode="External"/><Relationship Id="rId766" Type="http://schemas.openxmlformats.org/officeDocument/2006/relationships/hyperlink" Target="https://youtu.be/qsERm_kGpLc?si=nLbfetzlNSr6ddPi" TargetMode="External"/><Relationship Id="rId523" Type="http://schemas.openxmlformats.org/officeDocument/2006/relationships/hyperlink" Target="https://youtu.be/Y1vG0Zyxp8U?si=0DOMnakEvEca1PsU" TargetMode="External"/><Relationship Id="rId765" Type="http://schemas.openxmlformats.org/officeDocument/2006/relationships/hyperlink" Target="https://youtu.be/197RTHAEheI?si=eOT-Z_CxVYAaS3a7" TargetMode="External"/><Relationship Id="rId522" Type="http://schemas.openxmlformats.org/officeDocument/2006/relationships/hyperlink" Target="https://youtu.be/HeBJ0LHliSo?si=ZNqf4U98krWUqi62" TargetMode="External"/><Relationship Id="rId764" Type="http://schemas.openxmlformats.org/officeDocument/2006/relationships/hyperlink" Target="https://youtu.be/P3qI3_FzWwI?si=9L3D21uz_413OAhe" TargetMode="External"/><Relationship Id="rId529" Type="http://schemas.openxmlformats.org/officeDocument/2006/relationships/hyperlink" Target="https://youtu.be/dRkN_2y8Slc?si=IEXhaicHWyHujxj_" TargetMode="External"/><Relationship Id="rId528" Type="http://schemas.openxmlformats.org/officeDocument/2006/relationships/hyperlink" Target="https://youtu.be/HWukj_DQ8W8?si=_k_-JIUggtWlReBV" TargetMode="External"/><Relationship Id="rId527" Type="http://schemas.openxmlformats.org/officeDocument/2006/relationships/hyperlink" Target="https://www.youtube.com/watch?v=OHn6a-_Dt5w&amp;list=RDQMjqntcmzWFe4&amp;start_radio=1" TargetMode="External"/><Relationship Id="rId769" Type="http://schemas.openxmlformats.org/officeDocument/2006/relationships/hyperlink" Target="https://youtu.be/lRV-Tx0mEiM?si=zDsNfcIHJbK9sPhs" TargetMode="External"/><Relationship Id="rId526" Type="http://schemas.openxmlformats.org/officeDocument/2006/relationships/hyperlink" Target="https://youtu.be/Xj6WaAzyWBI?si=THLEHlmBu4xmC3v_" TargetMode="External"/><Relationship Id="rId768" Type="http://schemas.openxmlformats.org/officeDocument/2006/relationships/hyperlink" Target="https://youtu.be/E0jhUWfmwAM?si=oDQAthyCqip5gx68" TargetMode="External"/><Relationship Id="rId26" Type="http://schemas.openxmlformats.org/officeDocument/2006/relationships/hyperlink" Target="https://youtu.be/vXKVqIvA0tg?si=jDNypXpOu_P_kv2F" TargetMode="External"/><Relationship Id="rId25" Type="http://schemas.openxmlformats.org/officeDocument/2006/relationships/hyperlink" Target="https://youtu.be/GcPekkQADWs?si=bG-eZ3L2Yil_upeE" TargetMode="External"/><Relationship Id="rId28" Type="http://schemas.openxmlformats.org/officeDocument/2006/relationships/hyperlink" Target="https://youtu.be/o5CBNlP8wmE?si=Y9rUu-yxpDc7zL60" TargetMode="External"/><Relationship Id="rId27" Type="http://schemas.openxmlformats.org/officeDocument/2006/relationships/hyperlink" Target="https://youtu.be/pW4CktanGlc?si=533Wsz1DOMZBDE25" TargetMode="External"/><Relationship Id="rId521" Type="http://schemas.openxmlformats.org/officeDocument/2006/relationships/hyperlink" Target="https://youtu.be/yODqTiXSCFA?si=InEvDWvcZoOuT0f7" TargetMode="External"/><Relationship Id="rId763" Type="http://schemas.openxmlformats.org/officeDocument/2006/relationships/hyperlink" Target="https://youtu.be/eq9UIOtidG8?si=k28B-gBmePLdXrCp" TargetMode="External"/><Relationship Id="rId29" Type="http://schemas.openxmlformats.org/officeDocument/2006/relationships/hyperlink" Target="https://youtu.be/neue14ZN3RQ?si=m-3x0zeqGtYAz9FZ" TargetMode="External"/><Relationship Id="rId520" Type="http://schemas.openxmlformats.org/officeDocument/2006/relationships/hyperlink" Target="https://youtu.be/3wOvhJccIac?si=o3yt_4wBs4vSjVOM" TargetMode="External"/><Relationship Id="rId762" Type="http://schemas.openxmlformats.org/officeDocument/2006/relationships/hyperlink" Target="https://youtu.be/TRZJSs9J27Y?si=p7g6KhQ_xP7pdxzj" TargetMode="External"/><Relationship Id="rId761" Type="http://schemas.openxmlformats.org/officeDocument/2006/relationships/hyperlink" Target="https://youtu.be/0irN9vKeXl4?si=Ai8AkE4Tcp6TPKvr" TargetMode="External"/><Relationship Id="rId760" Type="http://schemas.openxmlformats.org/officeDocument/2006/relationships/hyperlink" Target="https://youtu.be/o9xI0t7L4C4?si=g9IS9dLLci7Wn6HL" TargetMode="External"/><Relationship Id="rId11" Type="http://schemas.openxmlformats.org/officeDocument/2006/relationships/hyperlink" Target="https://youtu.be/QxuDG00m3-Y?si=0_Zgoy1s3GWoH2Ka" TargetMode="External"/><Relationship Id="rId10" Type="http://schemas.openxmlformats.org/officeDocument/2006/relationships/hyperlink" Target="https://www.youtube.com/watch?v=B4w6ZlhWVIs" TargetMode="External"/><Relationship Id="rId13" Type="http://schemas.openxmlformats.org/officeDocument/2006/relationships/hyperlink" Target="https://youtu.be/juftd3yg_wY?si=LrX1g7ur3pZOeox3" TargetMode="External"/><Relationship Id="rId12" Type="http://schemas.openxmlformats.org/officeDocument/2006/relationships/hyperlink" Target="https://youtu.be/4lHpL82SM3g?si=jLhiatiJWRHKXrSi" TargetMode="External"/><Relationship Id="rId519" Type="http://schemas.openxmlformats.org/officeDocument/2006/relationships/hyperlink" Target="https://youtu.be/lnjhms7RgtI?si=IpCg7oYlojuMTUJL" TargetMode="External"/><Relationship Id="rId514" Type="http://schemas.openxmlformats.org/officeDocument/2006/relationships/hyperlink" Target="https://youtu.be/0zZbbH1kuxc?si=pESgkmWiCbW0IepJ" TargetMode="External"/><Relationship Id="rId756" Type="http://schemas.openxmlformats.org/officeDocument/2006/relationships/hyperlink" Target="https://youtu.be/OfqIS1fjWUw?si=X9FfOgyuOkSnG6tX" TargetMode="External"/><Relationship Id="rId513" Type="http://schemas.openxmlformats.org/officeDocument/2006/relationships/hyperlink" Target="https://youtu.be/RXQRtAgZkyU?si=CFD2Y3bK12k-Jnn5" TargetMode="External"/><Relationship Id="rId755" Type="http://schemas.openxmlformats.org/officeDocument/2006/relationships/hyperlink" Target="https://youtu.be/xPMLVu5BT1U?si=JDSVmvvd8uolCFB2" TargetMode="External"/><Relationship Id="rId512" Type="http://schemas.openxmlformats.org/officeDocument/2006/relationships/hyperlink" Target="https://youtu.be/gjJFISdrrB4?si=aMlph8ghJ3Q_byCx" TargetMode="External"/><Relationship Id="rId754" Type="http://schemas.openxmlformats.org/officeDocument/2006/relationships/hyperlink" Target="https://youtu.be/1or-E1TFiJE?si=GOcBzsYqxgXCFkJe" TargetMode="External"/><Relationship Id="rId511" Type="http://schemas.openxmlformats.org/officeDocument/2006/relationships/hyperlink" Target="https://youtu.be/NFi2K-rSR1Y?si=Ilg75Tx08L5lrXPg" TargetMode="External"/><Relationship Id="rId753" Type="http://schemas.openxmlformats.org/officeDocument/2006/relationships/hyperlink" Target="https://youtu.be/_2slKklnztQ?si=OqFyIY6tCs94A78Z" TargetMode="External"/><Relationship Id="rId518" Type="http://schemas.openxmlformats.org/officeDocument/2006/relationships/hyperlink" Target="https://youtu.be/jb-0SlklxzY?si=MMtXOLGUhgLY10Zu" TargetMode="External"/><Relationship Id="rId517" Type="http://schemas.openxmlformats.org/officeDocument/2006/relationships/hyperlink" Target="https://youtu.be/nriYn6EAq3U?si=QM-QGwEJXeRLmNmp" TargetMode="External"/><Relationship Id="rId759" Type="http://schemas.openxmlformats.org/officeDocument/2006/relationships/hyperlink" Target="https://youtu.be/Uf2gRWGSqec?si=e3WBjB4rreszUXZx" TargetMode="External"/><Relationship Id="rId516" Type="http://schemas.openxmlformats.org/officeDocument/2006/relationships/hyperlink" Target="https://youtu.be/eA2_S9Pyds4?si=0EQBo9nr1Pow0OXL" TargetMode="External"/><Relationship Id="rId758" Type="http://schemas.openxmlformats.org/officeDocument/2006/relationships/hyperlink" Target="https://youtu.be/qy10Yq7zb3Q?si=W4C1LesJXprfug5T" TargetMode="External"/><Relationship Id="rId515" Type="http://schemas.openxmlformats.org/officeDocument/2006/relationships/hyperlink" Target="https://youtu.be/m-yqt5KBvqQ?si=C_jm8o68zVdwz9vy" TargetMode="External"/><Relationship Id="rId757" Type="http://schemas.openxmlformats.org/officeDocument/2006/relationships/hyperlink" Target="https://youtu.be/OzH99ZAg8rI?si=2Tn_OMJtM21a-3Np" TargetMode="External"/><Relationship Id="rId15" Type="http://schemas.openxmlformats.org/officeDocument/2006/relationships/hyperlink" Target="https://youtu.be/Z-SUL_6JiKs?si=EGl5zWM__bU5C9Kn" TargetMode="External"/><Relationship Id="rId14" Type="http://schemas.openxmlformats.org/officeDocument/2006/relationships/hyperlink" Target="https://youtu.be/s7WRnU0Fi0U?si=IC5cSqLJ9MFvF3zf" TargetMode="External"/><Relationship Id="rId17" Type="http://schemas.openxmlformats.org/officeDocument/2006/relationships/hyperlink" Target="https://youtu.be/Hl6OLEfrY98?si=Tv-rPhxDpLiTxtJh" TargetMode="External"/><Relationship Id="rId16" Type="http://schemas.openxmlformats.org/officeDocument/2006/relationships/hyperlink" Target="https://youtu.be/lahaD7-B8DQ?si=-jxgx294FjSrNzjE" TargetMode="External"/><Relationship Id="rId19" Type="http://schemas.openxmlformats.org/officeDocument/2006/relationships/hyperlink" Target="https://youtu.be/tjE8Z9IEPPY?si=PdBNNjTzUfmg-V7s" TargetMode="External"/><Relationship Id="rId510" Type="http://schemas.openxmlformats.org/officeDocument/2006/relationships/hyperlink" Target="https://youtu.be/BXygjtc5Oec?si=ffyKkMqY7nd9vRZ7" TargetMode="External"/><Relationship Id="rId752" Type="http://schemas.openxmlformats.org/officeDocument/2006/relationships/hyperlink" Target="https://youtu.be/1oPpsh5QmWg?si=xiqeKTFau9ZW-kb7" TargetMode="External"/><Relationship Id="rId18" Type="http://schemas.openxmlformats.org/officeDocument/2006/relationships/hyperlink" Target="https://youtu.be/EYfX-4mAJWc?si=XC7arDDtDQCmO_Cc" TargetMode="External"/><Relationship Id="rId751" Type="http://schemas.openxmlformats.org/officeDocument/2006/relationships/hyperlink" Target="https://youtu.be/7G_r5Toy73k?si=FVM_Xk6MBMe2G4p9" TargetMode="External"/><Relationship Id="rId750" Type="http://schemas.openxmlformats.org/officeDocument/2006/relationships/hyperlink" Target="https://www.youtube.com/watch?v=64x8qcujrIo" TargetMode="External"/><Relationship Id="rId84" Type="http://schemas.openxmlformats.org/officeDocument/2006/relationships/hyperlink" Target="https://youtu.be/3AmM3-E8-HA?si=rGnrVsEMjTQBJq1P" TargetMode="External"/><Relationship Id="rId83" Type="http://schemas.openxmlformats.org/officeDocument/2006/relationships/hyperlink" Target="https://youtu.be/ufm7VhDVUk8?si=rhMHf350e22exBZE" TargetMode="External"/><Relationship Id="rId86" Type="http://schemas.openxmlformats.org/officeDocument/2006/relationships/hyperlink" Target="https://youtu.be/gHNDkDTMTCQ?si=Hr8wQPksGmXqeufd" TargetMode="External"/><Relationship Id="rId85" Type="http://schemas.openxmlformats.org/officeDocument/2006/relationships/hyperlink" Target="https://youtu.be/OdKG1yvTlUU?si=Tal4KfJAjNw11RJU" TargetMode="External"/><Relationship Id="rId88" Type="http://schemas.openxmlformats.org/officeDocument/2006/relationships/hyperlink" Target="https://youtu.be/kFLCQaW1oE8?si=6pmV58ebKQeB5xeS" TargetMode="External"/><Relationship Id="rId87" Type="http://schemas.openxmlformats.org/officeDocument/2006/relationships/hyperlink" Target="https://youtu.be/bdSH8e-7Eg4?si=7pzeQvOKg37JiYc6" TargetMode="External"/><Relationship Id="rId89" Type="http://schemas.openxmlformats.org/officeDocument/2006/relationships/hyperlink" Target="https://youtu.be/V_bUsF30j88?si=-VW8wbQrJfx4gmOV" TargetMode="External"/><Relationship Id="rId709" Type="http://schemas.openxmlformats.org/officeDocument/2006/relationships/hyperlink" Target="https://youtu.be/7QuDEx3_Ygo?si=HQQ9bAHneNZQoaJ0" TargetMode="External"/><Relationship Id="rId708" Type="http://schemas.openxmlformats.org/officeDocument/2006/relationships/hyperlink" Target="https://youtu.be/r2oQkbbqA2Y?si=xuaA1SvQtuhnUiSO" TargetMode="External"/><Relationship Id="rId707" Type="http://schemas.openxmlformats.org/officeDocument/2006/relationships/hyperlink" Target="https://youtu.be/FHqenKqsZHM?si=y-dK8kvSA-zvlrmO" TargetMode="External"/><Relationship Id="rId706" Type="http://schemas.openxmlformats.org/officeDocument/2006/relationships/hyperlink" Target="https://youtu.be/Gf96sPfHitw?si=-_rxAnDi8b2waP7y" TargetMode="External"/><Relationship Id="rId80" Type="http://schemas.openxmlformats.org/officeDocument/2006/relationships/hyperlink" Target="https://youtu.be/36PHXHVWwQc?si=qCkoZ5DzGps89C4W" TargetMode="External"/><Relationship Id="rId82" Type="http://schemas.openxmlformats.org/officeDocument/2006/relationships/hyperlink" Target="https://youtu.be/sMHuOklcxLc?si=Vlp9TKtru8PW5Zjc" TargetMode="External"/><Relationship Id="rId81" Type="http://schemas.openxmlformats.org/officeDocument/2006/relationships/hyperlink" Target="https://youtu.be/7sxH7bRkRe8?si=f88EzkkKDsN3pHa5" TargetMode="External"/><Relationship Id="rId701" Type="http://schemas.openxmlformats.org/officeDocument/2006/relationships/hyperlink" Target="https://youtu.be/0ry0i1RU9kk?si=pdk0_JHmDpyEE-IF" TargetMode="External"/><Relationship Id="rId700" Type="http://schemas.openxmlformats.org/officeDocument/2006/relationships/hyperlink" Target="https://youtu.be/H8HdglX3Goo?si=4JNDCG0hfepDem23" TargetMode="External"/><Relationship Id="rId705" Type="http://schemas.openxmlformats.org/officeDocument/2006/relationships/hyperlink" Target="https://youtu.be/cJ7WYq11wFg?si=m--9YU2kR-n9f37l" TargetMode="External"/><Relationship Id="rId704" Type="http://schemas.openxmlformats.org/officeDocument/2006/relationships/hyperlink" Target="https://youtu.be/W1q_rh1d-Mw?si=kCVOgyl-1CrmX1u2" TargetMode="External"/><Relationship Id="rId703" Type="http://schemas.openxmlformats.org/officeDocument/2006/relationships/hyperlink" Target="https://youtu.be/oJYkFY07aAQ?si=ufse93Q8Hf_mAihq" TargetMode="External"/><Relationship Id="rId702" Type="http://schemas.openxmlformats.org/officeDocument/2006/relationships/hyperlink" Target="https://youtu.be/mJlboZ8DcEg?si=-aC9FI06n1ULlzab" TargetMode="External"/><Relationship Id="rId73" Type="http://schemas.openxmlformats.org/officeDocument/2006/relationships/hyperlink" Target="https://youtu.be/_PyplT2u9K8?si=N_kRJCdznvTkOt7P" TargetMode="External"/><Relationship Id="rId72" Type="http://schemas.openxmlformats.org/officeDocument/2006/relationships/hyperlink" Target="https://youtu.be/G5YOMD6tmUY?si=0d2I50XaI2C-7dWo" TargetMode="External"/><Relationship Id="rId75" Type="http://schemas.openxmlformats.org/officeDocument/2006/relationships/hyperlink" Target="https://youtu.be/D31qsk4Zho0?si=l2g_apZuvM4IlM0H" TargetMode="External"/><Relationship Id="rId74" Type="http://schemas.openxmlformats.org/officeDocument/2006/relationships/hyperlink" Target="https://youtu.be/F-pH-fTwXiU?si=jCw39fBjmlr0cxZ-" TargetMode="External"/><Relationship Id="rId77" Type="http://schemas.openxmlformats.org/officeDocument/2006/relationships/hyperlink" Target="https://youtu.be/L8K0SME1oGI?si=AlBwlhW_AVf7yt-G" TargetMode="External"/><Relationship Id="rId76" Type="http://schemas.openxmlformats.org/officeDocument/2006/relationships/hyperlink" Target="https://youtu.be/tnzKppPRW4g?si=NWcaOt58Y0NR18Z5" TargetMode="External"/><Relationship Id="rId79" Type="http://schemas.openxmlformats.org/officeDocument/2006/relationships/hyperlink" Target="https://youtu.be/dBoTBWrc1cg?si=gC-Evmw6xajpqDQP" TargetMode="External"/><Relationship Id="rId78" Type="http://schemas.openxmlformats.org/officeDocument/2006/relationships/hyperlink" Target="https://youtu.be/-lzurpNhpIQ?si=zBS3XZ1YaC39Gmoz" TargetMode="External"/><Relationship Id="rId71" Type="http://schemas.openxmlformats.org/officeDocument/2006/relationships/hyperlink" Target="https://youtu.be/hujzTIKN-nA?si=p0lVDAbehq_6xcGR" TargetMode="External"/><Relationship Id="rId70" Type="http://schemas.openxmlformats.org/officeDocument/2006/relationships/hyperlink" Target="https://youtu.be/uEqYzdz3Zvg?si=8YfgooQwApos2hOS" TargetMode="External"/><Relationship Id="rId62" Type="http://schemas.openxmlformats.org/officeDocument/2006/relationships/hyperlink" Target="https://youtu.be/B6AgVc2gqUM?si=HtIKyj6iODREzTbs" TargetMode="External"/><Relationship Id="rId61" Type="http://schemas.openxmlformats.org/officeDocument/2006/relationships/hyperlink" Target="https://youtu.be/PsXWOBNb-VE?si=vAoqYxilexSTib2w" TargetMode="External"/><Relationship Id="rId64" Type="http://schemas.openxmlformats.org/officeDocument/2006/relationships/hyperlink" Target="https://youtu.be/RzvGFnD6Yqc?si=fDsN8k5-8zN7ZQ4y" TargetMode="External"/><Relationship Id="rId63" Type="http://schemas.openxmlformats.org/officeDocument/2006/relationships/hyperlink" Target="https://youtu.be/N4c2857Ef0U?si=3mzETHZxBsb8kwDQ" TargetMode="External"/><Relationship Id="rId66" Type="http://schemas.openxmlformats.org/officeDocument/2006/relationships/hyperlink" Target="https://youtu.be/5RdN8jzEl4Y?si=tsyml49DnAB3qaWw" TargetMode="External"/><Relationship Id="rId65" Type="http://schemas.openxmlformats.org/officeDocument/2006/relationships/hyperlink" Target="https://youtu.be/kUkmPBoHyI0?si=HAVpiu8qLw9Xz5KH" TargetMode="External"/><Relationship Id="rId68" Type="http://schemas.openxmlformats.org/officeDocument/2006/relationships/hyperlink" Target="https://youtu.be/uSNtEIp-Ew0?si=Srk-i7LKiwhXzFPG" TargetMode="External"/><Relationship Id="rId67" Type="http://schemas.openxmlformats.org/officeDocument/2006/relationships/hyperlink" Target="https://youtu.be/dmGhakW9MXc?si=YH8x-rbLFY7yOsZ2" TargetMode="External"/><Relationship Id="rId729" Type="http://schemas.openxmlformats.org/officeDocument/2006/relationships/hyperlink" Target="https://youtu.be/_IJFWImeOaE?si=o-zLHvrJTh18VfJf" TargetMode="External"/><Relationship Id="rId728" Type="http://schemas.openxmlformats.org/officeDocument/2006/relationships/hyperlink" Target="https://youtu.be/Cdwa48Ur5OE?si=4QMFrWtK4jkhThpn" TargetMode="External"/><Relationship Id="rId60" Type="http://schemas.openxmlformats.org/officeDocument/2006/relationships/hyperlink" Target="https://youtu.be/O-aL9CSdjnQ?si=21Ii6i9VDst_SI1m" TargetMode="External"/><Relationship Id="rId723" Type="http://schemas.openxmlformats.org/officeDocument/2006/relationships/hyperlink" Target="https://youtu.be/jKbQiMQFVJ8?si=R70apN25Pr3x4xBK" TargetMode="External"/><Relationship Id="rId722" Type="http://schemas.openxmlformats.org/officeDocument/2006/relationships/hyperlink" Target="https://youtu.be/X_Sf9xOKFN0?si=Lmpx7RJ_v1uNBsNa" TargetMode="External"/><Relationship Id="rId721" Type="http://schemas.openxmlformats.org/officeDocument/2006/relationships/hyperlink" Target="https://youtu.be/hysLENtHRak?si=edejYcT9OrknEPmc" TargetMode="External"/><Relationship Id="rId720" Type="http://schemas.openxmlformats.org/officeDocument/2006/relationships/hyperlink" Target="https://youtu.be/5917dtJPdbU?si=mkOXKzum58xWuiPi" TargetMode="External"/><Relationship Id="rId727" Type="http://schemas.openxmlformats.org/officeDocument/2006/relationships/hyperlink" Target="https://youtu.be/ozpyGM5ELks?si=vtRxRl8or4fZijnE" TargetMode="External"/><Relationship Id="rId726" Type="http://schemas.openxmlformats.org/officeDocument/2006/relationships/hyperlink" Target="https://youtu.be/b1HAE-Pi4UI?si=Ih0HvdUFwdCAtAdy" TargetMode="External"/><Relationship Id="rId725" Type="http://schemas.openxmlformats.org/officeDocument/2006/relationships/hyperlink" Target="https://youtu.be/q20uSmuKZcE?si=q9ZBnIVmIoB068Cc" TargetMode="External"/><Relationship Id="rId724" Type="http://schemas.openxmlformats.org/officeDocument/2006/relationships/hyperlink" Target="https://youtu.be/L63NkRUwqLA?si=AIQBT80KqC61vuIa" TargetMode="External"/><Relationship Id="rId69" Type="http://schemas.openxmlformats.org/officeDocument/2006/relationships/hyperlink" Target="https://youtu.be/687FtBgKVeg?si=knEoOXVacNuEjv7D" TargetMode="External"/><Relationship Id="rId51" Type="http://schemas.openxmlformats.org/officeDocument/2006/relationships/hyperlink" Target="https://youtu.be/nZq0lvclejg?si=EwOyfr7Dyv_bZLbJ" TargetMode="External"/><Relationship Id="rId50" Type="http://schemas.openxmlformats.org/officeDocument/2006/relationships/hyperlink" Target="https://youtu.be/RLpJCLxacUc?si=CMoPYgc86X86x1mD" TargetMode="External"/><Relationship Id="rId53" Type="http://schemas.openxmlformats.org/officeDocument/2006/relationships/hyperlink" Target="https://youtu.be/VwE5Fc_hz6o?si=_2N16CaugV_pL4Vg" TargetMode="External"/><Relationship Id="rId52" Type="http://schemas.openxmlformats.org/officeDocument/2006/relationships/hyperlink" Target="https://youtu.be/7JRLyQNMwV8?si=OfjsjR4i2FpAVrGw" TargetMode="External"/><Relationship Id="rId55" Type="http://schemas.openxmlformats.org/officeDocument/2006/relationships/hyperlink" Target="https://youtu.be/pxZxwF85g_c?si=eFXpKcflgPpfd-UX" TargetMode="External"/><Relationship Id="rId54" Type="http://schemas.openxmlformats.org/officeDocument/2006/relationships/hyperlink" Target="https://youtu.be/IbwZOj9r7qo?si=28i6Q9zO5i0AqtK7" TargetMode="External"/><Relationship Id="rId57" Type="http://schemas.openxmlformats.org/officeDocument/2006/relationships/hyperlink" Target="https://youtu.be/fveOYRT4DDw?si=ayohgCIio_S5qfY3" TargetMode="External"/><Relationship Id="rId56" Type="http://schemas.openxmlformats.org/officeDocument/2006/relationships/hyperlink" Target="https://youtu.be/OX6Da7jmYP8?si=Ld4lAAxTiTlC1J6R" TargetMode="External"/><Relationship Id="rId719" Type="http://schemas.openxmlformats.org/officeDocument/2006/relationships/hyperlink" Target="https://youtu.be/dl7a-sDQniw?si=NS59tyQF2IZeHrjL" TargetMode="External"/><Relationship Id="rId718" Type="http://schemas.openxmlformats.org/officeDocument/2006/relationships/hyperlink" Target="https://youtu.be/T-hxEksWa84?si=DNsalODUBNtkWJh-" TargetMode="External"/><Relationship Id="rId717" Type="http://schemas.openxmlformats.org/officeDocument/2006/relationships/hyperlink" Target="https://youtu.be/-CjSr8z0qeM?si=tAS3-rfAD9xgOu-B" TargetMode="External"/><Relationship Id="rId712" Type="http://schemas.openxmlformats.org/officeDocument/2006/relationships/hyperlink" Target="https://youtu.be/jQRTd2p2taE?si=CtAxY9jV1CTvEiTw" TargetMode="External"/><Relationship Id="rId711" Type="http://schemas.openxmlformats.org/officeDocument/2006/relationships/hyperlink" Target="https://youtu.be/o0xx_z9rQqk?si=UF4GZ1wpXEYvKSJp" TargetMode="External"/><Relationship Id="rId710" Type="http://schemas.openxmlformats.org/officeDocument/2006/relationships/hyperlink" Target="https://youtu.be/4cJGELPdwW0?si=iwoMs4S0mK-2kXD1" TargetMode="External"/><Relationship Id="rId716" Type="http://schemas.openxmlformats.org/officeDocument/2006/relationships/hyperlink" Target="https://youtu.be/0dsgp3_mpBY?si=fPeMiRyPR1UysBvQ" TargetMode="External"/><Relationship Id="rId715" Type="http://schemas.openxmlformats.org/officeDocument/2006/relationships/hyperlink" Target="https://youtu.be/R_LySSLgurE?si=_XcpAlEPKM_U20e5" TargetMode="External"/><Relationship Id="rId714" Type="http://schemas.openxmlformats.org/officeDocument/2006/relationships/hyperlink" Target="https://youtu.be/vi74ARwvHp0?si=5BnEF5OrDchjRy7o" TargetMode="External"/><Relationship Id="rId713" Type="http://schemas.openxmlformats.org/officeDocument/2006/relationships/hyperlink" Target="https://youtu.be/GCaNxB7MIe8?si=XtjWUUBYYsOIu1bi" TargetMode="External"/><Relationship Id="rId59" Type="http://schemas.openxmlformats.org/officeDocument/2006/relationships/hyperlink" Target="https://youtu.be/7hhX-Ru6YU4?si=Y9Ri4XfQ70RjcK-E" TargetMode="External"/><Relationship Id="rId58" Type="http://schemas.openxmlformats.org/officeDocument/2006/relationships/hyperlink" Target="https://youtu.be/XEOo5F0THbA?si=2CYncgT3-yKKRjyF" TargetMode="External"/><Relationship Id="rId590" Type="http://schemas.openxmlformats.org/officeDocument/2006/relationships/hyperlink" Target="https://youtu.be/Nin99dMWv_o?si=aM8l9CQnJYHrx0Y4" TargetMode="External"/><Relationship Id="rId107" Type="http://schemas.openxmlformats.org/officeDocument/2006/relationships/hyperlink" Target="https://youtu.be/OJzIbmJemA8?si=PXPM6w2oob9w52P3" TargetMode="External"/><Relationship Id="rId349" Type="http://schemas.openxmlformats.org/officeDocument/2006/relationships/hyperlink" Target="https://youtu.be/X-O-aKH_vNQ?si=2w2jqTCrfZQrkVIi" TargetMode="External"/><Relationship Id="rId106" Type="http://schemas.openxmlformats.org/officeDocument/2006/relationships/hyperlink" Target="https://youtu.be/sDaPoNBX65A?si=8fY984QEHlsP-Ptm" TargetMode="External"/><Relationship Id="rId348" Type="http://schemas.openxmlformats.org/officeDocument/2006/relationships/hyperlink" Target="https://youtu.be/MzEr0Z3a5UE?si=UgQxysrkG-UmU8kF" TargetMode="External"/><Relationship Id="rId105" Type="http://schemas.openxmlformats.org/officeDocument/2006/relationships/hyperlink" Target="https://youtu.be/LxNT_mL_FnM?si=TaWovIlxVki-cr8u" TargetMode="External"/><Relationship Id="rId347" Type="http://schemas.openxmlformats.org/officeDocument/2006/relationships/hyperlink" Target="https://youtu.be/kAzxck6ijxg?si=OX4VJ4cf-tMhp9Zf" TargetMode="External"/><Relationship Id="rId589" Type="http://schemas.openxmlformats.org/officeDocument/2006/relationships/hyperlink" Target="https://youtu.be/G8wHA-rEnHo?si=TaxYsBH-OmPACaaS" TargetMode="External"/><Relationship Id="rId104" Type="http://schemas.openxmlformats.org/officeDocument/2006/relationships/hyperlink" Target="https://youtu.be/_RnkEjtlaHc?si=WD1iXqUSXyzqwOYT" TargetMode="External"/><Relationship Id="rId346" Type="http://schemas.openxmlformats.org/officeDocument/2006/relationships/hyperlink" Target="https://youtu.be/Ii3ZKKV5FEw?si=fuFC589jUI8hkePr" TargetMode="External"/><Relationship Id="rId588" Type="http://schemas.openxmlformats.org/officeDocument/2006/relationships/hyperlink" Target="https://youtu.be/bYeMfRD3Hi8?si=eGQymHdNaG-q1tfq" TargetMode="External"/><Relationship Id="rId109" Type="http://schemas.openxmlformats.org/officeDocument/2006/relationships/hyperlink" Target="https://www.youtube.com/watch?v=X2767Q1iBN8" TargetMode="External"/><Relationship Id="rId108" Type="http://schemas.openxmlformats.org/officeDocument/2006/relationships/hyperlink" Target="https://youtu.be/17Z8bSRxhUM?si=KvOhfB07PLrtxAuU" TargetMode="External"/><Relationship Id="rId341" Type="http://schemas.openxmlformats.org/officeDocument/2006/relationships/hyperlink" Target="https://www.youtube.com/watch?v=dd_owIm8nsA&amp;list=RDQMSV6ZQV5OPqg&amp;index=12" TargetMode="External"/><Relationship Id="rId583" Type="http://schemas.openxmlformats.org/officeDocument/2006/relationships/hyperlink" Target="https://youtu.be/lgifZKA_f2Y?si=qwqp77W2_OKtCUyM" TargetMode="External"/><Relationship Id="rId340" Type="http://schemas.openxmlformats.org/officeDocument/2006/relationships/hyperlink" Target="https://www.youtube.com/watch?v=QaWOYuNci9w&amp;list=RDQMSV6ZQV5OPqg&amp;index=6" TargetMode="External"/><Relationship Id="rId582" Type="http://schemas.openxmlformats.org/officeDocument/2006/relationships/hyperlink" Target="https://youtu.be/u3fJQ_XFoBI?si=Wq5EakdQDTYCbR6q" TargetMode="External"/><Relationship Id="rId581" Type="http://schemas.openxmlformats.org/officeDocument/2006/relationships/hyperlink" Target="https://youtu.be/PgCmcqIeN0w?si=-so5lMAizqmnabo-" TargetMode="External"/><Relationship Id="rId580" Type="http://schemas.openxmlformats.org/officeDocument/2006/relationships/hyperlink" Target="https://youtu.be/tA7R3WkE284?si=ydvck1zzyz8TjUiU" TargetMode="External"/><Relationship Id="rId103" Type="http://schemas.openxmlformats.org/officeDocument/2006/relationships/hyperlink" Target="https://youtu.be/l3WrolnLUNw?si=7yRtTi3uICLONWzu" TargetMode="External"/><Relationship Id="rId345" Type="http://schemas.openxmlformats.org/officeDocument/2006/relationships/hyperlink" Target="https://youtu.be/LFL2QU19_Hg?si=t1w4un-LbVaYxTT6" TargetMode="External"/><Relationship Id="rId587" Type="http://schemas.openxmlformats.org/officeDocument/2006/relationships/hyperlink" Target="https://youtu.be/2ywtkfHvbR8?si=XKkax8RpFaNt8z_-" TargetMode="External"/><Relationship Id="rId102" Type="http://schemas.openxmlformats.org/officeDocument/2006/relationships/hyperlink" Target="https://youtu.be/7hIOa5fOEl4?si=cJWd25bxdxzelRvh" TargetMode="External"/><Relationship Id="rId344" Type="http://schemas.openxmlformats.org/officeDocument/2006/relationships/hyperlink" Target="https://youtu.be/jFRUQaUEuSs?si=0DGhrSc53Z96oT4R" TargetMode="External"/><Relationship Id="rId586" Type="http://schemas.openxmlformats.org/officeDocument/2006/relationships/hyperlink" Target="https://youtu.be/dRs56S5O-v8?si=zb3DKU2U7JFXGXze" TargetMode="External"/><Relationship Id="rId101" Type="http://schemas.openxmlformats.org/officeDocument/2006/relationships/hyperlink" Target="https://youtu.be/2qrxsvACByw?si=YAj9TCYN3SAZxQwh" TargetMode="External"/><Relationship Id="rId343" Type="http://schemas.openxmlformats.org/officeDocument/2006/relationships/hyperlink" Target="https://youtu.be/Zfagfqf9R4c?si=XeRL_1zk2QPiJVoZ" TargetMode="External"/><Relationship Id="rId585" Type="http://schemas.openxmlformats.org/officeDocument/2006/relationships/hyperlink" Target="https://youtu.be/na3aEp1DeX4?si=gyJU5WRtZk6VyUW4" TargetMode="External"/><Relationship Id="rId100" Type="http://schemas.openxmlformats.org/officeDocument/2006/relationships/hyperlink" Target="https://youtu.be/0UNxX59oj_o?si=BBrk5wjFwsul_zg0" TargetMode="External"/><Relationship Id="rId342" Type="http://schemas.openxmlformats.org/officeDocument/2006/relationships/hyperlink" Target="https://youtu.be/pMLiKbuik9k?si=8mjoFiHLtnC1ymoo" TargetMode="External"/><Relationship Id="rId584" Type="http://schemas.openxmlformats.org/officeDocument/2006/relationships/hyperlink" Target="https://youtu.be/UNhXLW3Se74?si=lR-frGv8HUN3vGxz" TargetMode="External"/><Relationship Id="rId338" Type="http://schemas.openxmlformats.org/officeDocument/2006/relationships/hyperlink" Target="https://www.youtube.com/watch?v=KJRLjsShqRU&amp;list=RDQMSV6ZQV5OPqg&amp;start_radio=1" TargetMode="External"/><Relationship Id="rId337" Type="http://schemas.openxmlformats.org/officeDocument/2006/relationships/hyperlink" Target="https://www.youtube.com/watch?v=AmpUY_YbQAc" TargetMode="External"/><Relationship Id="rId579" Type="http://schemas.openxmlformats.org/officeDocument/2006/relationships/hyperlink" Target="https://youtu.be/oiyiMTKsAXI?si=JfC_jc_JELGvOTWS" TargetMode="External"/><Relationship Id="rId336" Type="http://schemas.openxmlformats.org/officeDocument/2006/relationships/hyperlink" Target="https://www.youtube.com/watch?v=nW2wh4op8NE" TargetMode="External"/><Relationship Id="rId578" Type="http://schemas.openxmlformats.org/officeDocument/2006/relationships/hyperlink" Target="https://youtu.be/lGN8HyClErk?si=dl-6kAmzpnYHRxzZ" TargetMode="External"/><Relationship Id="rId335" Type="http://schemas.openxmlformats.org/officeDocument/2006/relationships/hyperlink" Target="https://www.youtube.com/watch?v=kcm9TmlUJhk" TargetMode="External"/><Relationship Id="rId577" Type="http://schemas.openxmlformats.org/officeDocument/2006/relationships/hyperlink" Target="https://youtu.be/BdSodSMqNcA?si=6IW9yvLidgA7N8bD" TargetMode="External"/><Relationship Id="rId339" Type="http://schemas.openxmlformats.org/officeDocument/2006/relationships/hyperlink" Target="https://www.youtube.com/watch?v=o-nhJp4m5XA&amp;list=RDQMSV6ZQV5OPqg&amp;index=2" TargetMode="External"/><Relationship Id="rId330" Type="http://schemas.openxmlformats.org/officeDocument/2006/relationships/hyperlink" Target="https://youtu.be/OsqGNDyVNPs?si=Q4eSiZmRx8gvFTNd" TargetMode="External"/><Relationship Id="rId572" Type="http://schemas.openxmlformats.org/officeDocument/2006/relationships/hyperlink" Target="https://youtu.be/J06A4nZ2lW4?si=cQPmjohJjrq86nj-" TargetMode="External"/><Relationship Id="rId571" Type="http://schemas.openxmlformats.org/officeDocument/2006/relationships/hyperlink" Target="https://youtu.be/qMQqrooHn3c?si=-vYl72J5fXpplJb9" TargetMode="External"/><Relationship Id="rId570" Type="http://schemas.openxmlformats.org/officeDocument/2006/relationships/hyperlink" Target="https://youtu.be/xZdI6oyOJa4?si=oFV5n-RBKZQgbP-M" TargetMode="External"/><Relationship Id="rId334" Type="http://schemas.openxmlformats.org/officeDocument/2006/relationships/hyperlink" Target="https://www.youtube.com/watch?v=LBj90_hbtAo" TargetMode="External"/><Relationship Id="rId576" Type="http://schemas.openxmlformats.org/officeDocument/2006/relationships/hyperlink" Target="https://youtu.be/EpdeNA8FHUU?si=lFCo6OMrtMCKEqO6" TargetMode="External"/><Relationship Id="rId333" Type="http://schemas.openxmlformats.org/officeDocument/2006/relationships/hyperlink" Target="https://www.youtube.com/watch?v=dJImITW7mz4" TargetMode="External"/><Relationship Id="rId575" Type="http://schemas.openxmlformats.org/officeDocument/2006/relationships/hyperlink" Target="https://youtu.be/XQBSkESiuZI?si=OSzRoqWdwRRqT7ds" TargetMode="External"/><Relationship Id="rId332" Type="http://schemas.openxmlformats.org/officeDocument/2006/relationships/hyperlink" Target="https://youtu.be/LxhhGoAfWrE?si=SwZM8YR7N-Id3E9z" TargetMode="External"/><Relationship Id="rId574" Type="http://schemas.openxmlformats.org/officeDocument/2006/relationships/hyperlink" Target="https://youtu.be/L2ZbygWGd7E?si=k5ZdYe0oaABkUdzs" TargetMode="External"/><Relationship Id="rId331" Type="http://schemas.openxmlformats.org/officeDocument/2006/relationships/hyperlink" Target="https://youtu.be/pN1rrC28Ga4?si=rle7vw-KGMlRveTK" TargetMode="External"/><Relationship Id="rId573" Type="http://schemas.openxmlformats.org/officeDocument/2006/relationships/hyperlink" Target="https://youtu.be/YPSgoighuz4?si=grvI0bcKELirJCyt" TargetMode="External"/><Relationship Id="rId370" Type="http://schemas.openxmlformats.org/officeDocument/2006/relationships/hyperlink" Target="https://youtu.be/wYnXdKHyxHM?si=iepgAT7x3_Gdeew1" TargetMode="External"/><Relationship Id="rId129" Type="http://schemas.openxmlformats.org/officeDocument/2006/relationships/hyperlink" Target="https://youtu.be/TQ5Hm0M62yA?si=Np0s2-_aQGusA0Cy" TargetMode="External"/><Relationship Id="rId128" Type="http://schemas.openxmlformats.org/officeDocument/2006/relationships/hyperlink" Target="https://youtu.be/JUvXCpZW-o4?si=11Ata7NDQuWq-hE1" TargetMode="External"/><Relationship Id="rId127" Type="http://schemas.openxmlformats.org/officeDocument/2006/relationships/hyperlink" Target="https://youtu.be/_CINIz7qS4I?si=jxmwNZEJaNaeBxuB" TargetMode="External"/><Relationship Id="rId369" Type="http://schemas.openxmlformats.org/officeDocument/2006/relationships/hyperlink" Target="https://youtu.be/A9xzW0SP4hs?si=i1VLR00zr56HbBQ0" TargetMode="External"/><Relationship Id="rId126" Type="http://schemas.openxmlformats.org/officeDocument/2006/relationships/hyperlink" Target="https://youtu.be/htv0idteKnQ?si=ILtAkeP4zg_L8jDy" TargetMode="External"/><Relationship Id="rId368" Type="http://schemas.openxmlformats.org/officeDocument/2006/relationships/hyperlink" Target="https://youtu.be/Prv2-80sJ1I?si=OC69vd06MqXhPD1r" TargetMode="External"/><Relationship Id="rId121" Type="http://schemas.openxmlformats.org/officeDocument/2006/relationships/hyperlink" Target="https://youtu.be/ZQcGxPrTGgY?si=HZTjZ2i2DR09WRhd" TargetMode="External"/><Relationship Id="rId363" Type="http://schemas.openxmlformats.org/officeDocument/2006/relationships/hyperlink" Target="https://www.youtube.com/watch?v=BxNYA-2uNVc&amp;list=RDQM848WvTr7J8M&amp;start_radio=1" TargetMode="External"/><Relationship Id="rId120" Type="http://schemas.openxmlformats.org/officeDocument/2006/relationships/hyperlink" Target="https://youtu.be/f5nqGiNuTIk?si=aBgbSjbTMzvvM-q_" TargetMode="External"/><Relationship Id="rId362" Type="http://schemas.openxmlformats.org/officeDocument/2006/relationships/hyperlink" Target="https://youtu.be/hR2W1VKIJOE?si=RYvhXN69li1n4BQD" TargetMode="External"/><Relationship Id="rId361" Type="http://schemas.openxmlformats.org/officeDocument/2006/relationships/hyperlink" Target="https://youtu.be/ovP2jobtPv4?si=dEOmmSNObOTAdJrv" TargetMode="External"/><Relationship Id="rId360" Type="http://schemas.openxmlformats.org/officeDocument/2006/relationships/hyperlink" Target="https://youtu.be/heqmHue-6Vk?si=5AcubSU9z9l9cAch" TargetMode="External"/><Relationship Id="rId125" Type="http://schemas.openxmlformats.org/officeDocument/2006/relationships/hyperlink" Target="https://youtu.be/wshs9Mqq9Eo?si=m6IpUpStKbESFr-T" TargetMode="External"/><Relationship Id="rId367" Type="http://schemas.openxmlformats.org/officeDocument/2006/relationships/hyperlink" Target="https://youtu.be/JGKiEbGqdkY?si=yIEVsf5FMHGeDMVh" TargetMode="External"/><Relationship Id="rId124" Type="http://schemas.openxmlformats.org/officeDocument/2006/relationships/hyperlink" Target="https://youtu.be/qrbD9q49n0c?si=IfENTuiNFGUb331t" TargetMode="External"/><Relationship Id="rId366" Type="http://schemas.openxmlformats.org/officeDocument/2006/relationships/hyperlink" Target="https://youtu.be/B8aqvMLfJyk?si=6j9MAjUgC7bBfmmW" TargetMode="External"/><Relationship Id="rId123" Type="http://schemas.openxmlformats.org/officeDocument/2006/relationships/hyperlink" Target="https://youtu.be/R57Lj3KRW2k?si=52tGBelZwWWFVIOz" TargetMode="External"/><Relationship Id="rId365" Type="http://schemas.openxmlformats.org/officeDocument/2006/relationships/hyperlink" Target="https://youtu.be/E9YvtB1-YNw?si=JjT7Dw1wOBsvzRQk" TargetMode="External"/><Relationship Id="rId122" Type="http://schemas.openxmlformats.org/officeDocument/2006/relationships/hyperlink" Target="https://youtu.be/7An8yztP95Y?si=Hx8xtKj2XJ0MiYNs" TargetMode="External"/><Relationship Id="rId364" Type="http://schemas.openxmlformats.org/officeDocument/2006/relationships/hyperlink" Target="https://youtu.be/qe7pEBUhnq8?si=6GSTPZ_a84Wt1sip" TargetMode="External"/><Relationship Id="rId95" Type="http://schemas.openxmlformats.org/officeDocument/2006/relationships/hyperlink" Target="https://youtu.be/vBPYPhu7Gm8?si=0V2v1SG1Oln8eHkv" TargetMode="External"/><Relationship Id="rId94" Type="http://schemas.openxmlformats.org/officeDocument/2006/relationships/hyperlink" Target="https://youtu.be/8chQmqNFdDU?si=g2GKGY_SoX7a8riI" TargetMode="External"/><Relationship Id="rId97" Type="http://schemas.openxmlformats.org/officeDocument/2006/relationships/hyperlink" Target="https://youtu.be/_uUhQLUqF9o?si=zkLllbLz20mPpSWd" TargetMode="External"/><Relationship Id="rId96" Type="http://schemas.openxmlformats.org/officeDocument/2006/relationships/hyperlink" Target="https://youtu.be/EqTNRii6LRA?si=BoWMWGFUQR_fKfMq" TargetMode="External"/><Relationship Id="rId99" Type="http://schemas.openxmlformats.org/officeDocument/2006/relationships/hyperlink" Target="https://youtu.be/zszwh_XJs5M?si=irqlQt2EIcjQYFt3" TargetMode="External"/><Relationship Id="rId98" Type="http://schemas.openxmlformats.org/officeDocument/2006/relationships/hyperlink" Target="https://youtu.be/K0eXpE1OjI4?si=ec8it5caCnSHhXYC" TargetMode="External"/><Relationship Id="rId91" Type="http://schemas.openxmlformats.org/officeDocument/2006/relationships/hyperlink" Target="https://youtu.be/UO3FZgiq2Ac?si=0YCrn8GS7gpQAdev" TargetMode="External"/><Relationship Id="rId90" Type="http://schemas.openxmlformats.org/officeDocument/2006/relationships/hyperlink" Target="https://youtu.be/qINe_MlOKz0?si=cCOfoQ2J-2MFab1c" TargetMode="External"/><Relationship Id="rId93" Type="http://schemas.openxmlformats.org/officeDocument/2006/relationships/hyperlink" Target="https://youtu.be/9OnY_SGgwtA?si=OrzpCFohdq_MVKHe" TargetMode="External"/><Relationship Id="rId92" Type="http://schemas.openxmlformats.org/officeDocument/2006/relationships/hyperlink" Target="https://youtu.be/OHMVGrHhoYs?si=LKgVaOV_dNKevFLX" TargetMode="External"/><Relationship Id="rId118" Type="http://schemas.openxmlformats.org/officeDocument/2006/relationships/hyperlink" Target="https://youtu.be/wH3rLKhhw30?si=ITxaWFwbNc2Yy0Er" TargetMode="External"/><Relationship Id="rId117" Type="http://schemas.openxmlformats.org/officeDocument/2006/relationships/hyperlink" Target="https://youtu.be/1UHjnQRMvIE?si=1iTxJM6Q5C76HnIZ" TargetMode="External"/><Relationship Id="rId359" Type="http://schemas.openxmlformats.org/officeDocument/2006/relationships/hyperlink" Target="https://www.youtube.com/watch?v=yV1dYi3HoGY" TargetMode="External"/><Relationship Id="rId116" Type="http://schemas.openxmlformats.org/officeDocument/2006/relationships/hyperlink" Target="https://youtu.be/Pk8odDzE-Ps?si=_7dQkUGxcOg3H4An" TargetMode="External"/><Relationship Id="rId358" Type="http://schemas.openxmlformats.org/officeDocument/2006/relationships/hyperlink" Target="https://www.youtube.com/watch?v=BkXDu8L0d9M" TargetMode="External"/><Relationship Id="rId115" Type="http://schemas.openxmlformats.org/officeDocument/2006/relationships/hyperlink" Target="https://youtu.be/oTg3QBVYFSc?si=C4yWmmafrmuJD9G9" TargetMode="External"/><Relationship Id="rId357" Type="http://schemas.openxmlformats.org/officeDocument/2006/relationships/hyperlink" Target="https://www.youtube.com/watch?v=VF3SYl0udts" TargetMode="External"/><Relationship Id="rId599" Type="http://schemas.openxmlformats.org/officeDocument/2006/relationships/hyperlink" Target="https://youtu.be/lp7gAzKvl0M?si=iBmHOEFrmfOVXz3-" TargetMode="External"/><Relationship Id="rId119" Type="http://schemas.openxmlformats.org/officeDocument/2006/relationships/hyperlink" Target="https://youtu.be/g2fHVAOtUdg?si=17AyqKRnxU10mDNr" TargetMode="External"/><Relationship Id="rId110" Type="http://schemas.openxmlformats.org/officeDocument/2006/relationships/hyperlink" Target="https://youtu.be/VOQusm9-1NI?si=9juVaLU-R6JFxHyL" TargetMode="External"/><Relationship Id="rId352" Type="http://schemas.openxmlformats.org/officeDocument/2006/relationships/hyperlink" Target="https://youtu.be/HIgqgVocOrQ?si=72wfp44GK04le573" TargetMode="External"/><Relationship Id="rId594" Type="http://schemas.openxmlformats.org/officeDocument/2006/relationships/hyperlink" Target="https://youtu.be/wXuIa6OFOCE?si=hHhQOseCa8iHREAs" TargetMode="External"/><Relationship Id="rId351" Type="http://schemas.openxmlformats.org/officeDocument/2006/relationships/hyperlink" Target="https://youtu.be/JXCU8PInAYA?si=7j9GW3a0GiQM7TKc" TargetMode="External"/><Relationship Id="rId593" Type="http://schemas.openxmlformats.org/officeDocument/2006/relationships/hyperlink" Target="https://youtu.be/dDGGVpQUrOo?si=rY2K_JCaWJ3zlj1A" TargetMode="External"/><Relationship Id="rId350" Type="http://schemas.openxmlformats.org/officeDocument/2006/relationships/hyperlink" Target="https://youtu.be/s0mqOz3F6qQ?si=ohhzsVt2k7mU9q9N" TargetMode="External"/><Relationship Id="rId592" Type="http://schemas.openxmlformats.org/officeDocument/2006/relationships/hyperlink" Target="https://youtu.be/88X-qa4P3Iw?si=ZZlr37VDzze98m_P" TargetMode="External"/><Relationship Id="rId591" Type="http://schemas.openxmlformats.org/officeDocument/2006/relationships/hyperlink" Target="https://youtu.be/HjR6o_TiPfA?si=wXax3HnMHmM5WNfA" TargetMode="External"/><Relationship Id="rId114" Type="http://schemas.openxmlformats.org/officeDocument/2006/relationships/hyperlink" Target="https://youtu.be/ZYQITiocNfk?si=kQ2M2GQciy3KVVuJ" TargetMode="External"/><Relationship Id="rId356" Type="http://schemas.openxmlformats.org/officeDocument/2006/relationships/hyperlink" Target="https://youtu.be/C2vMvlJlYDg?si=K8c4O5fW-sTEnVyw" TargetMode="External"/><Relationship Id="rId598" Type="http://schemas.openxmlformats.org/officeDocument/2006/relationships/hyperlink" Target="https://youtu.be/DJCXKGC1FuM?si=kjy4hKNXDypBazXZ" TargetMode="External"/><Relationship Id="rId113" Type="http://schemas.openxmlformats.org/officeDocument/2006/relationships/hyperlink" Target="https://youtu.be/t9WAREKVaW0?si=jmePA_e4SJQbhMNh" TargetMode="External"/><Relationship Id="rId355" Type="http://schemas.openxmlformats.org/officeDocument/2006/relationships/hyperlink" Target="https://www.youtube.com/watch?v=9WZX8lSyGSw" TargetMode="External"/><Relationship Id="rId597" Type="http://schemas.openxmlformats.org/officeDocument/2006/relationships/hyperlink" Target="https://youtu.be/QxtUT8fUOS8?si=brVf736Jp4b1f7gj" TargetMode="External"/><Relationship Id="rId112" Type="http://schemas.openxmlformats.org/officeDocument/2006/relationships/hyperlink" Target="https://youtu.be/W01XQbLWL0A?si=yYXCYs1FPxM6xGKw" TargetMode="External"/><Relationship Id="rId354" Type="http://schemas.openxmlformats.org/officeDocument/2006/relationships/hyperlink" Target="https://www.youtube.com/watch?v=p1WHScB-Bx8" TargetMode="External"/><Relationship Id="rId596" Type="http://schemas.openxmlformats.org/officeDocument/2006/relationships/hyperlink" Target="https://youtu.be/eNKpNu9Ja8g?si=liKJmu92QvfV7nxF" TargetMode="External"/><Relationship Id="rId111" Type="http://schemas.openxmlformats.org/officeDocument/2006/relationships/hyperlink" Target="https://youtu.be/ksfYVfh-mBk?si=Nao0Jl1yRIOKY0vh" TargetMode="External"/><Relationship Id="rId353" Type="http://schemas.openxmlformats.org/officeDocument/2006/relationships/hyperlink" Target="https://youtu.be/1JlKvzPVFJY?si=QnMJiteQIcxlS0pl" TargetMode="External"/><Relationship Id="rId595" Type="http://schemas.openxmlformats.org/officeDocument/2006/relationships/hyperlink" Target="https://youtu.be/P4UwqxAnWZs?si=csc9fSBiN4ikmDrO" TargetMode="External"/><Relationship Id="rId305" Type="http://schemas.openxmlformats.org/officeDocument/2006/relationships/hyperlink" Target="https://youtu.be/Z2uGa1rKzBE?si=5_qwnlcj4DzDEAId" TargetMode="External"/><Relationship Id="rId547" Type="http://schemas.openxmlformats.org/officeDocument/2006/relationships/hyperlink" Target="https://www.youtube.com/watch?v=JHgsGsozAl0&amp;list=PLQHNKf9B6MduhBXoGjU3vRVMy5hNPAQ4W" TargetMode="External"/><Relationship Id="rId789" Type="http://schemas.openxmlformats.org/officeDocument/2006/relationships/hyperlink" Target="https://youtu.be/FnhrRwJFUHE?si=bgc84JEcEUXLNeAr" TargetMode="External"/><Relationship Id="rId304" Type="http://schemas.openxmlformats.org/officeDocument/2006/relationships/hyperlink" Target="https://youtu.be/HMi-k1wo2oc?si=SYgvAvTmzhIiNz1T" TargetMode="External"/><Relationship Id="rId546" Type="http://schemas.openxmlformats.org/officeDocument/2006/relationships/hyperlink" Target="https://youtu.be/PQ7QxpvLo9M?si=bgYZjeSWMXGJv8ux" TargetMode="External"/><Relationship Id="rId788" Type="http://schemas.openxmlformats.org/officeDocument/2006/relationships/hyperlink" Target="https://youtu.be/4VQLic50xKc?si=DbkcKgzdMltq7t9x" TargetMode="External"/><Relationship Id="rId303" Type="http://schemas.openxmlformats.org/officeDocument/2006/relationships/hyperlink" Target="https://youtu.be/M8YD0P8vtHQ?si=Hnt4atkyCZfckdsu" TargetMode="External"/><Relationship Id="rId545" Type="http://schemas.openxmlformats.org/officeDocument/2006/relationships/hyperlink" Target="https://youtu.be/C8owHKOWTQE?si=MrhZxheSTjT3-3e4" TargetMode="External"/><Relationship Id="rId787" Type="http://schemas.openxmlformats.org/officeDocument/2006/relationships/hyperlink" Target="https://youtu.be/fOWsJEXA7Mo?si=2GDcMz52ieSJoKwn" TargetMode="External"/><Relationship Id="rId302" Type="http://schemas.openxmlformats.org/officeDocument/2006/relationships/hyperlink" Target="https://youtu.be/Q6O5KrywLVo?si=coA_Zvqv3ILioUIY" TargetMode="External"/><Relationship Id="rId544" Type="http://schemas.openxmlformats.org/officeDocument/2006/relationships/hyperlink" Target="https://youtu.be/32GqvgRfGn8?si=yeoj5zggaDo76CfO" TargetMode="External"/><Relationship Id="rId786" Type="http://schemas.openxmlformats.org/officeDocument/2006/relationships/hyperlink" Target="https://youtu.be/2FOFWWkV0GQ?si=LgMakfsn_snw8BZn" TargetMode="External"/><Relationship Id="rId309" Type="http://schemas.openxmlformats.org/officeDocument/2006/relationships/hyperlink" Target="https://youtu.be/g82xMt2hcTk?si=gqWJB00dMaW5w-Qo" TargetMode="External"/><Relationship Id="rId308" Type="http://schemas.openxmlformats.org/officeDocument/2006/relationships/hyperlink" Target="https://youtu.be/U2ZC4fvqgGE?si=WfVMJdjDMlrTHbAd" TargetMode="External"/><Relationship Id="rId307" Type="http://schemas.openxmlformats.org/officeDocument/2006/relationships/hyperlink" Target="https://youtu.be/FwMxgPVAz80?si=Z4tTIhQBMyztl482" TargetMode="External"/><Relationship Id="rId549" Type="http://schemas.openxmlformats.org/officeDocument/2006/relationships/hyperlink" Target="https://youtu.be/8vR550wUJno?si=1_3NXlPfiYDN5mwv" TargetMode="External"/><Relationship Id="rId306" Type="http://schemas.openxmlformats.org/officeDocument/2006/relationships/hyperlink" Target="https://youtu.be/NoMzkUml-EA?si=eCCgYS4m655QXwX_" TargetMode="External"/><Relationship Id="rId548" Type="http://schemas.openxmlformats.org/officeDocument/2006/relationships/hyperlink" Target="https://youtu.be/vdemybLmpss?si=L0MX205FcBc9I8lP" TargetMode="External"/><Relationship Id="rId781" Type="http://schemas.openxmlformats.org/officeDocument/2006/relationships/hyperlink" Target="https://youtu.be/VruwVMXDUOM?si=dkLx6ghDJR6Y_PNU" TargetMode="External"/><Relationship Id="rId780" Type="http://schemas.openxmlformats.org/officeDocument/2006/relationships/hyperlink" Target="https://youtu.be/RF__Jlrnv90?si=FbrF1KGVptGn01Xq" TargetMode="External"/><Relationship Id="rId301" Type="http://schemas.openxmlformats.org/officeDocument/2006/relationships/hyperlink" Target="https://youtu.be/yEMFA82tMv8?si=dk9Eh3NNiRCM3ZeI" TargetMode="External"/><Relationship Id="rId543" Type="http://schemas.openxmlformats.org/officeDocument/2006/relationships/hyperlink" Target="https://youtu.be/49hTmBpJ-vc?si=ZlcVWrTHDeR4I66j" TargetMode="External"/><Relationship Id="rId785" Type="http://schemas.openxmlformats.org/officeDocument/2006/relationships/hyperlink" Target="https://youtu.be/wioUZhifTs4?si=_tuOe1GgU9vhLUMd" TargetMode="External"/><Relationship Id="rId300" Type="http://schemas.openxmlformats.org/officeDocument/2006/relationships/hyperlink" Target="https://youtu.be/oGzz3ERRyj8?si=Pk_i9VYTiIB-MV5j" TargetMode="External"/><Relationship Id="rId542" Type="http://schemas.openxmlformats.org/officeDocument/2006/relationships/hyperlink" Target="https://youtu.be/W8gri1p51Qk?si=NMVY4xzwasJgyOpt" TargetMode="External"/><Relationship Id="rId784" Type="http://schemas.openxmlformats.org/officeDocument/2006/relationships/hyperlink" Target="https://youtu.be/HvKl33WjuDk?si=jzh_32t1CmIQZrZ1" TargetMode="External"/><Relationship Id="rId541" Type="http://schemas.openxmlformats.org/officeDocument/2006/relationships/hyperlink" Target="https://youtu.be/W3kCjgrStW8?si=zhId9Mgo0Kk4TtFn" TargetMode="External"/><Relationship Id="rId783" Type="http://schemas.openxmlformats.org/officeDocument/2006/relationships/hyperlink" Target="https://youtu.be/aRpCaJZlJ24?si=eLghjv9uTr02GZQ3" TargetMode="External"/><Relationship Id="rId540" Type="http://schemas.openxmlformats.org/officeDocument/2006/relationships/hyperlink" Target="https://youtu.be/BHeuhfWcqT0?si=M8fGDaWNdF6IY79D" TargetMode="External"/><Relationship Id="rId782" Type="http://schemas.openxmlformats.org/officeDocument/2006/relationships/hyperlink" Target="https://youtu.be/buR9Wlan6Qc?si=lpg2vZ3OKv16tmP9" TargetMode="External"/><Relationship Id="rId536" Type="http://schemas.openxmlformats.org/officeDocument/2006/relationships/hyperlink" Target="https://youtu.be/M2dIF09soQo?si=5sA8EdbiLal91aqv" TargetMode="External"/><Relationship Id="rId778" Type="http://schemas.openxmlformats.org/officeDocument/2006/relationships/hyperlink" Target="https://youtu.be/3Jiv_Q-wny8?si=PwSqPSQq4Ckwbxxz" TargetMode="External"/><Relationship Id="rId535" Type="http://schemas.openxmlformats.org/officeDocument/2006/relationships/hyperlink" Target="https://youtu.be/kjgRHd6FaAo?si=MNMATSY8gE_RtbOP" TargetMode="External"/><Relationship Id="rId777" Type="http://schemas.openxmlformats.org/officeDocument/2006/relationships/hyperlink" Target="https://youtu.be/5D08LXU-aDU?si=h4sve1TllTrszn9Y" TargetMode="External"/><Relationship Id="rId534" Type="http://schemas.openxmlformats.org/officeDocument/2006/relationships/hyperlink" Target="https://youtu.be/1hWAOReJehw?si=MW-vx8ec70nko1r5" TargetMode="External"/><Relationship Id="rId776" Type="http://schemas.openxmlformats.org/officeDocument/2006/relationships/hyperlink" Target="https://youtu.be/DC0f_J2QEss?si=DDBK1BMjNZDckiVW" TargetMode="External"/><Relationship Id="rId533" Type="http://schemas.openxmlformats.org/officeDocument/2006/relationships/hyperlink" Target="https://youtu.be/bv6Q9G9w0VA?si=Ua945j5qFh3L9rH0" TargetMode="External"/><Relationship Id="rId775" Type="http://schemas.openxmlformats.org/officeDocument/2006/relationships/hyperlink" Target="https://youtu.be/4YLTWkamwlY?si=GWodCqta-XxrEkC1" TargetMode="External"/><Relationship Id="rId539" Type="http://schemas.openxmlformats.org/officeDocument/2006/relationships/hyperlink" Target="https://youtu.be/Y5whMoPfE9s?si=GMjKGIPQPF6RqF3S" TargetMode="External"/><Relationship Id="rId538" Type="http://schemas.openxmlformats.org/officeDocument/2006/relationships/hyperlink" Target="https://youtu.be/9z_QhSnekHE?si=cPnCxMHoK9edJAS_" TargetMode="External"/><Relationship Id="rId537" Type="http://schemas.openxmlformats.org/officeDocument/2006/relationships/hyperlink" Target="https://youtu.be/7yFnaXK2fNE?si=Cmd2iIF5XONqqDxt" TargetMode="External"/><Relationship Id="rId779" Type="http://schemas.openxmlformats.org/officeDocument/2006/relationships/hyperlink" Target="https://youtu.be/avRJACXZz6U?si=EEJ7gqG09BopTSAG" TargetMode="External"/><Relationship Id="rId770" Type="http://schemas.openxmlformats.org/officeDocument/2006/relationships/hyperlink" Target="https://youtu.be/LhJ1BWRuU9o?si=a1uvjdXo-bK0gfXF" TargetMode="External"/><Relationship Id="rId532" Type="http://schemas.openxmlformats.org/officeDocument/2006/relationships/hyperlink" Target="https://youtu.be/Xvv5qpH_OT8?si=Zq6Hm3-667JWj6Kv" TargetMode="External"/><Relationship Id="rId774" Type="http://schemas.openxmlformats.org/officeDocument/2006/relationships/hyperlink" Target="https://youtu.be/S1jPTnL-53g?si=GKjhilRNylfUgOai" TargetMode="External"/><Relationship Id="rId531" Type="http://schemas.openxmlformats.org/officeDocument/2006/relationships/hyperlink" Target="https://youtu.be/QwONU9X5c5c?si=gCUK52Cde6LNTL02" TargetMode="External"/><Relationship Id="rId773" Type="http://schemas.openxmlformats.org/officeDocument/2006/relationships/hyperlink" Target="https://youtu.be/6YUO34WHNcc?si=IeLd4SUrn4cMtbN5" TargetMode="External"/><Relationship Id="rId530" Type="http://schemas.openxmlformats.org/officeDocument/2006/relationships/hyperlink" Target="https://youtu.be/mvl0pOjzHXk?si=4JQ44b0f7BdVS0y7" TargetMode="External"/><Relationship Id="rId772" Type="http://schemas.openxmlformats.org/officeDocument/2006/relationships/hyperlink" Target="https://youtu.be/TcMCe4U0Bi8?si=NR4BCuNUzu9d0G5c" TargetMode="External"/><Relationship Id="rId771" Type="http://schemas.openxmlformats.org/officeDocument/2006/relationships/hyperlink" Target="https://youtu.be/d2oPNmsBZyo?si=SERx_5bb9jfCWZZ5" TargetMode="External"/><Relationship Id="rId327" Type="http://schemas.openxmlformats.org/officeDocument/2006/relationships/hyperlink" Target="https://www.youtube.com/watch?v=RqVxvpfJ_xQ" TargetMode="External"/><Relationship Id="rId569" Type="http://schemas.openxmlformats.org/officeDocument/2006/relationships/hyperlink" Target="https://youtu.be/ZiM72z7aPiQ?si=JNos2ySGrSV_GMki" TargetMode="External"/><Relationship Id="rId326" Type="http://schemas.openxmlformats.org/officeDocument/2006/relationships/hyperlink" Target="https://www.youtube.com/watch?v=L63G-Rme0Q0" TargetMode="External"/><Relationship Id="rId568" Type="http://schemas.openxmlformats.org/officeDocument/2006/relationships/hyperlink" Target="https://youtu.be/VDDoGt2UM84?si=BMxcBLmcSGS9iz79" TargetMode="External"/><Relationship Id="rId325" Type="http://schemas.openxmlformats.org/officeDocument/2006/relationships/hyperlink" Target="https://www.youtube.com/watch?v=fHW1-8JOFy8" TargetMode="External"/><Relationship Id="rId567" Type="http://schemas.openxmlformats.org/officeDocument/2006/relationships/hyperlink" Target="https://youtu.be/BwIyLj7VpQ0?si=_W5DXikSIyc_AuKV" TargetMode="External"/><Relationship Id="rId324" Type="http://schemas.openxmlformats.org/officeDocument/2006/relationships/hyperlink" Target="https://www.youtube.com/watch?v=4tV4Y56wQlE" TargetMode="External"/><Relationship Id="rId566" Type="http://schemas.openxmlformats.org/officeDocument/2006/relationships/hyperlink" Target="https://youtu.be/G0V0q_yA49U?si=6AOMjvVNrVq76p_9" TargetMode="External"/><Relationship Id="rId329" Type="http://schemas.openxmlformats.org/officeDocument/2006/relationships/hyperlink" Target="https://youtu.be/neWuw5NQblM?si=rNwyRW6nlgjBvfIw" TargetMode="External"/><Relationship Id="rId328" Type="http://schemas.openxmlformats.org/officeDocument/2006/relationships/hyperlink" Target="https://www.youtube.com/watch?v=bygJfvOBzTM" TargetMode="External"/><Relationship Id="rId561" Type="http://schemas.openxmlformats.org/officeDocument/2006/relationships/hyperlink" Target="https://youtu.be/YkJkwqJE0fU?si=1dmeuwBZ6ICKgTha" TargetMode="External"/><Relationship Id="rId560" Type="http://schemas.openxmlformats.org/officeDocument/2006/relationships/hyperlink" Target="https://youtu.be/uMY_ECALRTU?si=04LjJP9gO3VtMQha" TargetMode="External"/><Relationship Id="rId323" Type="http://schemas.openxmlformats.org/officeDocument/2006/relationships/hyperlink" Target="https://www.youtube.com/watch?v=HFXhK2RScvU" TargetMode="External"/><Relationship Id="rId565" Type="http://schemas.openxmlformats.org/officeDocument/2006/relationships/hyperlink" Target="https://youtu.be/jXHmB-wZDX0?si=khuYIUo8sxhGwa0b" TargetMode="External"/><Relationship Id="rId322" Type="http://schemas.openxmlformats.org/officeDocument/2006/relationships/hyperlink" Target="https://www.youtube.com/watch?v=YvGWTBZRsjE" TargetMode="External"/><Relationship Id="rId564" Type="http://schemas.openxmlformats.org/officeDocument/2006/relationships/hyperlink" Target="https://youtu.be/xxAGsZzI7So?si=-s2bsG6H89aXZnqf" TargetMode="External"/><Relationship Id="rId321" Type="http://schemas.openxmlformats.org/officeDocument/2006/relationships/hyperlink" Target="https://www.youtube.com/watch?v=PWp9pIXAetw" TargetMode="External"/><Relationship Id="rId563" Type="http://schemas.openxmlformats.org/officeDocument/2006/relationships/hyperlink" Target="https://youtu.be/Crwj1Ze2T-A?si=4Q6jL3E4uEXadm-8" TargetMode="External"/><Relationship Id="rId320" Type="http://schemas.openxmlformats.org/officeDocument/2006/relationships/hyperlink" Target="https://youtu.be/Vh2SFMP2U0U?si=1LyXsBYI08K7dXNE" TargetMode="External"/><Relationship Id="rId562" Type="http://schemas.openxmlformats.org/officeDocument/2006/relationships/hyperlink" Target="https://youtu.be/M77-d0UISmw?si=NL8R7Yio1cJylyxc" TargetMode="External"/><Relationship Id="rId316" Type="http://schemas.openxmlformats.org/officeDocument/2006/relationships/hyperlink" Target="https://www.youtube.com/watch?v=2fTQ6C8h4xc" TargetMode="External"/><Relationship Id="rId558" Type="http://schemas.openxmlformats.org/officeDocument/2006/relationships/hyperlink" Target="https://youtu.be/3R0olDTS9wI?si=2FXvf17F_Tw3v-92" TargetMode="External"/><Relationship Id="rId315" Type="http://schemas.openxmlformats.org/officeDocument/2006/relationships/hyperlink" Target="https://www.youtube.com/watch?v=O1CTD93OOTc" TargetMode="External"/><Relationship Id="rId557" Type="http://schemas.openxmlformats.org/officeDocument/2006/relationships/hyperlink" Target="https://youtu.be/JZnPFOH5vUg?si=4Y__JrNqlmY-ORkF" TargetMode="External"/><Relationship Id="rId799" Type="http://schemas.openxmlformats.org/officeDocument/2006/relationships/hyperlink" Target="https://youtu.be/D9HT06jcZXI?si=D3fdG_uHQho9-H4E" TargetMode="External"/><Relationship Id="rId314" Type="http://schemas.openxmlformats.org/officeDocument/2006/relationships/hyperlink" Target="https://youtu.be/WbuoINNvoQ0?si=46G_jm5FaG0hge8h" TargetMode="External"/><Relationship Id="rId556" Type="http://schemas.openxmlformats.org/officeDocument/2006/relationships/hyperlink" Target="https://youtu.be/H7LqH8jWBJ4?si=tLx8-YjjA2muSYAd" TargetMode="External"/><Relationship Id="rId798" Type="http://schemas.openxmlformats.org/officeDocument/2006/relationships/hyperlink" Target="https://youtu.be/hD9Z0YdRZvg?si=bTQ9ztW9Di1fgFP1" TargetMode="External"/><Relationship Id="rId313" Type="http://schemas.openxmlformats.org/officeDocument/2006/relationships/hyperlink" Target="https://youtu.be/WMCN-cd1DpE?si=cN8V4FxhsXPDCmbj" TargetMode="External"/><Relationship Id="rId555" Type="http://schemas.openxmlformats.org/officeDocument/2006/relationships/hyperlink" Target="https://youtu.be/meSCEMoeJx8?si=wlZHgmS72vimremt" TargetMode="External"/><Relationship Id="rId797" Type="http://schemas.openxmlformats.org/officeDocument/2006/relationships/hyperlink" Target="https://www.youtube.com/watch?v=tsYSUJ1HCGI" TargetMode="External"/><Relationship Id="rId319" Type="http://schemas.openxmlformats.org/officeDocument/2006/relationships/hyperlink" Target="https://youtu.be/JnnXfprWPkg?si=iVZNPX4X6czGUvwg" TargetMode="External"/><Relationship Id="rId318" Type="http://schemas.openxmlformats.org/officeDocument/2006/relationships/hyperlink" Target="https://youtu.be/cb3Nx3L1Qck?si=ExJKX13lRfspnooY" TargetMode="External"/><Relationship Id="rId317" Type="http://schemas.openxmlformats.org/officeDocument/2006/relationships/hyperlink" Target="https://www.youtube.com/watch?v=Y0nyfGmTsL4" TargetMode="External"/><Relationship Id="rId559" Type="http://schemas.openxmlformats.org/officeDocument/2006/relationships/hyperlink" Target="https://youtu.be/7jPOwDapXiI?si=Mrrq3MUpShKFYCmP" TargetMode="External"/><Relationship Id="rId550" Type="http://schemas.openxmlformats.org/officeDocument/2006/relationships/hyperlink" Target="https://youtu.be/7nUARP2jpOs?si=DnR5eVWNRaB1aWRG" TargetMode="External"/><Relationship Id="rId792" Type="http://schemas.openxmlformats.org/officeDocument/2006/relationships/hyperlink" Target="https://youtu.be/mRnjvQBzhqA?si=OHDH2cxyWa4OHu8B" TargetMode="External"/><Relationship Id="rId791" Type="http://schemas.openxmlformats.org/officeDocument/2006/relationships/hyperlink" Target="https://youtu.be/OXOh4xiZYo4?si=Gb2ekmwKJdsD92mA" TargetMode="External"/><Relationship Id="rId790" Type="http://schemas.openxmlformats.org/officeDocument/2006/relationships/hyperlink" Target="https://youtu.be/l4I7XyxDJVY?si=Fb_8xlxwb4tHJGF-" TargetMode="External"/><Relationship Id="rId312" Type="http://schemas.openxmlformats.org/officeDocument/2006/relationships/hyperlink" Target="https://youtu.be/Qqqb1gQHXQk?si=ADfczjC6mkCY175Y" TargetMode="External"/><Relationship Id="rId554" Type="http://schemas.openxmlformats.org/officeDocument/2006/relationships/hyperlink" Target="https://youtu.be/DTzLBeo676Q?si=bmGeJAmtI6s__PIm" TargetMode="External"/><Relationship Id="rId796" Type="http://schemas.openxmlformats.org/officeDocument/2006/relationships/hyperlink" Target="https://youtu.be/Wa1DThe3dxA?si=DVikzGrL5sd-P78V" TargetMode="External"/><Relationship Id="rId311" Type="http://schemas.openxmlformats.org/officeDocument/2006/relationships/hyperlink" Target="https://youtu.be/eLek0SU9MUg?si=8tifU8mlcd9mqHes" TargetMode="External"/><Relationship Id="rId553" Type="http://schemas.openxmlformats.org/officeDocument/2006/relationships/hyperlink" Target="https://youtu.be/8cjbNwvgtCU?si=7tfuET4z9tTEmNKP" TargetMode="External"/><Relationship Id="rId795" Type="http://schemas.openxmlformats.org/officeDocument/2006/relationships/hyperlink" Target="https://youtu.be/gsMdALrFPM0?si=xouTHaA2t2vun3DM" TargetMode="External"/><Relationship Id="rId310" Type="http://schemas.openxmlformats.org/officeDocument/2006/relationships/hyperlink" Target="https://www.youtube.com/watch?v=2eWFDV00gIw" TargetMode="External"/><Relationship Id="rId552" Type="http://schemas.openxmlformats.org/officeDocument/2006/relationships/hyperlink" Target="https://youtu.be/MRNkYR9xtFU?si=lKHxQw4gjTpSslfW" TargetMode="External"/><Relationship Id="rId794" Type="http://schemas.openxmlformats.org/officeDocument/2006/relationships/hyperlink" Target="https://youtu.be/BIuyueI0QYM?si=cKFuwtBngX4RosCr" TargetMode="External"/><Relationship Id="rId551" Type="http://schemas.openxmlformats.org/officeDocument/2006/relationships/hyperlink" Target="https://youtu.be/ADGzWbZzElw?si=BWGk-GXNXd8BWukA" TargetMode="External"/><Relationship Id="rId793" Type="http://schemas.openxmlformats.org/officeDocument/2006/relationships/hyperlink" Target="https://youtu.be/xB3lTXgk2dE?si=GjWE9zuR_i3fzhei" TargetMode="External"/><Relationship Id="rId297" Type="http://schemas.openxmlformats.org/officeDocument/2006/relationships/hyperlink" Target="https://youtu.be/7tdkWTR0jTs?si=8mHDHTLd7GEC1zau" TargetMode="External"/><Relationship Id="rId296" Type="http://schemas.openxmlformats.org/officeDocument/2006/relationships/hyperlink" Target="https://youtu.be/7k_mH9gKBic?si=KaaR0N5bVOjJMS6p" TargetMode="External"/><Relationship Id="rId295" Type="http://schemas.openxmlformats.org/officeDocument/2006/relationships/hyperlink" Target="https://youtu.be/wPXQmdZH7Ew?si=IX6g7b-HrCXZeTvq" TargetMode="External"/><Relationship Id="rId294" Type="http://schemas.openxmlformats.org/officeDocument/2006/relationships/hyperlink" Target="https://youtu.be/dTbY0FdrmLU?si=9E-PWBrVvh_z54PV" TargetMode="External"/><Relationship Id="rId299" Type="http://schemas.openxmlformats.org/officeDocument/2006/relationships/hyperlink" Target="https://youtu.be/NUnGBfxwE54?si=LdUP8jd4ELQpWXhH" TargetMode="External"/><Relationship Id="rId298" Type="http://schemas.openxmlformats.org/officeDocument/2006/relationships/hyperlink" Target="https://youtu.be/W8PnzbWG2UU?si=MONZP8yo9avpyXai" TargetMode="External"/><Relationship Id="rId271" Type="http://schemas.openxmlformats.org/officeDocument/2006/relationships/hyperlink" Target="https://youtu.be/bo4wSpAa1iY?si=kk1-ctkr1cW---r-" TargetMode="External"/><Relationship Id="rId270" Type="http://schemas.openxmlformats.org/officeDocument/2006/relationships/hyperlink" Target="https://youtu.be/cm-sFotvxJA?si=9I_E33NVctJpQxka" TargetMode="External"/><Relationship Id="rId269" Type="http://schemas.openxmlformats.org/officeDocument/2006/relationships/hyperlink" Target="https://youtu.be/_g0KzKlu_mE?si=Rk_C0ccbpEIZRcd9" TargetMode="External"/><Relationship Id="rId264" Type="http://schemas.openxmlformats.org/officeDocument/2006/relationships/hyperlink" Target="https://youtu.be/qghEFd3hPq4?si=ueN1nH_hcYsC_00I" TargetMode="External"/><Relationship Id="rId263" Type="http://schemas.openxmlformats.org/officeDocument/2006/relationships/hyperlink" Target="https://youtu.be/ji_65YOSXNg?si=-oq2UN9GVpcgiOYP" TargetMode="External"/><Relationship Id="rId262" Type="http://schemas.openxmlformats.org/officeDocument/2006/relationships/hyperlink" Target="https://youtu.be/5IXJc_4Ecik?si=TzckKxJFW__lwO8u" TargetMode="External"/><Relationship Id="rId261" Type="http://schemas.openxmlformats.org/officeDocument/2006/relationships/hyperlink" Target="https://youtu.be/OWsqT8FvPW8?si=u49_AmLFvhvb5W6P" TargetMode="External"/><Relationship Id="rId268" Type="http://schemas.openxmlformats.org/officeDocument/2006/relationships/hyperlink" Target="https://youtu.be/ZE8eoA8Z7Sc?si=Je4jdsST5LoLWQTz" TargetMode="External"/><Relationship Id="rId267" Type="http://schemas.openxmlformats.org/officeDocument/2006/relationships/hyperlink" Target="https://youtu.be/M3Pf6fRus1U?si=YZLsPRD-ZQ22bKa5" TargetMode="External"/><Relationship Id="rId266" Type="http://schemas.openxmlformats.org/officeDocument/2006/relationships/hyperlink" Target="https://youtu.be/Mshi-7hfKJM?si=rDb-VwRUC70-302u" TargetMode="External"/><Relationship Id="rId265" Type="http://schemas.openxmlformats.org/officeDocument/2006/relationships/hyperlink" Target="https://youtu.be/m7eULGoGmUE?si=a6ahs86SUi_8t-N7" TargetMode="External"/><Relationship Id="rId260" Type="http://schemas.openxmlformats.org/officeDocument/2006/relationships/hyperlink" Target="https://youtu.be/w68H93Gd5s8?si=NNkZb7E_dY2HakC_" TargetMode="External"/><Relationship Id="rId259" Type="http://schemas.openxmlformats.org/officeDocument/2006/relationships/hyperlink" Target="https://youtu.be/gM1TNiKTkpQ?si=S5xft1Ej3pcnDwMX" TargetMode="External"/><Relationship Id="rId258" Type="http://schemas.openxmlformats.org/officeDocument/2006/relationships/hyperlink" Target="https://youtu.be/AjHzJOwl2kY?si=isjJPFvTzZQ_tSJP" TargetMode="External"/><Relationship Id="rId253" Type="http://schemas.openxmlformats.org/officeDocument/2006/relationships/hyperlink" Target="https://www.youtube.com/@FirstEditionArtsChannel" TargetMode="External"/><Relationship Id="rId495" Type="http://schemas.openxmlformats.org/officeDocument/2006/relationships/hyperlink" Target="https://youtu.be/Ie4Jwmzt8qU?si=GoUYr-zfrcA27IRy" TargetMode="External"/><Relationship Id="rId252" Type="http://schemas.openxmlformats.org/officeDocument/2006/relationships/hyperlink" Target="https://youtu.be/oqIlHxoI7s4?si=MlocAwpn-YhLQj2k" TargetMode="External"/><Relationship Id="rId494" Type="http://schemas.openxmlformats.org/officeDocument/2006/relationships/hyperlink" Target="https://youtu.be/YjmAX7rqpNY?si=4NkVrspa-fW7hm8w" TargetMode="External"/><Relationship Id="rId251" Type="http://schemas.openxmlformats.org/officeDocument/2006/relationships/hyperlink" Target="https://youtu.be/vFdUHWpbscU?si=Rn5RinmHpHspvpcc" TargetMode="External"/><Relationship Id="rId493" Type="http://schemas.openxmlformats.org/officeDocument/2006/relationships/hyperlink" Target="https://youtu.be/w8wsO4t3jK0?si=gWPNQYIGgQecOShy" TargetMode="External"/><Relationship Id="rId250" Type="http://schemas.openxmlformats.org/officeDocument/2006/relationships/hyperlink" Target="https://youtu.be/mQMauYtuBwM?si=1Oi_XmMZ72UjM974" TargetMode="External"/><Relationship Id="rId492" Type="http://schemas.openxmlformats.org/officeDocument/2006/relationships/hyperlink" Target="https://youtu.be/oX8UKKBB4RI?si=GnawHFnuDVBU_jXj" TargetMode="External"/><Relationship Id="rId257" Type="http://schemas.openxmlformats.org/officeDocument/2006/relationships/hyperlink" Target="https://youtu.be/YXI1rXrLKzU?si=N5er406VhvJrL1Eo" TargetMode="External"/><Relationship Id="rId499" Type="http://schemas.openxmlformats.org/officeDocument/2006/relationships/hyperlink" Target="https://www.youtube.com/watch?v=yDeA4nvda3Q" TargetMode="External"/><Relationship Id="rId256" Type="http://schemas.openxmlformats.org/officeDocument/2006/relationships/hyperlink" Target="https://youtu.be/zQ5QP52lrrc?si=4J8ycEi2kX75Uj5a" TargetMode="External"/><Relationship Id="rId498" Type="http://schemas.openxmlformats.org/officeDocument/2006/relationships/hyperlink" Target="https://www.youtube.com/watch?v=e-g-GESCe20" TargetMode="External"/><Relationship Id="rId255" Type="http://schemas.openxmlformats.org/officeDocument/2006/relationships/hyperlink" Target="https://youtu.be/rxpHNzo_FgU?si=GHtWvstIgegzV19o" TargetMode="External"/><Relationship Id="rId497" Type="http://schemas.openxmlformats.org/officeDocument/2006/relationships/hyperlink" Target="https://www.youtube.com/watch?v=emKJ5_cMEHk" TargetMode="External"/><Relationship Id="rId254" Type="http://schemas.openxmlformats.org/officeDocument/2006/relationships/hyperlink" Target="https://youtu.be/Pc-X5ltv_wY?si=dCyqA35wtzBJ2e98" TargetMode="External"/><Relationship Id="rId496" Type="http://schemas.openxmlformats.org/officeDocument/2006/relationships/hyperlink" Target="https://youtu.be/TndC4jTr2Xk?si=VRwn6zyDp8HpOc3-" TargetMode="External"/><Relationship Id="rId293" Type="http://schemas.openxmlformats.org/officeDocument/2006/relationships/hyperlink" Target="https://youtu.be/2l4gq0C0SPM?si=ydNewf0T9wz5ip1W" TargetMode="External"/><Relationship Id="rId292" Type="http://schemas.openxmlformats.org/officeDocument/2006/relationships/hyperlink" Target="https://youtu.be/PdWenqMtpas?si=Lyj02F1t2Tx7_9fh" TargetMode="External"/><Relationship Id="rId291" Type="http://schemas.openxmlformats.org/officeDocument/2006/relationships/hyperlink" Target="https://youtu.be/X5GXomDTrBg?si=GdZN0FJnEKbmcj7l" TargetMode="External"/><Relationship Id="rId290" Type="http://schemas.openxmlformats.org/officeDocument/2006/relationships/hyperlink" Target="https://youtu.be/uSsgvmvijUM?si=gbI_7gzrEFgo5bha" TargetMode="External"/><Relationship Id="rId286" Type="http://schemas.openxmlformats.org/officeDocument/2006/relationships/hyperlink" Target="https://youtu.be/9a4ydru4K88?si=1YDSKD1zcrJE-aFr" TargetMode="External"/><Relationship Id="rId285" Type="http://schemas.openxmlformats.org/officeDocument/2006/relationships/hyperlink" Target="https://youtu.be/-zIm1sK1m7w?si=PKHg4Sxkk0Qu_hbr" TargetMode="External"/><Relationship Id="rId284" Type="http://schemas.openxmlformats.org/officeDocument/2006/relationships/hyperlink" Target="https://youtu.be/4tIxcWz8ofY?si=jzsFXM375-DVv0V2" TargetMode="External"/><Relationship Id="rId283" Type="http://schemas.openxmlformats.org/officeDocument/2006/relationships/hyperlink" Target="https://youtu.be/ka0DZJSb5Dw?si=V8b2Yo6MGQQqtiO0" TargetMode="External"/><Relationship Id="rId289" Type="http://schemas.openxmlformats.org/officeDocument/2006/relationships/hyperlink" Target="https://youtu.be/ZXrkENWHbT8?si=6rRCTtK8S2yiblxG" TargetMode="External"/><Relationship Id="rId288" Type="http://schemas.openxmlformats.org/officeDocument/2006/relationships/hyperlink" Target="https://youtu.be/BL8FDnJMkjo?si=Q7xYR7tqILFb9BNi" TargetMode="External"/><Relationship Id="rId287" Type="http://schemas.openxmlformats.org/officeDocument/2006/relationships/hyperlink" Target="https://youtu.be/2yUiHcp01cQ?si=yy5pUEd9SJ2mHEYE" TargetMode="External"/><Relationship Id="rId282" Type="http://schemas.openxmlformats.org/officeDocument/2006/relationships/hyperlink" Target="https://youtu.be/wS_iCHZTsc4?si=HMRvPU-QEOPtCrY7" TargetMode="External"/><Relationship Id="rId281" Type="http://schemas.openxmlformats.org/officeDocument/2006/relationships/hyperlink" Target="https://youtu.be/5WPJ3WxBRds?si=unXxJ8qaGAx5M0sV" TargetMode="External"/><Relationship Id="rId280" Type="http://schemas.openxmlformats.org/officeDocument/2006/relationships/hyperlink" Target="https://youtu.be/PrrOhka-qHc?si=jpKMtNR2obpfyWPZ" TargetMode="External"/><Relationship Id="rId275" Type="http://schemas.openxmlformats.org/officeDocument/2006/relationships/hyperlink" Target="https://youtu.be/LXLyEPU77CM?si=W0nvz_6BsqJTHBwY" TargetMode="External"/><Relationship Id="rId274" Type="http://schemas.openxmlformats.org/officeDocument/2006/relationships/hyperlink" Target="https://youtu.be/jE-VBSOvmDE?si=-PLQoff3WVIoeAGV" TargetMode="External"/><Relationship Id="rId273" Type="http://schemas.openxmlformats.org/officeDocument/2006/relationships/hyperlink" Target="https://youtu.be/qUDGh5g2qko?si=-9GV9bSTkFGKLPtt" TargetMode="External"/><Relationship Id="rId272" Type="http://schemas.openxmlformats.org/officeDocument/2006/relationships/hyperlink" Target="https://youtu.be/vyUIYk8Rwj4?si=Nv-CmbC7fMZ_DHYi" TargetMode="External"/><Relationship Id="rId279" Type="http://schemas.openxmlformats.org/officeDocument/2006/relationships/hyperlink" Target="https://youtu.be/DlL1rmoDSI8?si=XUBdx8Ki3YItfFgB" TargetMode="External"/><Relationship Id="rId278" Type="http://schemas.openxmlformats.org/officeDocument/2006/relationships/hyperlink" Target="https://youtu.be/UCd62tLKkWc?si=GtmDR3e92s6UkHLv" TargetMode="External"/><Relationship Id="rId277" Type="http://schemas.openxmlformats.org/officeDocument/2006/relationships/hyperlink" Target="https://youtu.be/S5VRlnJzdEI?si=euEUT61kutRZdMv4" TargetMode="External"/><Relationship Id="rId276" Type="http://schemas.openxmlformats.org/officeDocument/2006/relationships/hyperlink" Target="https://youtu.be/_hmFArybf28?si=h0Y6Y_-DlN_8XmZD" TargetMode="External"/><Relationship Id="rId629" Type="http://schemas.openxmlformats.org/officeDocument/2006/relationships/hyperlink" Target="https://youtu.be/LFP4Ff23gZ4?si=EVQQe0sYBniMx0Tu" TargetMode="External"/><Relationship Id="rId624" Type="http://schemas.openxmlformats.org/officeDocument/2006/relationships/hyperlink" Target="https://youtu.be/B_sCkyPfkmY?si=aEEpfhi3FrlkEklE" TargetMode="External"/><Relationship Id="rId623" Type="http://schemas.openxmlformats.org/officeDocument/2006/relationships/hyperlink" Target="https://youtu.be/jondMRB3VRQ?si=3hCzs1Fxb083b8uj" TargetMode="External"/><Relationship Id="rId622" Type="http://schemas.openxmlformats.org/officeDocument/2006/relationships/hyperlink" Target="https://youtu.be/8XRxGdO475E?si=3cPHlUc2FteWqrD8" TargetMode="External"/><Relationship Id="rId621" Type="http://schemas.openxmlformats.org/officeDocument/2006/relationships/hyperlink" Target="https://youtu.be/d4o5hfzkXcw?si=q0jaD5fQhOOMkVvj" TargetMode="External"/><Relationship Id="rId628" Type="http://schemas.openxmlformats.org/officeDocument/2006/relationships/hyperlink" Target="https://youtu.be/oAzl-jkUJdE?si=9GQKLPy1RINlo1Yq" TargetMode="External"/><Relationship Id="rId627" Type="http://schemas.openxmlformats.org/officeDocument/2006/relationships/hyperlink" Target="https://youtu.be/r335-qG--fE?si=ho_-gWHctsoz4n80" TargetMode="External"/><Relationship Id="rId626" Type="http://schemas.openxmlformats.org/officeDocument/2006/relationships/hyperlink" Target="https://youtu.be/mSfbe2swHuU?si=4lcuDaIbfIblb_OT" TargetMode="External"/><Relationship Id="rId625" Type="http://schemas.openxmlformats.org/officeDocument/2006/relationships/hyperlink" Target="https://youtu.be/VYVzqMyeiDg?si=3Oztl3PoconWAMuL" TargetMode="External"/><Relationship Id="rId620" Type="http://schemas.openxmlformats.org/officeDocument/2006/relationships/hyperlink" Target="https://youtu.be/TtePkZkSL-0?si=fEi8UZm4qyRJpT70" TargetMode="External"/><Relationship Id="rId619" Type="http://schemas.openxmlformats.org/officeDocument/2006/relationships/hyperlink" Target="https://youtu.be/lxVz0J9ilvU?si=ILuEMIDz5hUg9Gyc" TargetMode="External"/><Relationship Id="rId618" Type="http://schemas.openxmlformats.org/officeDocument/2006/relationships/hyperlink" Target="https://youtu.be/c6A6g8NlroM?si=tlQpit1A54F2Ia_M" TargetMode="External"/><Relationship Id="rId613" Type="http://schemas.openxmlformats.org/officeDocument/2006/relationships/hyperlink" Target="https://youtu.be/HjiBHC7Q8kM?si=xa-eQR3ch08DBmA3" TargetMode="External"/><Relationship Id="rId612" Type="http://schemas.openxmlformats.org/officeDocument/2006/relationships/hyperlink" Target="https://youtu.be/VD12iexjVqU?si=01MON3NdR2jJ71cm" TargetMode="External"/><Relationship Id="rId611" Type="http://schemas.openxmlformats.org/officeDocument/2006/relationships/hyperlink" Target="https://youtu.be/_qyGPiXBfwc?si=qo1_sU0UfBKB8mVs" TargetMode="External"/><Relationship Id="rId610" Type="http://schemas.openxmlformats.org/officeDocument/2006/relationships/hyperlink" Target="https://youtu.be/xfrdURs549g?si=pzEXMAuCVG0xALVH" TargetMode="External"/><Relationship Id="rId617" Type="http://schemas.openxmlformats.org/officeDocument/2006/relationships/hyperlink" Target="https://youtu.be/1KpPthHsjMo?si=b2FJxFNhQEGat-Vo" TargetMode="External"/><Relationship Id="rId616" Type="http://schemas.openxmlformats.org/officeDocument/2006/relationships/hyperlink" Target="https://youtu.be/ql3j5vHVhtY?si=zcllrXi7Jk-8YM4U" TargetMode="External"/><Relationship Id="rId615" Type="http://schemas.openxmlformats.org/officeDocument/2006/relationships/hyperlink" Target="https://youtu.be/_zpODC7mWNc?si=un2f0kK_XsOq0dD7" TargetMode="External"/><Relationship Id="rId614" Type="http://schemas.openxmlformats.org/officeDocument/2006/relationships/hyperlink" Target="https://youtu.be/OGEqncJNu5o?si=2AsNAUBXm6FMEDVd" TargetMode="External"/><Relationship Id="rId409" Type="http://schemas.openxmlformats.org/officeDocument/2006/relationships/hyperlink" Target="https://youtu.be/feWqgGAQ2Hs?si=zRBHRMTP3-T4EZDk" TargetMode="External"/><Relationship Id="rId404" Type="http://schemas.openxmlformats.org/officeDocument/2006/relationships/hyperlink" Target="https://youtu.be/ncL5lc-pszQ?si=RdqC_YBZ4__vmbPc" TargetMode="External"/><Relationship Id="rId646" Type="http://schemas.openxmlformats.org/officeDocument/2006/relationships/hyperlink" Target="https://youtu.be/D1mTLI1ogXo?si=I6PYyAh4kwXFO_7j" TargetMode="External"/><Relationship Id="rId403" Type="http://schemas.openxmlformats.org/officeDocument/2006/relationships/hyperlink" Target="https://youtu.be/FdWEI-RvScU?si=cM-ktoowy0ch6BaW" TargetMode="External"/><Relationship Id="rId645" Type="http://schemas.openxmlformats.org/officeDocument/2006/relationships/hyperlink" Target="https://youtu.be/kpauR4kKF8Q?si=86f337uZD5K42vAs" TargetMode="External"/><Relationship Id="rId402" Type="http://schemas.openxmlformats.org/officeDocument/2006/relationships/hyperlink" Target="https://youtu.be/PdBnw8lfK8A?si=ur3ZPpZRg6dllpYT" TargetMode="External"/><Relationship Id="rId644" Type="http://schemas.openxmlformats.org/officeDocument/2006/relationships/hyperlink" Target="https://youtu.be/LWg2hUVYAcE?si=iuALMg8qVhpdfb8x" TargetMode="External"/><Relationship Id="rId401" Type="http://schemas.openxmlformats.org/officeDocument/2006/relationships/hyperlink" Target="https://youtu.be/2g11f-P5sHA?si=qTT6jJEhODxhLV3E" TargetMode="External"/><Relationship Id="rId643" Type="http://schemas.openxmlformats.org/officeDocument/2006/relationships/hyperlink" Target="https://youtu.be/kL0QJ_MV1H0?si=J5c8Op_Eu_3KdJCi" TargetMode="External"/><Relationship Id="rId408" Type="http://schemas.openxmlformats.org/officeDocument/2006/relationships/hyperlink" Target="https://youtu.be/LsXkq3Bc16E?si=RhMUuztcYOYVBtBW" TargetMode="External"/><Relationship Id="rId407" Type="http://schemas.openxmlformats.org/officeDocument/2006/relationships/hyperlink" Target="https://youtu.be/5WKd7zXf1wg?si=tHUz3B9n4Mj0aOwM" TargetMode="External"/><Relationship Id="rId649" Type="http://schemas.openxmlformats.org/officeDocument/2006/relationships/hyperlink" Target="https://youtu.be/I8D-Cf51K6A?si=sPWt2QJ1ttx2j6I5" TargetMode="External"/><Relationship Id="rId406" Type="http://schemas.openxmlformats.org/officeDocument/2006/relationships/hyperlink" Target="https://youtu.be/cYtARn9x0NI?si=lC8O_hEmHy0QWe3t" TargetMode="External"/><Relationship Id="rId648" Type="http://schemas.openxmlformats.org/officeDocument/2006/relationships/hyperlink" Target="https://youtu.be/QnUxbihBh8Q?si=3i3cBkxqnKgJy5IN" TargetMode="External"/><Relationship Id="rId405" Type="http://schemas.openxmlformats.org/officeDocument/2006/relationships/hyperlink" Target="https://youtu.be/ZNxorE2hZn0?si=Xfr5iSTT2bhfgUSm" TargetMode="External"/><Relationship Id="rId647" Type="http://schemas.openxmlformats.org/officeDocument/2006/relationships/hyperlink" Target="https://youtu.be/VuziFHmr9hc?si=KpIVFq1xs_-pGYmI" TargetMode="External"/><Relationship Id="rId400" Type="http://schemas.openxmlformats.org/officeDocument/2006/relationships/hyperlink" Target="https://youtu.be/zDh0kHAVBcQ?si=WGvL_kdsmiFvj6sb" TargetMode="External"/><Relationship Id="rId642" Type="http://schemas.openxmlformats.org/officeDocument/2006/relationships/hyperlink" Target="https://youtu.be/2_-o72eMxR0?si=Z0JUE3gm-6dAjokj" TargetMode="External"/><Relationship Id="rId641" Type="http://schemas.openxmlformats.org/officeDocument/2006/relationships/hyperlink" Target="https://youtu.be/aNfZVeAO6dQ?si=mtn4yDhds3L6MXxG" TargetMode="External"/><Relationship Id="rId640" Type="http://schemas.openxmlformats.org/officeDocument/2006/relationships/hyperlink" Target="https://youtu.be/NvHsJPCPK3Q?si=TYaRklEpYmw2xH2-" TargetMode="External"/><Relationship Id="rId635" Type="http://schemas.openxmlformats.org/officeDocument/2006/relationships/hyperlink" Target="https://youtu.be/MHL0wzLYrzQ?si=oQTSWi5W3ZrvoTwM" TargetMode="External"/><Relationship Id="rId634" Type="http://schemas.openxmlformats.org/officeDocument/2006/relationships/hyperlink" Target="https://youtu.be/LVgVPrnTyJY?si=piIoVJfLbK_OP8UE" TargetMode="External"/><Relationship Id="rId633" Type="http://schemas.openxmlformats.org/officeDocument/2006/relationships/hyperlink" Target="https://youtu.be/Xi3xlZyCqQQ?si=1oxKS5nPeaE6_nCv" TargetMode="External"/><Relationship Id="rId632" Type="http://schemas.openxmlformats.org/officeDocument/2006/relationships/hyperlink" Target="https://youtu.be/enUqv-HZcLE?si=_nNfrfC-f-DMgtjx" TargetMode="External"/><Relationship Id="rId639" Type="http://schemas.openxmlformats.org/officeDocument/2006/relationships/hyperlink" Target="https://youtu.be/DWLFnfaOL3s?si=Oclq8CXyzTwgy2CG" TargetMode="External"/><Relationship Id="rId638" Type="http://schemas.openxmlformats.org/officeDocument/2006/relationships/hyperlink" Target="https://youtu.be/hA3A2xW9G0c?si=P6FOGzPIqhfIbVMt" TargetMode="External"/><Relationship Id="rId637" Type="http://schemas.openxmlformats.org/officeDocument/2006/relationships/hyperlink" Target="https://youtu.be/AfEL3Fy61_Y?si=S79O3kBEI94SQrxI" TargetMode="External"/><Relationship Id="rId636" Type="http://schemas.openxmlformats.org/officeDocument/2006/relationships/hyperlink" Target="https://youtu.be/CFAfu1gQ08Q?si=Ms6OVEHuv_ce8YEp" TargetMode="External"/><Relationship Id="rId631" Type="http://schemas.openxmlformats.org/officeDocument/2006/relationships/hyperlink" Target="https://youtu.be/WhuzYxmaPlc?si=qZlQUhpQmAooM5UC" TargetMode="External"/><Relationship Id="rId630" Type="http://schemas.openxmlformats.org/officeDocument/2006/relationships/hyperlink" Target="https://youtu.be/TY1T7KrvNX4?si=9ybyxBkPH4Ucfeys" TargetMode="External"/><Relationship Id="rId609" Type="http://schemas.openxmlformats.org/officeDocument/2006/relationships/hyperlink" Target="https://youtu.be/tIC9MSf0O_c?si=d0D8l1rQtdWG2DPJ" TargetMode="External"/><Relationship Id="rId608" Type="http://schemas.openxmlformats.org/officeDocument/2006/relationships/hyperlink" Target="https://youtu.be/vWjjooBAFz8?si=9ESQ1ra3aOmc-P-0" TargetMode="External"/><Relationship Id="rId607" Type="http://schemas.openxmlformats.org/officeDocument/2006/relationships/hyperlink" Target="https://youtu.be/_XuJvTUNeRU?si=RLLV5HsB0jkihO8M" TargetMode="External"/><Relationship Id="rId602" Type="http://schemas.openxmlformats.org/officeDocument/2006/relationships/hyperlink" Target="https://youtu.be/jZp1dmcwV3s?si=h3maQ8sf4FRY6DLL" TargetMode="External"/><Relationship Id="rId601" Type="http://schemas.openxmlformats.org/officeDocument/2006/relationships/hyperlink" Target="https://youtu.be/ZMNOeX9UALk?si=XIcBOjqoN-dKnnr_" TargetMode="External"/><Relationship Id="rId600" Type="http://schemas.openxmlformats.org/officeDocument/2006/relationships/hyperlink" Target="https://youtu.be/fFdAR6znIlY?si=KsiZ9U60uWg_pLGA" TargetMode="External"/><Relationship Id="rId606" Type="http://schemas.openxmlformats.org/officeDocument/2006/relationships/hyperlink" Target="https://youtu.be/SpvSt1q-VoU?si=EnHscuIK2tctkQnS" TargetMode="External"/><Relationship Id="rId605" Type="http://schemas.openxmlformats.org/officeDocument/2006/relationships/hyperlink" Target="https://youtu.be/smQYC1aARjA?si=or4y46qH9Tb8Xqm6" TargetMode="External"/><Relationship Id="rId604" Type="http://schemas.openxmlformats.org/officeDocument/2006/relationships/hyperlink" Target="https://youtu.be/b4axavWSFoo?si=HNOkmys0bUm5_Xc-" TargetMode="External"/><Relationship Id="rId603" Type="http://schemas.openxmlformats.org/officeDocument/2006/relationships/hyperlink" Target="https://youtu.be/ZwkjYAAsfKc?si=KgvettoULf_LTcqY" TargetMode="External"/><Relationship Id="rId228" Type="http://schemas.openxmlformats.org/officeDocument/2006/relationships/hyperlink" Target="https://youtu.be/ybqhHmwMADI?si=q1qLNkYm9WpIEcAe" TargetMode="External"/><Relationship Id="rId227" Type="http://schemas.openxmlformats.org/officeDocument/2006/relationships/hyperlink" Target="https://youtu.be/wvkQweUvkQI?si=NJmSK2jhWstTnQT9" TargetMode="External"/><Relationship Id="rId469" Type="http://schemas.openxmlformats.org/officeDocument/2006/relationships/hyperlink" Target="https://youtu.be/DerC0YmGft4?si=xJrcru3JiudaIvgN" TargetMode="External"/><Relationship Id="rId226" Type="http://schemas.openxmlformats.org/officeDocument/2006/relationships/hyperlink" Target="https://youtu.be/f1CRp6kCyZQ?si=hzIiS5FdETF7_VF1" TargetMode="External"/><Relationship Id="rId468" Type="http://schemas.openxmlformats.org/officeDocument/2006/relationships/hyperlink" Target="https://youtu.be/VdostKXHFpo?si=u30Iy34GTvBbUpS5" TargetMode="External"/><Relationship Id="rId225" Type="http://schemas.openxmlformats.org/officeDocument/2006/relationships/hyperlink" Target="https://youtu.be/gR7yqkEzQxI?si=sQ1QnYNwOS9YrGg7" TargetMode="External"/><Relationship Id="rId467" Type="http://schemas.openxmlformats.org/officeDocument/2006/relationships/hyperlink" Target="https://youtu.be/1WpuANyTX1s?si=-JrbVbNF3XNM5sPi" TargetMode="External"/><Relationship Id="rId229" Type="http://schemas.openxmlformats.org/officeDocument/2006/relationships/hyperlink" Target="https://youtu.be/20AL-bG4q6Y?si=TGAG12irt0unRsLs" TargetMode="External"/><Relationship Id="rId220" Type="http://schemas.openxmlformats.org/officeDocument/2006/relationships/hyperlink" Target="https://youtu.be/XfbTpq6cDTk?si=_87VBbQ6KLlQOc4Z" TargetMode="External"/><Relationship Id="rId462" Type="http://schemas.openxmlformats.org/officeDocument/2006/relationships/hyperlink" Target="https://youtu.be/k-RfFGPFUOQ?si=8sjZ45XV_f1NBxjf" TargetMode="External"/><Relationship Id="rId461" Type="http://schemas.openxmlformats.org/officeDocument/2006/relationships/hyperlink" Target="https://youtu.be/SprppaO9GYY?si=SwZLg6b6yVeSXMty" TargetMode="External"/><Relationship Id="rId460" Type="http://schemas.openxmlformats.org/officeDocument/2006/relationships/hyperlink" Target="https://youtu.be/KtmyOUEDpXA?si=wQUlaV84CPC6XFyg" TargetMode="External"/><Relationship Id="rId224" Type="http://schemas.openxmlformats.org/officeDocument/2006/relationships/hyperlink" Target="https://youtu.be/KzZVMsqhU-o?si=vtFNSNvGAeFv0v07" TargetMode="External"/><Relationship Id="rId466" Type="http://schemas.openxmlformats.org/officeDocument/2006/relationships/hyperlink" Target="https://youtu.be/vxGSeCi72nE?si=jGnP3hiWIMYz0XMY" TargetMode="External"/><Relationship Id="rId223" Type="http://schemas.openxmlformats.org/officeDocument/2006/relationships/hyperlink" Target="https://youtu.be/rTEHQJ5ld6E?si=0TgLTC1-ErN16wt2" TargetMode="External"/><Relationship Id="rId465" Type="http://schemas.openxmlformats.org/officeDocument/2006/relationships/hyperlink" Target="https://youtu.be/YZujnbeOaO8?si=TKCOs8zIAj2fdU1t" TargetMode="External"/><Relationship Id="rId222" Type="http://schemas.openxmlformats.org/officeDocument/2006/relationships/hyperlink" Target="https://youtu.be/I4FTKvoVWl8?si=hpFkmIvAGRYfx3pf" TargetMode="External"/><Relationship Id="rId464" Type="http://schemas.openxmlformats.org/officeDocument/2006/relationships/hyperlink" Target="https://youtu.be/1s35FHQlESY?si=dVbegNokUS1u9MbB" TargetMode="External"/><Relationship Id="rId221" Type="http://schemas.openxmlformats.org/officeDocument/2006/relationships/hyperlink" Target="https://youtu.be/3Cj14wrWHqw?si=7wXsmm5YDqlCGkIG" TargetMode="External"/><Relationship Id="rId463" Type="http://schemas.openxmlformats.org/officeDocument/2006/relationships/hyperlink" Target="https://youtu.be/CN48HtVdgVU?si=T3E56S3CVSVu5aQ5" TargetMode="External"/><Relationship Id="rId217" Type="http://schemas.openxmlformats.org/officeDocument/2006/relationships/hyperlink" Target="https://youtu.be/VUjQ__gqBJc?si=H4wiHfU2wBXy9vdb" TargetMode="External"/><Relationship Id="rId459" Type="http://schemas.openxmlformats.org/officeDocument/2006/relationships/hyperlink" Target="https://youtu.be/PV15vohXgG0?si=JhnYi21vmpgjqcE8" TargetMode="External"/><Relationship Id="rId216" Type="http://schemas.openxmlformats.org/officeDocument/2006/relationships/hyperlink" Target="https://youtu.be/MlFkMRnPk_Q?si=h1CPwWQ_vWYYr5u1" TargetMode="External"/><Relationship Id="rId458" Type="http://schemas.openxmlformats.org/officeDocument/2006/relationships/hyperlink" Target="https://youtu.be/s83Fj8SEs-k?si=S1wYHvrY0U5TMb_1" TargetMode="External"/><Relationship Id="rId215" Type="http://schemas.openxmlformats.org/officeDocument/2006/relationships/hyperlink" Target="https://youtu.be/wRVar1lhzL8?si=1Oho3ZL6-g_aZpsz" TargetMode="External"/><Relationship Id="rId457" Type="http://schemas.openxmlformats.org/officeDocument/2006/relationships/hyperlink" Target="https://youtu.be/_zMinS2c9qA?si=N_z1Nw-l-D_PaKu-" TargetMode="External"/><Relationship Id="rId699" Type="http://schemas.openxmlformats.org/officeDocument/2006/relationships/hyperlink" Target="https://youtu.be/SIjGNm0EbHw?si=lIP2YGB8uRM3X4Zm" TargetMode="External"/><Relationship Id="rId214" Type="http://schemas.openxmlformats.org/officeDocument/2006/relationships/hyperlink" Target="https://youtu.be/VzoKlWVcGIg?si=ZoZMQbl_gimA1RYR" TargetMode="External"/><Relationship Id="rId456" Type="http://schemas.openxmlformats.org/officeDocument/2006/relationships/hyperlink" Target="https://youtu.be/zV1IG1SepqA?si=dSrF3_Td_2MvB7Nf" TargetMode="External"/><Relationship Id="rId698" Type="http://schemas.openxmlformats.org/officeDocument/2006/relationships/hyperlink" Target="https://youtu.be/92hWGOeZupE?si=G2UMgX8gUZakdeYN" TargetMode="External"/><Relationship Id="rId219" Type="http://schemas.openxmlformats.org/officeDocument/2006/relationships/hyperlink" Target="https://youtu.be/K7H-ptuxlr8?si=P_efCm5kyB74TOuy" TargetMode="External"/><Relationship Id="rId218" Type="http://schemas.openxmlformats.org/officeDocument/2006/relationships/hyperlink" Target="https://youtu.be/2Z2ALPvXIig?si=7tTwdkacifpWw33V" TargetMode="External"/><Relationship Id="rId451" Type="http://schemas.openxmlformats.org/officeDocument/2006/relationships/hyperlink" Target="https://youtu.be/_Uge3_CKQNU?si=V8TagcTjHv6hcGXX" TargetMode="External"/><Relationship Id="rId693" Type="http://schemas.openxmlformats.org/officeDocument/2006/relationships/hyperlink" Target="https://youtu.be/N5IMMOFrgv4?si=GZKu0AeMdWJ_WDfo" TargetMode="External"/><Relationship Id="rId450" Type="http://schemas.openxmlformats.org/officeDocument/2006/relationships/hyperlink" Target="https://youtu.be/KEygiM7E8yU?si=rgaMA9Oup0U3Hrbq" TargetMode="External"/><Relationship Id="rId692" Type="http://schemas.openxmlformats.org/officeDocument/2006/relationships/hyperlink" Target="https://youtu.be/ECWzL8LIFQw?si=JsEUdVbH4WabCXKJ" TargetMode="External"/><Relationship Id="rId691" Type="http://schemas.openxmlformats.org/officeDocument/2006/relationships/hyperlink" Target="https://youtu.be/O92sdlDyd0Q?si=gmhDKaXX2CFfkCgw" TargetMode="External"/><Relationship Id="rId690" Type="http://schemas.openxmlformats.org/officeDocument/2006/relationships/hyperlink" Target="https://youtu.be/LZ2oLN7AsGo?si=pARmYffsWUrZzexM" TargetMode="External"/><Relationship Id="rId213" Type="http://schemas.openxmlformats.org/officeDocument/2006/relationships/hyperlink" Target="https://youtu.be/05MaWBpkNvE?si=roQEa-Psq9XfPh1r" TargetMode="External"/><Relationship Id="rId455" Type="http://schemas.openxmlformats.org/officeDocument/2006/relationships/hyperlink" Target="https://youtu.be/bRdrbdPif8E?si=FJv-Ui_g28iRZC4b" TargetMode="External"/><Relationship Id="rId697" Type="http://schemas.openxmlformats.org/officeDocument/2006/relationships/hyperlink" Target="https://youtu.be/-BOgoqt2eZ0?si=FvRRXS4WG867NZSr" TargetMode="External"/><Relationship Id="rId212" Type="http://schemas.openxmlformats.org/officeDocument/2006/relationships/hyperlink" Target="https://youtu.be/Km0WC0ISX20?si=-5VDsnbKBJmgxmq_" TargetMode="External"/><Relationship Id="rId454" Type="http://schemas.openxmlformats.org/officeDocument/2006/relationships/hyperlink" Target="https://youtu.be/J-wt2snhhQc?si=RSF1xoxsW9umiUyu" TargetMode="External"/><Relationship Id="rId696" Type="http://schemas.openxmlformats.org/officeDocument/2006/relationships/hyperlink" Target="https://www.youtube.com/watch?v=vua6dQrJEkQ" TargetMode="External"/><Relationship Id="rId211" Type="http://schemas.openxmlformats.org/officeDocument/2006/relationships/hyperlink" Target="https://youtu.be/tLYfXjPsPq4?si=VtaZ7Uv2Di9Q0UpM" TargetMode="External"/><Relationship Id="rId453" Type="http://schemas.openxmlformats.org/officeDocument/2006/relationships/hyperlink" Target="https://youtu.be/i051DNFnd68?si=w52mBivLcEBilrbA" TargetMode="External"/><Relationship Id="rId695" Type="http://schemas.openxmlformats.org/officeDocument/2006/relationships/hyperlink" Target="https://youtu.be/J0SkzPaOgwc?si=ygqtG1_Kz56dwYlz" TargetMode="External"/><Relationship Id="rId210" Type="http://schemas.openxmlformats.org/officeDocument/2006/relationships/hyperlink" Target="https://youtu.be/PKUO-nqbABg?si=uLVj6vFWIDukUMyf" TargetMode="External"/><Relationship Id="rId452" Type="http://schemas.openxmlformats.org/officeDocument/2006/relationships/hyperlink" Target="https://youtu.be/5r0mq_paPxg?si=P3En2mMtLq6rRCl_" TargetMode="External"/><Relationship Id="rId694" Type="http://schemas.openxmlformats.org/officeDocument/2006/relationships/hyperlink" Target="https://youtu.be/v9tlvBywXOo?si=mvOHOq2F3DlmVAos" TargetMode="External"/><Relationship Id="rId491" Type="http://schemas.openxmlformats.org/officeDocument/2006/relationships/hyperlink" Target="https://youtu.be/bKQ2L8-qYDo?si=ZqUnnDaSUoCxtCz4" TargetMode="External"/><Relationship Id="rId490" Type="http://schemas.openxmlformats.org/officeDocument/2006/relationships/hyperlink" Target="https://youtu.be/XOMKtR3hPm8?si=x4Z4zPuyxx25X8MD" TargetMode="External"/><Relationship Id="rId249" Type="http://schemas.openxmlformats.org/officeDocument/2006/relationships/hyperlink" Target="https://youtu.be/bE1LEFfzMv0?si=d2yZ2ZrQ1E8qhTAr" TargetMode="External"/><Relationship Id="rId248" Type="http://schemas.openxmlformats.org/officeDocument/2006/relationships/hyperlink" Target="https://youtu.be/OctxFgBlXPw?si=_iO1WwhiPapat3cm" TargetMode="External"/><Relationship Id="rId247" Type="http://schemas.openxmlformats.org/officeDocument/2006/relationships/hyperlink" Target="https://youtu.be/c4BL5zyM0XA?si=KS5h_X3ywyLCcZrT" TargetMode="External"/><Relationship Id="rId489" Type="http://schemas.openxmlformats.org/officeDocument/2006/relationships/hyperlink" Target="https://youtu.be/arubSKCfNBA?si=muCe0Ywrqbg_LX8s" TargetMode="External"/><Relationship Id="rId242" Type="http://schemas.openxmlformats.org/officeDocument/2006/relationships/hyperlink" Target="https://youtu.be/aprAWoTtVy8?si=ckJxGbV1ljv329Wo" TargetMode="External"/><Relationship Id="rId484" Type="http://schemas.openxmlformats.org/officeDocument/2006/relationships/hyperlink" Target="https://youtu.be/2Yzi_PWuxLg?si=WDVl4IoAPG93WwWg" TargetMode="External"/><Relationship Id="rId241" Type="http://schemas.openxmlformats.org/officeDocument/2006/relationships/hyperlink" Target="https://youtu.be/YIEnyayjl-w?si=EfNgzEKpM2-bfg-h" TargetMode="External"/><Relationship Id="rId483" Type="http://schemas.openxmlformats.org/officeDocument/2006/relationships/hyperlink" Target="https://youtu.be/aWZdiCjtXC8?si=ZpgODbMQXcbkLN2E" TargetMode="External"/><Relationship Id="rId240" Type="http://schemas.openxmlformats.org/officeDocument/2006/relationships/hyperlink" Target="https://youtu.be/a2V7Bm1gPWQ?si=k2BEf-G3jnacIPEy" TargetMode="External"/><Relationship Id="rId482" Type="http://schemas.openxmlformats.org/officeDocument/2006/relationships/hyperlink" Target="https://youtu.be/zgdS5mnaSRU?si=UpE86_OfVaPYeAb5" TargetMode="External"/><Relationship Id="rId481" Type="http://schemas.openxmlformats.org/officeDocument/2006/relationships/hyperlink" Target="https://youtu.be/GZ3ihpi690I?si=BxnMHVSmei8vilGB" TargetMode="External"/><Relationship Id="rId246" Type="http://schemas.openxmlformats.org/officeDocument/2006/relationships/hyperlink" Target="https://youtu.be/_qqF_-KpxtY?si=0mROpPRBNCoGwRYo" TargetMode="External"/><Relationship Id="rId488" Type="http://schemas.openxmlformats.org/officeDocument/2006/relationships/hyperlink" Target="https://youtu.be/xhXRCYx_b_c?si=c0UCid5NWFvTNE-B" TargetMode="External"/><Relationship Id="rId245" Type="http://schemas.openxmlformats.org/officeDocument/2006/relationships/hyperlink" Target="https://youtu.be/szgaHp_wYN4?si=r4honytk5mfTVUtN" TargetMode="External"/><Relationship Id="rId487" Type="http://schemas.openxmlformats.org/officeDocument/2006/relationships/hyperlink" Target="https://youtu.be/T7RXhwh6lTc?si=f3ZnjazQd9kdQ9Ms" TargetMode="External"/><Relationship Id="rId244" Type="http://schemas.openxmlformats.org/officeDocument/2006/relationships/hyperlink" Target="https://youtu.be/t3nXcAPO_Us?si=7IgQe7hEt1g_T-AO" TargetMode="External"/><Relationship Id="rId486" Type="http://schemas.openxmlformats.org/officeDocument/2006/relationships/hyperlink" Target="https://youtu.be/CYpjCJ1CRRk?si=NcU80oFY5Rn543Qd" TargetMode="External"/><Relationship Id="rId243" Type="http://schemas.openxmlformats.org/officeDocument/2006/relationships/hyperlink" Target="https://youtu.be/DGEV8Yui5VI?si=Za-1ew-2sZDF7BTG" TargetMode="External"/><Relationship Id="rId485" Type="http://schemas.openxmlformats.org/officeDocument/2006/relationships/hyperlink" Target="https://youtu.be/ZO19_pYASog?si=7AMGQRQ8IV-0bE7p" TargetMode="External"/><Relationship Id="rId480" Type="http://schemas.openxmlformats.org/officeDocument/2006/relationships/hyperlink" Target="https://youtu.be/VTOX-_ecLC4?si=iZmI34Ju1J_b06on" TargetMode="External"/><Relationship Id="rId239" Type="http://schemas.openxmlformats.org/officeDocument/2006/relationships/hyperlink" Target="https://youtu.be/QdI2DjLdoOs?si=WyXNi80i4MIL7AXd" TargetMode="External"/><Relationship Id="rId238" Type="http://schemas.openxmlformats.org/officeDocument/2006/relationships/hyperlink" Target="https://youtu.be/PEN-EeKGQk0?si=iMRPMqSNJnC5D1rj" TargetMode="External"/><Relationship Id="rId237" Type="http://schemas.openxmlformats.org/officeDocument/2006/relationships/hyperlink" Target="https://youtu.be/FrSCKDYet3s?si=uzp-mQYK-buywxeP" TargetMode="External"/><Relationship Id="rId479" Type="http://schemas.openxmlformats.org/officeDocument/2006/relationships/hyperlink" Target="https://youtu.be/F8Rlfm36dN8?si=HX1wMOa-ZVKSrnw4" TargetMode="External"/><Relationship Id="rId236" Type="http://schemas.openxmlformats.org/officeDocument/2006/relationships/hyperlink" Target="https://youtu.be/8Gh3J3bK0O8?si=j9VszrGjNvnR_SzY" TargetMode="External"/><Relationship Id="rId478" Type="http://schemas.openxmlformats.org/officeDocument/2006/relationships/hyperlink" Target="https://youtu.be/CTKBESpQVFY?si=PHyxC3oGIGaQYu3p" TargetMode="External"/><Relationship Id="rId231" Type="http://schemas.openxmlformats.org/officeDocument/2006/relationships/hyperlink" Target="https://youtu.be/dchgqcMKp7M?si=H1DuqOZccWrtH6BO" TargetMode="External"/><Relationship Id="rId473" Type="http://schemas.openxmlformats.org/officeDocument/2006/relationships/hyperlink" Target="https://youtu.be/kjUZzGNqm5g?si=nBtLwXsVo6EH33xt" TargetMode="External"/><Relationship Id="rId230" Type="http://schemas.openxmlformats.org/officeDocument/2006/relationships/hyperlink" Target="https://youtu.be/9YoXGh1s5KA?si=Fni-OfgM-Mixi9eA" TargetMode="External"/><Relationship Id="rId472" Type="http://schemas.openxmlformats.org/officeDocument/2006/relationships/hyperlink" Target="https://youtu.be/glqTRXkbRbc?si=ia5zimQE49UwOfaL" TargetMode="External"/><Relationship Id="rId471" Type="http://schemas.openxmlformats.org/officeDocument/2006/relationships/hyperlink" Target="https://youtu.be/ZqgW7I1tpkk?si=fyH16iE1t8aLgcxo" TargetMode="External"/><Relationship Id="rId470" Type="http://schemas.openxmlformats.org/officeDocument/2006/relationships/hyperlink" Target="https://youtu.be/1xv00HKtOcE?si=PZLyHciCSZHF3fsG" TargetMode="External"/><Relationship Id="rId235" Type="http://schemas.openxmlformats.org/officeDocument/2006/relationships/hyperlink" Target="https://youtu.be/3xptxMNlNhA?si=vSEM2FbZpk9NG_UN" TargetMode="External"/><Relationship Id="rId477" Type="http://schemas.openxmlformats.org/officeDocument/2006/relationships/hyperlink" Target="https://youtu.be/yFICh0o79bI?si=4bKaCSYB5L-LiRjL" TargetMode="External"/><Relationship Id="rId234" Type="http://schemas.openxmlformats.org/officeDocument/2006/relationships/hyperlink" Target="https://youtu.be/dmssVlsU9vg?si=F-niD-D8w5AcEMMa" TargetMode="External"/><Relationship Id="rId476" Type="http://schemas.openxmlformats.org/officeDocument/2006/relationships/hyperlink" Target="https://youtu.be/mtCHo-53QGQ?si=H-xlPF6hLFZCO2NQ" TargetMode="External"/><Relationship Id="rId233" Type="http://schemas.openxmlformats.org/officeDocument/2006/relationships/hyperlink" Target="https://youtu.be/WubrSEQG36Y?si=fVhaliTFaAoT6kHi" TargetMode="External"/><Relationship Id="rId475" Type="http://schemas.openxmlformats.org/officeDocument/2006/relationships/hyperlink" Target="https://youtu.be/nMo351735os?si=LSQwbSaeIUiv5wY-" TargetMode="External"/><Relationship Id="rId232" Type="http://schemas.openxmlformats.org/officeDocument/2006/relationships/hyperlink" Target="https://youtu.be/vApho8HCFh4?si=_-gBkKL45gxriXa2" TargetMode="External"/><Relationship Id="rId474" Type="http://schemas.openxmlformats.org/officeDocument/2006/relationships/hyperlink" Target="https://youtu.be/lH15Iv2uX2g?si=i2NqCsPtMV9VWvqE" TargetMode="External"/><Relationship Id="rId426" Type="http://schemas.openxmlformats.org/officeDocument/2006/relationships/hyperlink" Target="https://youtu.be/bv1erGwRCBw?si=MAQkBfbHu6nHvuaC" TargetMode="External"/><Relationship Id="rId668" Type="http://schemas.openxmlformats.org/officeDocument/2006/relationships/hyperlink" Target="https://youtu.be/UeDW6A1iYv4?si=R8kh630r8GfB1xge" TargetMode="External"/><Relationship Id="rId425" Type="http://schemas.openxmlformats.org/officeDocument/2006/relationships/hyperlink" Target="https://youtu.be/LdF8n5uRMZk?si=kI8xt4JE2ZdbhTbX" TargetMode="External"/><Relationship Id="rId667" Type="http://schemas.openxmlformats.org/officeDocument/2006/relationships/hyperlink" Target="https://youtu.be/WTwZRTTepTY?si=rzG43H8PolPj5F8B" TargetMode="External"/><Relationship Id="rId424" Type="http://schemas.openxmlformats.org/officeDocument/2006/relationships/hyperlink" Target="https://youtu.be/zNFHFMJktVU?si=9jlXI3nx4pezA6lC" TargetMode="External"/><Relationship Id="rId666" Type="http://schemas.openxmlformats.org/officeDocument/2006/relationships/hyperlink" Target="https://youtu.be/y5afu9af9yM?si=b6zwABd848zsTMPk" TargetMode="External"/><Relationship Id="rId423" Type="http://schemas.openxmlformats.org/officeDocument/2006/relationships/hyperlink" Target="https://youtu.be/iTlWT3aOitw?si=6OmZnBPioisxcLu6" TargetMode="External"/><Relationship Id="rId665" Type="http://schemas.openxmlformats.org/officeDocument/2006/relationships/hyperlink" Target="https://youtu.be/IRVbguCS2TM?si=3Bq3lmxQvXI3BBca" TargetMode="External"/><Relationship Id="rId429" Type="http://schemas.openxmlformats.org/officeDocument/2006/relationships/hyperlink" Target="https://youtu.be/tXY-Up7JDn0?si=ruFHB1ZbQVuzKPIC" TargetMode="External"/><Relationship Id="rId428" Type="http://schemas.openxmlformats.org/officeDocument/2006/relationships/hyperlink" Target="https://youtu.be/q69GQuZL6jI?si=VIPneXsiR5E37cgL" TargetMode="External"/><Relationship Id="rId427" Type="http://schemas.openxmlformats.org/officeDocument/2006/relationships/hyperlink" Target="https://www.youtube.com/watch?v=jyb9LAY7BCA&amp;list=PL-sO0pd2ZajQzBFSEeX8IQ4nTP-cFZP9O" TargetMode="External"/><Relationship Id="rId669" Type="http://schemas.openxmlformats.org/officeDocument/2006/relationships/hyperlink" Target="https://youtu.be/AxOv9YCKb8g?si=Ml44feiZNbFCG3i7" TargetMode="External"/><Relationship Id="rId660" Type="http://schemas.openxmlformats.org/officeDocument/2006/relationships/hyperlink" Target="https://youtu.be/cCtY1FwtAow?si=0qFw5tw15UWUBIo6" TargetMode="External"/><Relationship Id="rId422" Type="http://schemas.openxmlformats.org/officeDocument/2006/relationships/hyperlink" Target="https://youtu.be/rX73UeSEx6o?si=Jkl3UVztb7yFJes6" TargetMode="External"/><Relationship Id="rId664" Type="http://schemas.openxmlformats.org/officeDocument/2006/relationships/hyperlink" Target="https://youtu.be/hOGDb_e0ykk?si=mpA7Cg0vnBFGSVd_" TargetMode="External"/><Relationship Id="rId421" Type="http://schemas.openxmlformats.org/officeDocument/2006/relationships/hyperlink" Target="https://youtu.be/bjVjWKpr-ag?si=UPiErlNXstPQnMDE" TargetMode="External"/><Relationship Id="rId663" Type="http://schemas.openxmlformats.org/officeDocument/2006/relationships/hyperlink" Target="https://youtu.be/vgVNZnlXpa0?si=Ve4Uz21CTGyepBZh" TargetMode="External"/><Relationship Id="rId420" Type="http://schemas.openxmlformats.org/officeDocument/2006/relationships/hyperlink" Target="https://youtu.be/DNYk0cffr98?si=NrsEJfa4Rqd8nFDV" TargetMode="External"/><Relationship Id="rId662" Type="http://schemas.openxmlformats.org/officeDocument/2006/relationships/hyperlink" Target="https://youtu.be/WOql4gBdk3g?si=EfjibtzqWovmSKrI" TargetMode="External"/><Relationship Id="rId661" Type="http://schemas.openxmlformats.org/officeDocument/2006/relationships/hyperlink" Target="https://youtu.be/dANHj4UuZnQ?si=gCbhOaH90PdCWSg0" TargetMode="External"/><Relationship Id="rId415" Type="http://schemas.openxmlformats.org/officeDocument/2006/relationships/hyperlink" Target="https://youtu.be/pKn_pYFHYXI?si=fqAGHe3Qa1Sak2Pm" TargetMode="External"/><Relationship Id="rId657" Type="http://schemas.openxmlformats.org/officeDocument/2006/relationships/hyperlink" Target="https://youtu.be/W3hSyzZ4pGA?si=eTexv4kV7rOElcuT" TargetMode="External"/><Relationship Id="rId414" Type="http://schemas.openxmlformats.org/officeDocument/2006/relationships/hyperlink" Target="https://youtu.be/y_PjbArrUYo?si=XDDbKw_11c0QT9Gl" TargetMode="External"/><Relationship Id="rId656" Type="http://schemas.openxmlformats.org/officeDocument/2006/relationships/hyperlink" Target="https://youtu.be/SYg-f3NOVac?si=PS7vqdS6tdvHQUUo" TargetMode="External"/><Relationship Id="rId413" Type="http://schemas.openxmlformats.org/officeDocument/2006/relationships/hyperlink" Target="https://youtu.be/_Wrq9S5O4vw?si=Fw4C7dGOQd-6L8Sq" TargetMode="External"/><Relationship Id="rId655" Type="http://schemas.openxmlformats.org/officeDocument/2006/relationships/hyperlink" Target="https://youtu.be/Z1kxnraQFnc?si=CdO8r4g5GQjLfO0d" TargetMode="External"/><Relationship Id="rId412" Type="http://schemas.openxmlformats.org/officeDocument/2006/relationships/hyperlink" Target="https://youtu.be/SQu4DcDgtwY?si=stXUULYTbsZIC1Mt" TargetMode="External"/><Relationship Id="rId654" Type="http://schemas.openxmlformats.org/officeDocument/2006/relationships/hyperlink" Target="https://youtu.be/F22c85xmSPM?si=BsKM2KgThz7xRDcb" TargetMode="External"/><Relationship Id="rId419" Type="http://schemas.openxmlformats.org/officeDocument/2006/relationships/hyperlink" Target="https://youtu.be/8ODGpL-V_ZQ?si=jhVpoupwHtaUSv8M" TargetMode="External"/><Relationship Id="rId418" Type="http://schemas.openxmlformats.org/officeDocument/2006/relationships/hyperlink" Target="https://youtu.be/G2OUrXkMlSQ?si=BvAx1RER21Pe0WJN" TargetMode="External"/><Relationship Id="rId417" Type="http://schemas.openxmlformats.org/officeDocument/2006/relationships/hyperlink" Target="https://youtu.be/LPr1voQFWN4?si=3t1vUoooL6O2KHlY" TargetMode="External"/><Relationship Id="rId659" Type="http://schemas.openxmlformats.org/officeDocument/2006/relationships/hyperlink" Target="https://youtu.be/DRQg2lqZavg?si=LODneS-52PhvaKy1" TargetMode="External"/><Relationship Id="rId416" Type="http://schemas.openxmlformats.org/officeDocument/2006/relationships/hyperlink" Target="https://youtu.be/vX3MyKjP5vs?si=KIJhLfgcUc5Mexyj" TargetMode="External"/><Relationship Id="rId658" Type="http://schemas.openxmlformats.org/officeDocument/2006/relationships/hyperlink" Target="https://youtu.be/RYzFh_pUk6Q?si=KWiTWQMCESCdjyqt" TargetMode="External"/><Relationship Id="rId411" Type="http://schemas.openxmlformats.org/officeDocument/2006/relationships/hyperlink" Target="https://youtu.be/4HBG8pMvwcw?si=WHu_7l66UQP8kYM_" TargetMode="External"/><Relationship Id="rId653" Type="http://schemas.openxmlformats.org/officeDocument/2006/relationships/hyperlink" Target="https://youtu.be/TjjFda4hiPo?si=qtzp4BZLIFewA0CJ" TargetMode="External"/><Relationship Id="rId410" Type="http://schemas.openxmlformats.org/officeDocument/2006/relationships/hyperlink" Target="https://youtu.be/u1-Y4lWOBtY?si=A-7v-59u4jIdTAA5" TargetMode="External"/><Relationship Id="rId652" Type="http://schemas.openxmlformats.org/officeDocument/2006/relationships/hyperlink" Target="https://youtu.be/FJLVq145BlQ?si=aCgNwDbBqszRo17n" TargetMode="External"/><Relationship Id="rId651" Type="http://schemas.openxmlformats.org/officeDocument/2006/relationships/hyperlink" Target="https://youtu.be/XKL0wIZRO-E?si=YYPOic3pLxthDzsB" TargetMode="External"/><Relationship Id="rId650" Type="http://schemas.openxmlformats.org/officeDocument/2006/relationships/hyperlink" Target="https://youtu.be/JHOwVL069lY?si=M78lr_Z5a60feyMU" TargetMode="External"/><Relationship Id="rId206" Type="http://schemas.openxmlformats.org/officeDocument/2006/relationships/hyperlink" Target="https://youtu.be/4pJKKMYfN00?si=XHSBvqx9R2rYPaA-" TargetMode="External"/><Relationship Id="rId448" Type="http://schemas.openxmlformats.org/officeDocument/2006/relationships/hyperlink" Target="https://youtu.be/xrhtPK5-RSM?si=Tz7WYiN_GUEGOhA0" TargetMode="External"/><Relationship Id="rId205" Type="http://schemas.openxmlformats.org/officeDocument/2006/relationships/hyperlink" Target="https://youtu.be/kc3VHrJdjJ0?si=7tcH0KH_uuq4eruJ" TargetMode="External"/><Relationship Id="rId447" Type="http://schemas.openxmlformats.org/officeDocument/2006/relationships/hyperlink" Target="https://youtu.be/ncQaY1iA15U?si=FrCp_j_z6LpcNlWc" TargetMode="External"/><Relationship Id="rId689" Type="http://schemas.openxmlformats.org/officeDocument/2006/relationships/hyperlink" Target="https://youtu.be/hhFeX7xb8x0?si=gOXBgV900jF2De9j" TargetMode="External"/><Relationship Id="rId204" Type="http://schemas.openxmlformats.org/officeDocument/2006/relationships/hyperlink" Target="https://youtu.be/Rz4SFzNgVMI?si=OkVZHecigvfZHEgN" TargetMode="External"/><Relationship Id="rId446" Type="http://schemas.openxmlformats.org/officeDocument/2006/relationships/hyperlink" Target="https://youtu.be/wM65ML547Ho?si=-4dWUN3Vndh5YwJ-" TargetMode="External"/><Relationship Id="rId688" Type="http://schemas.openxmlformats.org/officeDocument/2006/relationships/hyperlink" Target="https://youtu.be/-a02vTZ_UF4?si=fZcJWwYwpC4Cjipz" TargetMode="External"/><Relationship Id="rId203" Type="http://schemas.openxmlformats.org/officeDocument/2006/relationships/hyperlink" Target="https://youtu.be/jrIYQBqLBGg?si=B9G0uWKD44RfsoqO" TargetMode="External"/><Relationship Id="rId445" Type="http://schemas.openxmlformats.org/officeDocument/2006/relationships/hyperlink" Target="https://youtu.be/ALlftHVVlLk?si=3hYOPWy1sSzWLN8Y" TargetMode="External"/><Relationship Id="rId687" Type="http://schemas.openxmlformats.org/officeDocument/2006/relationships/hyperlink" Target="https://youtu.be/Jl5gH-OhaPs?si=AgAYxFthi3nSXIXj" TargetMode="External"/><Relationship Id="rId209" Type="http://schemas.openxmlformats.org/officeDocument/2006/relationships/hyperlink" Target="https://youtu.be/KY3HWdPASiI?si=mikGl1MgXzWgGcZK" TargetMode="External"/><Relationship Id="rId208" Type="http://schemas.openxmlformats.org/officeDocument/2006/relationships/hyperlink" Target="https://youtu.be/PXI675MJoZ8?si=ctdQmHCk04H2YOAm" TargetMode="External"/><Relationship Id="rId207" Type="http://schemas.openxmlformats.org/officeDocument/2006/relationships/hyperlink" Target="https://youtu.be/tKyyVj6TLG4?si=6tmFerkxYDF61mNZ" TargetMode="External"/><Relationship Id="rId449" Type="http://schemas.openxmlformats.org/officeDocument/2006/relationships/hyperlink" Target="https://youtu.be/b_BMoFwbNQY?si=lUbe_wsFpAbLPgmI" TargetMode="External"/><Relationship Id="rId440" Type="http://schemas.openxmlformats.org/officeDocument/2006/relationships/hyperlink" Target="https://youtu.be/v1w61MlvKAU?si=g-HMb1vN5zTngubc" TargetMode="External"/><Relationship Id="rId682" Type="http://schemas.openxmlformats.org/officeDocument/2006/relationships/hyperlink" Target="https://youtu.be/j2bSmRNOAfo?si=6P2Z38h_3VzHp5aQ" TargetMode="External"/><Relationship Id="rId681" Type="http://schemas.openxmlformats.org/officeDocument/2006/relationships/hyperlink" Target="https://youtu.be/81eOUFc7J4w?si=nR7XEsA8hgGse-Dx" TargetMode="External"/><Relationship Id="rId680" Type="http://schemas.openxmlformats.org/officeDocument/2006/relationships/hyperlink" Target="https://youtu.be/HicwKMUMQUc?si=aMtbHl7xTyHCcUUt" TargetMode="External"/><Relationship Id="rId202" Type="http://schemas.openxmlformats.org/officeDocument/2006/relationships/hyperlink" Target="https://youtu.be/LmRUXZAw8l0?si=GamK7TP-RrS57DtO" TargetMode="External"/><Relationship Id="rId444" Type="http://schemas.openxmlformats.org/officeDocument/2006/relationships/hyperlink" Target="https://youtu.be/nuCOB4dl9FA?si=53pKJrevFooLUBhI" TargetMode="External"/><Relationship Id="rId686" Type="http://schemas.openxmlformats.org/officeDocument/2006/relationships/hyperlink" Target="https://youtu.be/oMsN2v861Yk?si=tFtPiQI6A6ouNDJJ" TargetMode="External"/><Relationship Id="rId201" Type="http://schemas.openxmlformats.org/officeDocument/2006/relationships/hyperlink" Target="https://youtu.be/226Usqahn3Y?si=XmcgQJCmQEuHczow" TargetMode="External"/><Relationship Id="rId443" Type="http://schemas.openxmlformats.org/officeDocument/2006/relationships/hyperlink" Target="https://youtu.be/QNC2oPxD3es?si=CqXHHPsJSG0XxgWw" TargetMode="External"/><Relationship Id="rId685" Type="http://schemas.openxmlformats.org/officeDocument/2006/relationships/hyperlink" Target="https://youtu.be/bPnePIYfLx0?si=OJKH8HnPud-K43FJ" TargetMode="External"/><Relationship Id="rId200" Type="http://schemas.openxmlformats.org/officeDocument/2006/relationships/hyperlink" Target="https://youtu.be/41BhHSq5-5w?si=EtnAw8qNsHDpn0GA" TargetMode="External"/><Relationship Id="rId442" Type="http://schemas.openxmlformats.org/officeDocument/2006/relationships/hyperlink" Target="https://youtu.be/oPT03wh_CuM?si=aOGJhAoQgJO9Q4ZH" TargetMode="External"/><Relationship Id="rId684" Type="http://schemas.openxmlformats.org/officeDocument/2006/relationships/hyperlink" Target="https://youtu.be/OD8qYnJ7bdY?si=JkPJPBVPZAO5UOc8" TargetMode="External"/><Relationship Id="rId441" Type="http://schemas.openxmlformats.org/officeDocument/2006/relationships/hyperlink" Target="https://youtu.be/DEld5lF_ms0?si=xNJFNay5tfIzKMZ2" TargetMode="External"/><Relationship Id="rId683" Type="http://schemas.openxmlformats.org/officeDocument/2006/relationships/hyperlink" Target="https://youtu.be/gE8o2800V7k?si=4BAZ022fjEHgfc35" TargetMode="External"/><Relationship Id="rId437" Type="http://schemas.openxmlformats.org/officeDocument/2006/relationships/hyperlink" Target="https://youtu.be/SbsEHkcpSCw?si=1tE6ifNzTdAN80Zi" TargetMode="External"/><Relationship Id="rId679" Type="http://schemas.openxmlformats.org/officeDocument/2006/relationships/hyperlink" Target="https://youtu.be/mh_IJ0uZTJ4?si=cYjSy_IUk26A7HwI" TargetMode="External"/><Relationship Id="rId436" Type="http://schemas.openxmlformats.org/officeDocument/2006/relationships/hyperlink" Target="https://youtu.be/r2APW1j9I8I?si=0V_frjQly7eifVz1" TargetMode="External"/><Relationship Id="rId678" Type="http://schemas.openxmlformats.org/officeDocument/2006/relationships/hyperlink" Target="https://youtu.be/j0FTmlZRe1s?si=K-z38z5S3bl55tOK" TargetMode="External"/><Relationship Id="rId435" Type="http://schemas.openxmlformats.org/officeDocument/2006/relationships/hyperlink" Target="https://youtu.be/vk-nmx17Y_k?si=N7bjVPd2xo7BhEw_" TargetMode="External"/><Relationship Id="rId677" Type="http://schemas.openxmlformats.org/officeDocument/2006/relationships/hyperlink" Target="https://youtu.be/PzCZomuHVVQ?si=6rpC2ZBvHgxEBsWP" TargetMode="External"/><Relationship Id="rId434" Type="http://schemas.openxmlformats.org/officeDocument/2006/relationships/hyperlink" Target="https://youtu.be/TiGK1GOa_WU?si=Sane9YkUxBbJ5QEV" TargetMode="External"/><Relationship Id="rId676" Type="http://schemas.openxmlformats.org/officeDocument/2006/relationships/hyperlink" Target="https://youtu.be/CTNw2Q_A3sc?si=1Ip4qcQpXTg6-2Tl" TargetMode="External"/><Relationship Id="rId439" Type="http://schemas.openxmlformats.org/officeDocument/2006/relationships/hyperlink" Target="https://youtu.be/jS_hrCj-4wA?si=5QMJOZGcO6iRiO8O" TargetMode="External"/><Relationship Id="rId438" Type="http://schemas.openxmlformats.org/officeDocument/2006/relationships/hyperlink" Target="https://youtu.be/3g4I0IzpBbQ?si=D0iCt3nD0GMc63NZ" TargetMode="External"/><Relationship Id="rId671" Type="http://schemas.openxmlformats.org/officeDocument/2006/relationships/hyperlink" Target="https://youtu.be/4Y4UZagZNm0?si=7-knSkTZs_3pZViP" TargetMode="External"/><Relationship Id="rId670" Type="http://schemas.openxmlformats.org/officeDocument/2006/relationships/hyperlink" Target="https://youtu.be/zfCGyEEbhLc?si=A-QMoURyMUIMV_h9" TargetMode="External"/><Relationship Id="rId433" Type="http://schemas.openxmlformats.org/officeDocument/2006/relationships/hyperlink" Target="https://youtu.be/t9hh_411RYQ?si=AAMGlTwL0M_FXpD9" TargetMode="External"/><Relationship Id="rId675" Type="http://schemas.openxmlformats.org/officeDocument/2006/relationships/hyperlink" Target="https://youtu.be/_WnWK6z6Lh4?si=G3Xwmv-vL8x90VVs" TargetMode="External"/><Relationship Id="rId432" Type="http://schemas.openxmlformats.org/officeDocument/2006/relationships/hyperlink" Target="https://youtu.be/ELzfGbt8xlM?si=BpBD0lyq3TD_QrN4" TargetMode="External"/><Relationship Id="rId674" Type="http://schemas.openxmlformats.org/officeDocument/2006/relationships/hyperlink" Target="https://youtu.be/WIMDQH4nUoc?si=zqQ5tSU1IIkqHg4B" TargetMode="External"/><Relationship Id="rId431" Type="http://schemas.openxmlformats.org/officeDocument/2006/relationships/hyperlink" Target="https://youtu.be/bvkuuo0Y5Ac?si=9Z9oNeyBUFE3eFkc" TargetMode="External"/><Relationship Id="rId673" Type="http://schemas.openxmlformats.org/officeDocument/2006/relationships/hyperlink" Target="https://youtu.be/qMJ8Yr9U5Ss?si=0nk9xfsUdPlK4cpm" TargetMode="External"/><Relationship Id="rId430" Type="http://schemas.openxmlformats.org/officeDocument/2006/relationships/hyperlink" Target="https://youtu.be/GeYe7sjzA_k?si=Nn98vFgdEoBMfb6r" TargetMode="External"/><Relationship Id="rId672" Type="http://schemas.openxmlformats.org/officeDocument/2006/relationships/hyperlink" Target="https://youtu.be/CM7QGjMt6Bk?si=ENDMV3DaHfqmIAv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5.xml"/><Relationship Id="rId5"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2" width="64.38"/>
  </cols>
  <sheetData>
    <row r="1" ht="22.5" customHeight="1">
      <c r="A1" s="1" t="s">
        <v>0</v>
      </c>
      <c r="B1" s="1" t="s">
        <v>1</v>
      </c>
    </row>
    <row r="2" ht="22.5" customHeight="1">
      <c r="A2" s="2" t="s">
        <v>2</v>
      </c>
      <c r="B2" s="2" t="s">
        <v>3</v>
      </c>
    </row>
    <row r="3" ht="22.5" customHeight="1">
      <c r="A3" s="2" t="s">
        <v>4</v>
      </c>
      <c r="B3" s="2" t="s">
        <v>5</v>
      </c>
    </row>
    <row r="4" ht="22.5" customHeight="1">
      <c r="A4" s="2" t="s">
        <v>6</v>
      </c>
      <c r="B4" s="2" t="s">
        <v>7</v>
      </c>
    </row>
    <row r="5" ht="22.5" customHeight="1">
      <c r="A5" s="2" t="s">
        <v>8</v>
      </c>
      <c r="B5" s="2" t="s">
        <v>9</v>
      </c>
    </row>
    <row r="6" ht="22.5" customHeight="1">
      <c r="A6" s="2" t="s">
        <v>10</v>
      </c>
      <c r="B6" s="2" t="s">
        <v>11</v>
      </c>
    </row>
    <row r="7" ht="22.5" customHeight="1">
      <c r="A7" s="2" t="s">
        <v>12</v>
      </c>
      <c r="B7" s="2" t="s">
        <v>13</v>
      </c>
    </row>
    <row r="8" ht="22.5" customHeight="1">
      <c r="A8" s="2" t="s">
        <v>14</v>
      </c>
      <c r="B8" s="2" t="s">
        <v>15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1.25"/>
    <col customWidth="1" min="2" max="2" width="22.5"/>
    <col customWidth="1" min="3" max="3" width="39.13"/>
    <col customWidth="1" min="4" max="4" width="37.63"/>
    <col customWidth="1" min="5" max="5" width="25.63"/>
    <col customWidth="1" min="6" max="6" width="40.63"/>
    <col customWidth="1" min="7" max="7" width="13.0"/>
    <col customWidth="1" min="8" max="9" width="17.38"/>
    <col customWidth="1" min="12" max="12" width="39.13"/>
  </cols>
  <sheetData>
    <row r="1" ht="22.5" customHeight="1">
      <c r="A1" s="3" t="s">
        <v>2</v>
      </c>
      <c r="B1" s="4" t="s">
        <v>16</v>
      </c>
      <c r="C1" s="3" t="s">
        <v>17</v>
      </c>
      <c r="D1" s="3" t="s">
        <v>18</v>
      </c>
      <c r="E1" s="3" t="s">
        <v>6</v>
      </c>
      <c r="F1" s="3" t="s">
        <v>19</v>
      </c>
      <c r="G1" s="3" t="s">
        <v>12</v>
      </c>
      <c r="H1" s="4" t="s">
        <v>20</v>
      </c>
      <c r="I1" s="3" t="s">
        <v>10</v>
      </c>
      <c r="J1" s="3" t="s">
        <v>21</v>
      </c>
      <c r="K1" s="3" t="s">
        <v>14</v>
      </c>
      <c r="L1" s="3" t="s">
        <v>22</v>
      </c>
    </row>
    <row r="2" ht="22.5" customHeight="1">
      <c r="A2" s="5" t="s">
        <v>23</v>
      </c>
      <c r="B2" s="2" t="s">
        <v>24</v>
      </c>
      <c r="C2" s="6" t="str">
        <f t="shared" ref="C2:C1096" si="1">A2&amp;"_"&amp;COUNTIF($A$2:A2,A2)</f>
        <v>Abhogi_1</v>
      </c>
      <c r="D2" s="7"/>
      <c r="E2" s="8" t="s">
        <v>25</v>
      </c>
      <c r="F2" s="2" t="s">
        <v>26</v>
      </c>
      <c r="H2" s="2" t="str">
        <f>VLOOKUP(F2, ArtistCount!$A$1:$C$286, 3, FALSE)</f>
        <v>#N/A</v>
      </c>
      <c r="I2" s="2" t="s">
        <v>27</v>
      </c>
    </row>
    <row r="3" ht="22.5" customHeight="1">
      <c r="A3" s="5" t="s">
        <v>23</v>
      </c>
      <c r="B3" s="2" t="s">
        <v>24</v>
      </c>
      <c r="C3" s="6" t="str">
        <f t="shared" si="1"/>
        <v>Abhogi_2</v>
      </c>
      <c r="D3" s="7"/>
      <c r="E3" s="8" t="s">
        <v>25</v>
      </c>
      <c r="F3" s="2" t="s">
        <v>26</v>
      </c>
      <c r="H3" s="2" t="str">
        <f>VLOOKUP(F3, ArtistCount!$A$1:$C$286, 3, FALSE)</f>
        <v>#N/A</v>
      </c>
      <c r="I3" s="2" t="s">
        <v>27</v>
      </c>
    </row>
    <row r="4" ht="22.5" customHeight="1">
      <c r="A4" s="5" t="s">
        <v>23</v>
      </c>
      <c r="B4" s="2" t="s">
        <v>28</v>
      </c>
      <c r="C4" s="6" t="str">
        <f t="shared" si="1"/>
        <v>Abhogi_3</v>
      </c>
      <c r="D4" s="7"/>
      <c r="E4" s="8" t="s">
        <v>25</v>
      </c>
      <c r="F4" s="2" t="s">
        <v>26</v>
      </c>
      <c r="H4" s="2" t="str">
        <f>VLOOKUP(F4, ArtistCount!$A$1:$C$286, 3, FALSE)</f>
        <v>#N/A</v>
      </c>
      <c r="I4" s="2" t="s">
        <v>27</v>
      </c>
    </row>
    <row r="5" ht="22.5" customHeight="1">
      <c r="A5" s="5" t="s">
        <v>23</v>
      </c>
      <c r="B5" s="9" t="s">
        <v>29</v>
      </c>
      <c r="C5" s="6" t="str">
        <f t="shared" si="1"/>
        <v>Abhogi_4</v>
      </c>
      <c r="D5" s="7"/>
      <c r="E5" s="8" t="s">
        <v>25</v>
      </c>
      <c r="F5" s="2" t="s">
        <v>30</v>
      </c>
      <c r="H5" s="2" t="str">
        <f>VLOOKUP(F5, ArtistCount!$A$1:$C$286, 3, FALSE)</f>
        <v>#N/A</v>
      </c>
      <c r="I5" s="2" t="s">
        <v>27</v>
      </c>
    </row>
    <row r="6" ht="22.5" customHeight="1">
      <c r="A6" s="5" t="s">
        <v>23</v>
      </c>
      <c r="B6" s="2" t="s">
        <v>24</v>
      </c>
      <c r="C6" s="6" t="str">
        <f t="shared" si="1"/>
        <v>Abhogi_5</v>
      </c>
      <c r="D6" s="7"/>
      <c r="E6" s="8" t="s">
        <v>25</v>
      </c>
      <c r="F6" s="8" t="s">
        <v>31</v>
      </c>
      <c r="H6" s="2" t="str">
        <f>VLOOKUP(F6, ArtistCount!$A$1:$C$286, 3, FALSE)</f>
        <v>#N/A</v>
      </c>
      <c r="I6" s="2" t="s">
        <v>27</v>
      </c>
    </row>
    <row r="7" ht="22.5" customHeight="1">
      <c r="A7" s="5" t="s">
        <v>23</v>
      </c>
      <c r="B7" s="10" t="s">
        <v>32</v>
      </c>
      <c r="C7" s="6" t="str">
        <f t="shared" si="1"/>
        <v>Abhogi_6</v>
      </c>
      <c r="D7" s="7"/>
      <c r="E7" s="8" t="s">
        <v>25</v>
      </c>
      <c r="F7" s="8" t="s">
        <v>33</v>
      </c>
      <c r="H7" s="2" t="str">
        <f>VLOOKUP(F7, ArtistCount!$A$1:$C$286, 3, FALSE)</f>
        <v>#N/A</v>
      </c>
      <c r="I7" s="2" t="s">
        <v>27</v>
      </c>
    </row>
    <row r="8" ht="22.5" customHeight="1">
      <c r="A8" s="5" t="s">
        <v>23</v>
      </c>
      <c r="B8" s="2" t="s">
        <v>32</v>
      </c>
      <c r="C8" s="6" t="str">
        <f t="shared" si="1"/>
        <v>Abhogi_7</v>
      </c>
      <c r="D8" s="7"/>
      <c r="E8" s="8" t="s">
        <v>25</v>
      </c>
      <c r="F8" s="8" t="s">
        <v>34</v>
      </c>
      <c r="H8" s="2" t="str">
        <f>VLOOKUP(F8, ArtistCount!$A$1:$C$286, 3, FALSE)</f>
        <v>#N/A</v>
      </c>
      <c r="I8" s="2" t="s">
        <v>27</v>
      </c>
    </row>
    <row r="9" ht="22.5" customHeight="1">
      <c r="A9" s="5" t="s">
        <v>23</v>
      </c>
      <c r="B9" s="2" t="s">
        <v>24</v>
      </c>
      <c r="C9" s="6" t="str">
        <f t="shared" si="1"/>
        <v>Abhogi_8</v>
      </c>
      <c r="D9" s="7"/>
      <c r="E9" s="8" t="s">
        <v>25</v>
      </c>
      <c r="F9" s="8" t="s">
        <v>35</v>
      </c>
      <c r="H9" s="2" t="str">
        <f>VLOOKUP(F9, ArtistCount!$A$1:$C$286, 3, FALSE)</f>
        <v>#N/A</v>
      </c>
      <c r="I9" s="2" t="s">
        <v>27</v>
      </c>
    </row>
    <row r="10" ht="22.5" customHeight="1">
      <c r="A10" s="5" t="s">
        <v>23</v>
      </c>
      <c r="B10" s="9" t="s">
        <v>36</v>
      </c>
      <c r="C10" s="6" t="str">
        <f t="shared" si="1"/>
        <v>Abhogi_9</v>
      </c>
      <c r="D10" s="7"/>
      <c r="E10" s="8" t="s">
        <v>25</v>
      </c>
      <c r="F10" s="8" t="s">
        <v>37</v>
      </c>
      <c r="H10" s="2" t="str">
        <f>VLOOKUP(F10, ArtistCount!$A$1:$C$286, 3, FALSE)</f>
        <v>#N/A</v>
      </c>
      <c r="I10" s="2" t="s">
        <v>27</v>
      </c>
    </row>
    <row r="11" ht="22.5" customHeight="1">
      <c r="A11" s="5" t="s">
        <v>23</v>
      </c>
      <c r="B11" s="2" t="s">
        <v>38</v>
      </c>
      <c r="C11" s="6" t="str">
        <f t="shared" si="1"/>
        <v>Abhogi_10</v>
      </c>
      <c r="D11" s="7"/>
      <c r="E11" s="8" t="s">
        <v>25</v>
      </c>
      <c r="F11" s="8" t="s">
        <v>39</v>
      </c>
      <c r="H11" s="2" t="str">
        <f>VLOOKUP(F11, ArtistCount!$A$1:$C$286, 3, FALSE)</f>
        <v>#N/A</v>
      </c>
      <c r="I11" s="2" t="s">
        <v>27</v>
      </c>
    </row>
    <row r="12" ht="22.5" customHeight="1">
      <c r="A12" s="5" t="s">
        <v>40</v>
      </c>
      <c r="B12" s="2" t="s">
        <v>24</v>
      </c>
      <c r="C12" s="6" t="str">
        <f t="shared" si="1"/>
        <v>Adana_1</v>
      </c>
      <c r="D12" s="11" t="s">
        <v>41</v>
      </c>
      <c r="E12" s="2" t="s">
        <v>25</v>
      </c>
      <c r="F12" s="2" t="s">
        <v>37</v>
      </c>
      <c r="H12" s="2" t="str">
        <f>VLOOKUP(F12, ArtistCount!$A$1:$C$286, 3, FALSE)</f>
        <v>#N/A</v>
      </c>
      <c r="I12" s="2" t="s">
        <v>42</v>
      </c>
    </row>
    <row r="13" ht="22.5" customHeight="1">
      <c r="A13" s="5" t="s">
        <v>40</v>
      </c>
      <c r="B13" s="9" t="s">
        <v>43</v>
      </c>
      <c r="C13" s="6" t="str">
        <f t="shared" si="1"/>
        <v>Adana_2</v>
      </c>
      <c r="D13" s="12" t="s">
        <v>44</v>
      </c>
      <c r="E13" s="2" t="s">
        <v>25</v>
      </c>
      <c r="F13" s="2" t="s">
        <v>45</v>
      </c>
      <c r="H13" s="2" t="str">
        <f>VLOOKUP(F13, ArtistCount!$A$1:$C$286, 3, FALSE)</f>
        <v>#N/A</v>
      </c>
      <c r="I13" s="2" t="s">
        <v>46</v>
      </c>
    </row>
    <row r="14" ht="22.5" customHeight="1">
      <c r="A14" s="5" t="s">
        <v>40</v>
      </c>
      <c r="B14" s="2" t="s">
        <v>43</v>
      </c>
      <c r="C14" s="6" t="str">
        <f t="shared" si="1"/>
        <v>Adana_3</v>
      </c>
      <c r="D14" s="12" t="s">
        <v>47</v>
      </c>
      <c r="E14" s="2" t="s">
        <v>25</v>
      </c>
      <c r="F14" s="2" t="s">
        <v>48</v>
      </c>
      <c r="H14" s="2" t="str">
        <f>VLOOKUP(F14, ArtistCount!$A$1:$C$286, 3, FALSE)</f>
        <v>#N/A</v>
      </c>
      <c r="I14" s="2" t="s">
        <v>42</v>
      </c>
    </row>
    <row r="15" ht="22.5" customHeight="1">
      <c r="A15" s="5" t="s">
        <v>40</v>
      </c>
      <c r="B15" s="2" t="s">
        <v>24</v>
      </c>
      <c r="C15" s="6" t="str">
        <f t="shared" si="1"/>
        <v>Adana_4</v>
      </c>
      <c r="D15" s="12" t="s">
        <v>49</v>
      </c>
      <c r="E15" s="2" t="s">
        <v>25</v>
      </c>
      <c r="F15" s="2" t="s">
        <v>50</v>
      </c>
      <c r="H15" s="6" t="str">
        <f>VLOOKUP(F15, ArtistCount!$A$1:$C$286, 3, FALSE)</f>
        <v>#N/A</v>
      </c>
    </row>
    <row r="16" ht="22.5" customHeight="1">
      <c r="A16" s="5" t="s">
        <v>40</v>
      </c>
      <c r="B16" s="2" t="s">
        <v>43</v>
      </c>
      <c r="C16" s="6" t="str">
        <f t="shared" si="1"/>
        <v>Adana_5</v>
      </c>
      <c r="D16" s="12" t="s">
        <v>51</v>
      </c>
      <c r="E16" s="2" t="s">
        <v>25</v>
      </c>
      <c r="F16" s="2" t="s">
        <v>52</v>
      </c>
      <c r="H16" s="6" t="str">
        <f>VLOOKUP(F16, ArtistCount!$A$1:$C$286, 3, FALSE)</f>
        <v>#N/A</v>
      </c>
    </row>
    <row r="17" ht="22.5" customHeight="1">
      <c r="A17" s="5" t="s">
        <v>40</v>
      </c>
      <c r="B17" s="2" t="s">
        <v>24</v>
      </c>
      <c r="C17" s="6" t="str">
        <f t="shared" si="1"/>
        <v>Adana_6</v>
      </c>
      <c r="D17" s="12" t="s">
        <v>53</v>
      </c>
      <c r="E17" s="2" t="s">
        <v>25</v>
      </c>
      <c r="F17" s="8" t="s">
        <v>54</v>
      </c>
      <c r="H17" s="6" t="str">
        <f>VLOOKUP(F17, ArtistCount!$A$1:$C$286, 3, FALSE)</f>
        <v>#N/A</v>
      </c>
    </row>
    <row r="18" ht="22.5" customHeight="1">
      <c r="A18" s="5" t="s">
        <v>40</v>
      </c>
      <c r="B18" s="2" t="s">
        <v>36</v>
      </c>
      <c r="C18" s="6" t="str">
        <f t="shared" si="1"/>
        <v>Adana_7</v>
      </c>
      <c r="D18" s="12" t="s">
        <v>55</v>
      </c>
      <c r="E18" s="2" t="s">
        <v>25</v>
      </c>
      <c r="F18" s="2" t="s">
        <v>56</v>
      </c>
      <c r="H18" s="6" t="str">
        <f>VLOOKUP(F18, ArtistCount!$A$1:$C$286, 3, FALSE)</f>
        <v>#N/A</v>
      </c>
    </row>
    <row r="19" ht="22.5" customHeight="1">
      <c r="A19" s="5" t="s">
        <v>40</v>
      </c>
      <c r="B19" s="2" t="s">
        <v>24</v>
      </c>
      <c r="C19" s="6" t="str">
        <f t="shared" si="1"/>
        <v>Adana_8</v>
      </c>
      <c r="D19" s="12" t="s">
        <v>57</v>
      </c>
      <c r="E19" s="2" t="s">
        <v>25</v>
      </c>
      <c r="F19" s="2" t="s">
        <v>37</v>
      </c>
      <c r="H19" s="6" t="str">
        <f>VLOOKUP(F19, ArtistCount!$A$1:$C$286, 3, FALSE)</f>
        <v>#N/A</v>
      </c>
    </row>
    <row r="20" ht="22.5" customHeight="1">
      <c r="A20" s="5" t="s">
        <v>40</v>
      </c>
      <c r="B20" s="2" t="s">
        <v>58</v>
      </c>
      <c r="C20" s="2" t="str">
        <f t="shared" si="1"/>
        <v>Adana_9</v>
      </c>
      <c r="D20" s="12" t="s">
        <v>59</v>
      </c>
      <c r="E20" s="2" t="s">
        <v>25</v>
      </c>
      <c r="F20" s="2" t="s">
        <v>60</v>
      </c>
      <c r="H20" s="6" t="str">
        <f>VLOOKUP(F20, ArtistCount!$A$1:$C$286, 3, FALSE)</f>
        <v>#N/A</v>
      </c>
      <c r="L20" s="2" t="s">
        <v>61</v>
      </c>
    </row>
    <row r="21" ht="22.5" customHeight="1">
      <c r="A21" s="5" t="s">
        <v>40</v>
      </c>
      <c r="B21" s="2" t="s">
        <v>62</v>
      </c>
      <c r="C21" s="6" t="str">
        <f t="shared" si="1"/>
        <v>Adana_10</v>
      </c>
      <c r="D21" s="12" t="s">
        <v>63</v>
      </c>
      <c r="E21" s="2" t="s">
        <v>25</v>
      </c>
      <c r="F21" s="2" t="s">
        <v>64</v>
      </c>
      <c r="H21" s="6" t="str">
        <f>VLOOKUP(F21, ArtistCount!$A$1:$C$286, 3, FALSE)</f>
        <v>#N/A</v>
      </c>
    </row>
    <row r="22" ht="22.5" customHeight="1">
      <c r="A22" s="5" t="s">
        <v>65</v>
      </c>
      <c r="B22" s="2" t="s">
        <v>58</v>
      </c>
      <c r="C22" s="6" t="str">
        <f t="shared" si="1"/>
        <v>Ahir Bhairav_1</v>
      </c>
      <c r="D22" s="7"/>
      <c r="E22" s="8" t="s">
        <v>25</v>
      </c>
      <c r="F22" s="8" t="s">
        <v>66</v>
      </c>
      <c r="H22" s="2" t="str">
        <f>VLOOKUP(F22, ArtistCount!$A$1:$C$286, 3, FALSE)</f>
        <v>#N/A</v>
      </c>
      <c r="I22" s="2" t="s">
        <v>27</v>
      </c>
    </row>
    <row r="23" ht="22.5" customHeight="1">
      <c r="A23" s="5" t="s">
        <v>65</v>
      </c>
      <c r="B23" s="9" t="s">
        <v>67</v>
      </c>
      <c r="C23" s="6" t="str">
        <f t="shared" si="1"/>
        <v>Ahir Bhairav_2</v>
      </c>
      <c r="D23" s="7"/>
      <c r="E23" s="8" t="s">
        <v>25</v>
      </c>
      <c r="F23" s="8" t="s">
        <v>68</v>
      </c>
      <c r="H23" s="2" t="str">
        <f>VLOOKUP(F23, ArtistCount!$A$1:$C$286, 3, FALSE)</f>
        <v>#N/A</v>
      </c>
      <c r="I23" s="2" t="s">
        <v>27</v>
      </c>
    </row>
    <row r="24" ht="22.5" customHeight="1">
      <c r="A24" s="5" t="s">
        <v>65</v>
      </c>
      <c r="B24" s="2" t="s">
        <v>32</v>
      </c>
      <c r="C24" s="6" t="str">
        <f t="shared" si="1"/>
        <v>Ahir Bhairav_3</v>
      </c>
      <c r="D24" s="7"/>
      <c r="E24" s="8" t="s">
        <v>25</v>
      </c>
      <c r="F24" s="8" t="s">
        <v>69</v>
      </c>
      <c r="H24" s="2" t="str">
        <f>VLOOKUP(F24, ArtistCount!$A$1:$C$286, 3, FALSE)</f>
        <v>#N/A</v>
      </c>
      <c r="I24" s="2" t="s">
        <v>27</v>
      </c>
    </row>
    <row r="25" ht="22.5" customHeight="1">
      <c r="A25" s="5" t="s">
        <v>65</v>
      </c>
      <c r="B25" s="2" t="s">
        <v>24</v>
      </c>
      <c r="C25" s="6" t="str">
        <f t="shared" si="1"/>
        <v>Ahir Bhairav_4</v>
      </c>
      <c r="D25" s="7"/>
      <c r="E25" s="8" t="s">
        <v>25</v>
      </c>
      <c r="F25" s="8" t="s">
        <v>56</v>
      </c>
      <c r="H25" s="2" t="str">
        <f>VLOOKUP(F25, ArtistCount!$A$1:$C$286, 3, FALSE)</f>
        <v>#N/A</v>
      </c>
      <c r="I25" s="2" t="s">
        <v>27</v>
      </c>
    </row>
    <row r="26" ht="22.5" customHeight="1">
      <c r="A26" s="5" t="s">
        <v>65</v>
      </c>
      <c r="B26" s="2" t="s">
        <v>24</v>
      </c>
      <c r="C26" s="6" t="str">
        <f t="shared" si="1"/>
        <v>Ahir Bhairav_5</v>
      </c>
      <c r="D26" s="7"/>
      <c r="E26" s="8" t="s">
        <v>25</v>
      </c>
      <c r="F26" s="8" t="s">
        <v>56</v>
      </c>
      <c r="H26" s="2" t="str">
        <f>VLOOKUP(F26, ArtistCount!$A$1:$C$286, 3, FALSE)</f>
        <v>#N/A</v>
      </c>
      <c r="I26" s="2" t="s">
        <v>27</v>
      </c>
    </row>
    <row r="27" ht="22.5" customHeight="1">
      <c r="A27" s="5" t="s">
        <v>65</v>
      </c>
      <c r="B27" s="2" t="s">
        <v>43</v>
      </c>
      <c r="C27" s="6" t="str">
        <f t="shared" si="1"/>
        <v>Ahir Bhairav_6</v>
      </c>
      <c r="D27" s="7"/>
      <c r="E27" s="8" t="s">
        <v>25</v>
      </c>
      <c r="F27" s="8" t="s">
        <v>34</v>
      </c>
      <c r="H27" s="2" t="str">
        <f>VLOOKUP(F27, ArtistCount!$A$1:$C$286, 3, FALSE)</f>
        <v>#N/A</v>
      </c>
      <c r="I27" s="2" t="s">
        <v>27</v>
      </c>
    </row>
    <row r="28" ht="22.5" customHeight="1">
      <c r="A28" s="5" t="s">
        <v>65</v>
      </c>
      <c r="B28" s="2" t="s">
        <v>67</v>
      </c>
      <c r="C28" s="6" t="str">
        <f t="shared" si="1"/>
        <v>Ahir Bhairav_7</v>
      </c>
      <c r="D28" s="7"/>
      <c r="E28" s="8" t="s">
        <v>25</v>
      </c>
      <c r="F28" s="8" t="s">
        <v>68</v>
      </c>
      <c r="H28" s="2" t="str">
        <f>VLOOKUP(F28, ArtistCount!$A$1:$C$286, 3, FALSE)</f>
        <v>#N/A</v>
      </c>
      <c r="I28" s="2" t="s">
        <v>27</v>
      </c>
    </row>
    <row r="29" ht="22.5" customHeight="1">
      <c r="A29" s="5" t="s">
        <v>65</v>
      </c>
      <c r="B29" s="2" t="s">
        <v>43</v>
      </c>
      <c r="C29" s="6" t="str">
        <f t="shared" si="1"/>
        <v>Ahir Bhairav_8</v>
      </c>
      <c r="D29" s="7"/>
      <c r="E29" s="8" t="s">
        <v>25</v>
      </c>
      <c r="F29" s="8" t="s">
        <v>70</v>
      </c>
      <c r="H29" s="2" t="str">
        <f>VLOOKUP(F29, ArtistCount!$A$1:$C$286, 3, FALSE)</f>
        <v>#N/A</v>
      </c>
      <c r="I29" s="2" t="s">
        <v>27</v>
      </c>
    </row>
    <row r="30" ht="22.5" customHeight="1">
      <c r="A30" s="5" t="s">
        <v>65</v>
      </c>
      <c r="B30" s="9" t="s">
        <v>38</v>
      </c>
      <c r="C30" s="6" t="str">
        <f t="shared" si="1"/>
        <v>Ahir Bhairav_9</v>
      </c>
      <c r="D30" s="7"/>
      <c r="E30" s="8" t="s">
        <v>25</v>
      </c>
      <c r="F30" s="8" t="s">
        <v>71</v>
      </c>
      <c r="H30" s="2" t="str">
        <f>VLOOKUP(F30, ArtistCount!$A$1:$C$286, 3, FALSE)</f>
        <v>#N/A</v>
      </c>
      <c r="I30" s="2" t="s">
        <v>27</v>
      </c>
    </row>
    <row r="31" ht="22.5" customHeight="1">
      <c r="A31" s="5" t="s">
        <v>65</v>
      </c>
      <c r="B31" s="2" t="s">
        <v>24</v>
      </c>
      <c r="C31" s="6" t="str">
        <f t="shared" si="1"/>
        <v>Ahir Bhairav_10</v>
      </c>
      <c r="D31" s="7"/>
      <c r="E31" s="8" t="s">
        <v>25</v>
      </c>
      <c r="F31" s="8" t="s">
        <v>37</v>
      </c>
      <c r="H31" s="2" t="str">
        <f>VLOOKUP(F31, ArtistCount!$A$1:$C$286, 3, FALSE)</f>
        <v>#N/A</v>
      </c>
      <c r="I31" s="2" t="s">
        <v>27</v>
      </c>
    </row>
    <row r="32" ht="22.5" customHeight="1">
      <c r="A32" s="5" t="s">
        <v>72</v>
      </c>
      <c r="B32" s="2" t="s">
        <v>32</v>
      </c>
      <c r="C32" s="6" t="str">
        <f t="shared" si="1"/>
        <v>Alhaiya Bilawal_1</v>
      </c>
      <c r="D32" s="7"/>
      <c r="E32" s="8" t="s">
        <v>25</v>
      </c>
      <c r="F32" s="8" t="s">
        <v>73</v>
      </c>
      <c r="H32" s="2" t="str">
        <f>VLOOKUP(F32, ArtistCount!$A$1:$C$286, 3, FALSE)</f>
        <v>#N/A</v>
      </c>
      <c r="I32" s="2" t="s">
        <v>27</v>
      </c>
    </row>
    <row r="33" ht="22.5" customHeight="1">
      <c r="A33" s="5" t="s">
        <v>72</v>
      </c>
      <c r="B33" s="2" t="s">
        <v>32</v>
      </c>
      <c r="C33" s="6" t="str">
        <f t="shared" si="1"/>
        <v>Alhaiya Bilawal_2</v>
      </c>
      <c r="D33" s="7"/>
      <c r="E33" s="8" t="s">
        <v>25</v>
      </c>
      <c r="F33" s="8" t="s">
        <v>73</v>
      </c>
      <c r="H33" s="2" t="str">
        <f>VLOOKUP(F33, ArtistCount!$A$1:$C$286, 3, FALSE)</f>
        <v>#N/A</v>
      </c>
      <c r="I33" s="2" t="s">
        <v>27</v>
      </c>
    </row>
    <row r="34" ht="22.5" customHeight="1">
      <c r="A34" s="5" t="s">
        <v>72</v>
      </c>
      <c r="B34" s="2" t="s">
        <v>43</v>
      </c>
      <c r="C34" s="6" t="str">
        <f t="shared" si="1"/>
        <v>Alhaiya Bilawal_3</v>
      </c>
      <c r="D34" s="7"/>
      <c r="E34" s="8" t="s">
        <v>25</v>
      </c>
      <c r="F34" s="8" t="s">
        <v>74</v>
      </c>
      <c r="H34" s="2" t="str">
        <f>VLOOKUP(F34, ArtistCount!$A$1:$C$286, 3, FALSE)</f>
        <v>#N/A</v>
      </c>
      <c r="I34" s="2" t="s">
        <v>27</v>
      </c>
    </row>
    <row r="35" ht="22.5" customHeight="1">
      <c r="A35" s="5" t="s">
        <v>72</v>
      </c>
      <c r="B35" s="2" t="s">
        <v>38</v>
      </c>
      <c r="C35" s="6" t="str">
        <f t="shared" si="1"/>
        <v>Alhaiya Bilawal_4</v>
      </c>
      <c r="D35" s="7"/>
      <c r="E35" s="8" t="s">
        <v>25</v>
      </c>
      <c r="F35" s="8" t="s">
        <v>75</v>
      </c>
      <c r="H35" s="2" t="str">
        <f>VLOOKUP(F35, ArtistCount!$A$1:$C$286, 3, FALSE)</f>
        <v>#N/A</v>
      </c>
      <c r="I35" s="2" t="s">
        <v>27</v>
      </c>
    </row>
    <row r="36" ht="22.5" customHeight="1">
      <c r="A36" s="5" t="s">
        <v>72</v>
      </c>
      <c r="B36" s="2" t="s">
        <v>38</v>
      </c>
      <c r="C36" s="6" t="str">
        <f t="shared" si="1"/>
        <v>Alhaiya Bilawal_5</v>
      </c>
      <c r="D36" s="7"/>
      <c r="E36" s="8" t="s">
        <v>25</v>
      </c>
      <c r="F36" s="8" t="s">
        <v>75</v>
      </c>
      <c r="H36" s="2" t="str">
        <f>VLOOKUP(F36, ArtistCount!$A$1:$C$286, 3, FALSE)</f>
        <v>#N/A</v>
      </c>
      <c r="I36" s="2" t="s">
        <v>27</v>
      </c>
    </row>
    <row r="37" ht="22.5" customHeight="1">
      <c r="A37" s="5" t="s">
        <v>72</v>
      </c>
      <c r="B37" s="2" t="s">
        <v>24</v>
      </c>
      <c r="C37" s="6" t="str">
        <f t="shared" si="1"/>
        <v>Alhaiya Bilawal_6</v>
      </c>
      <c r="D37" s="7"/>
      <c r="E37" s="8" t="s">
        <v>25</v>
      </c>
      <c r="F37" s="8" t="s">
        <v>76</v>
      </c>
      <c r="H37" s="2" t="str">
        <f>VLOOKUP(F37, ArtistCount!$A$1:$C$286, 3, FALSE)</f>
        <v>#N/A</v>
      </c>
      <c r="I37" s="2" t="s">
        <v>27</v>
      </c>
    </row>
    <row r="38" ht="22.5" customHeight="1">
      <c r="A38" s="5" t="s">
        <v>72</v>
      </c>
      <c r="B38" s="2" t="s">
        <v>24</v>
      </c>
      <c r="C38" s="6" t="str">
        <f t="shared" si="1"/>
        <v>Alhaiya Bilawal_7</v>
      </c>
      <c r="D38" s="7"/>
      <c r="E38" s="8" t="s">
        <v>25</v>
      </c>
      <c r="F38" s="8" t="s">
        <v>56</v>
      </c>
      <c r="H38" s="2" t="str">
        <f>VLOOKUP(F38, ArtistCount!$A$1:$C$286, 3, FALSE)</f>
        <v>#N/A</v>
      </c>
      <c r="I38" s="2" t="s">
        <v>27</v>
      </c>
    </row>
    <row r="39" ht="22.5" customHeight="1">
      <c r="A39" s="5" t="s">
        <v>72</v>
      </c>
      <c r="B39" s="2" t="s">
        <v>24</v>
      </c>
      <c r="C39" s="6" t="str">
        <f t="shared" si="1"/>
        <v>Alhaiya Bilawal_8</v>
      </c>
      <c r="D39" s="7"/>
      <c r="E39" s="8" t="s">
        <v>25</v>
      </c>
      <c r="F39" s="8" t="s">
        <v>56</v>
      </c>
      <c r="H39" s="2" t="str">
        <f>VLOOKUP(F39, ArtistCount!$A$1:$C$286, 3, FALSE)</f>
        <v>#N/A</v>
      </c>
      <c r="I39" s="2" t="s">
        <v>27</v>
      </c>
    </row>
    <row r="40" ht="22.5" customHeight="1">
      <c r="A40" s="5" t="s">
        <v>72</v>
      </c>
      <c r="B40" s="2" t="s">
        <v>67</v>
      </c>
      <c r="C40" s="6" t="str">
        <f t="shared" si="1"/>
        <v>Alhaiya Bilawal_9</v>
      </c>
      <c r="D40" s="7"/>
      <c r="E40" s="8" t="s">
        <v>25</v>
      </c>
      <c r="F40" s="8" t="s">
        <v>68</v>
      </c>
      <c r="H40" s="2" t="str">
        <f>VLOOKUP(F40, ArtistCount!$A$1:$C$286, 3, FALSE)</f>
        <v>#N/A</v>
      </c>
      <c r="I40" s="2" t="s">
        <v>27</v>
      </c>
    </row>
    <row r="41" ht="22.5" customHeight="1">
      <c r="A41" s="5" t="s">
        <v>72</v>
      </c>
      <c r="B41" s="2" t="s">
        <v>24</v>
      </c>
      <c r="C41" s="6" t="str">
        <f t="shared" si="1"/>
        <v>Alhaiya Bilawal_10</v>
      </c>
      <c r="D41" s="7"/>
      <c r="E41" s="8" t="s">
        <v>25</v>
      </c>
      <c r="F41" s="8" t="s">
        <v>77</v>
      </c>
      <c r="H41" s="2" t="str">
        <f>VLOOKUP(F41, ArtistCount!$A$1:$C$286, 3, FALSE)</f>
        <v>#N/A</v>
      </c>
      <c r="I41" s="2" t="s">
        <v>27</v>
      </c>
    </row>
    <row r="42" ht="22.5" customHeight="1">
      <c r="A42" s="5" t="s">
        <v>78</v>
      </c>
      <c r="B42" s="2" t="s">
        <v>43</v>
      </c>
      <c r="C42" s="6" t="str">
        <f t="shared" si="1"/>
        <v>Asavari (komal re)_1</v>
      </c>
      <c r="D42" s="12" t="s">
        <v>79</v>
      </c>
      <c r="E42" s="2" t="s">
        <v>25</v>
      </c>
      <c r="F42" s="2" t="s">
        <v>52</v>
      </c>
      <c r="H42" s="2" t="str">
        <f>VLOOKUP(F42, ArtistCount!$A$1:$C$286, 3, FALSE)</f>
        <v>#N/A</v>
      </c>
      <c r="I42" s="2" t="s">
        <v>80</v>
      </c>
    </row>
    <row r="43" ht="22.5" customHeight="1">
      <c r="A43" s="5" t="s">
        <v>78</v>
      </c>
      <c r="B43" s="2" t="s">
        <v>43</v>
      </c>
      <c r="C43" s="6" t="str">
        <f t="shared" si="1"/>
        <v>Asavari (komal re)_2</v>
      </c>
      <c r="D43" s="13" t="s">
        <v>81</v>
      </c>
      <c r="E43" s="2" t="s">
        <v>25</v>
      </c>
      <c r="F43" s="2" t="s">
        <v>70</v>
      </c>
      <c r="H43" s="6" t="str">
        <f>VLOOKUP(F43, ArtistCount!$A$1:$C$286, 3, FALSE)</f>
        <v>#N/A</v>
      </c>
    </row>
    <row r="44" ht="22.5" customHeight="1">
      <c r="A44" s="5" t="s">
        <v>78</v>
      </c>
      <c r="B44" s="2" t="s">
        <v>43</v>
      </c>
      <c r="C44" s="6" t="str">
        <f t="shared" si="1"/>
        <v>Asavari (komal re)_3</v>
      </c>
      <c r="D44" s="13" t="s">
        <v>82</v>
      </c>
      <c r="E44" s="2" t="s">
        <v>25</v>
      </c>
      <c r="F44" s="2" t="s">
        <v>83</v>
      </c>
      <c r="H44" s="6" t="str">
        <f>VLOOKUP(F44, ArtistCount!$A$1:$C$286, 3, FALSE)</f>
        <v>#N/A</v>
      </c>
    </row>
    <row r="45" ht="22.5" customHeight="1">
      <c r="A45" s="5" t="s">
        <v>78</v>
      </c>
      <c r="B45" s="14" t="s">
        <v>28</v>
      </c>
      <c r="C45" s="2" t="str">
        <f t="shared" si="1"/>
        <v>Asavari (komal re)_4</v>
      </c>
      <c r="D45" s="13" t="s">
        <v>84</v>
      </c>
      <c r="E45" s="2" t="s">
        <v>25</v>
      </c>
      <c r="F45" s="8" t="s">
        <v>85</v>
      </c>
      <c r="H45" s="6" t="str">
        <f>VLOOKUP(F45, ArtistCount!$A$1:$C$286, 3, FALSE)</f>
        <v>#N/A</v>
      </c>
      <c r="L45" s="2" t="s">
        <v>86</v>
      </c>
    </row>
    <row r="46" ht="22.5" customHeight="1">
      <c r="A46" s="5" t="s">
        <v>78</v>
      </c>
      <c r="B46" s="2" t="s">
        <v>36</v>
      </c>
      <c r="C46" s="6" t="str">
        <f t="shared" si="1"/>
        <v>Asavari (komal re)_5</v>
      </c>
      <c r="D46" s="13" t="s">
        <v>87</v>
      </c>
      <c r="E46" s="2" t="s">
        <v>25</v>
      </c>
      <c r="F46" s="2" t="s">
        <v>69</v>
      </c>
      <c r="H46" s="6" t="str">
        <f>VLOOKUP(F46, ArtistCount!$A$1:$C$286, 3, FALSE)</f>
        <v>#N/A</v>
      </c>
    </row>
    <row r="47" ht="22.5" customHeight="1">
      <c r="A47" s="5" t="s">
        <v>78</v>
      </c>
      <c r="B47" s="2" t="s">
        <v>24</v>
      </c>
      <c r="C47" s="6" t="str">
        <f t="shared" si="1"/>
        <v>Asavari (komal re)_6</v>
      </c>
      <c r="D47" s="13" t="s">
        <v>88</v>
      </c>
      <c r="E47" s="2" t="s">
        <v>25</v>
      </c>
      <c r="F47" s="2" t="s">
        <v>69</v>
      </c>
      <c r="H47" s="6" t="str">
        <f>VLOOKUP(F47, ArtistCount!$A$1:$C$286, 3, FALSE)</f>
        <v>#N/A</v>
      </c>
    </row>
    <row r="48" ht="22.5" customHeight="1">
      <c r="A48" s="5" t="s">
        <v>78</v>
      </c>
      <c r="B48" s="2" t="s">
        <v>89</v>
      </c>
      <c r="C48" s="6" t="str">
        <f t="shared" si="1"/>
        <v>Asavari (komal re)_7</v>
      </c>
      <c r="D48" s="15" t="s">
        <v>90</v>
      </c>
      <c r="E48" s="2" t="s">
        <v>91</v>
      </c>
      <c r="F48" s="2" t="s">
        <v>92</v>
      </c>
      <c r="H48" s="6" t="str">
        <f>VLOOKUP(F48, ArtistCount!$A$1:$C$286, 3, FALSE)</f>
        <v>#N/A</v>
      </c>
    </row>
    <row r="49" ht="22.5" customHeight="1">
      <c r="A49" s="5" t="s">
        <v>78</v>
      </c>
      <c r="B49" s="2" t="s">
        <v>43</v>
      </c>
      <c r="C49" s="6" t="str">
        <f t="shared" si="1"/>
        <v>Asavari (komal re)_8</v>
      </c>
      <c r="D49" s="13" t="s">
        <v>93</v>
      </c>
      <c r="E49" s="2" t="s">
        <v>25</v>
      </c>
      <c r="F49" s="2" t="s">
        <v>94</v>
      </c>
      <c r="H49" s="6" t="str">
        <f>VLOOKUP(F49, ArtistCount!$A$1:$C$286, 3, FALSE)</f>
        <v>#N/A</v>
      </c>
    </row>
    <row r="50" ht="22.5" customHeight="1">
      <c r="A50" s="5" t="s">
        <v>78</v>
      </c>
      <c r="B50" s="16" t="s">
        <v>43</v>
      </c>
      <c r="C50" s="6" t="str">
        <f t="shared" si="1"/>
        <v>Asavari (komal re)_9</v>
      </c>
      <c r="D50" s="15" t="s">
        <v>95</v>
      </c>
      <c r="E50" s="2" t="s">
        <v>25</v>
      </c>
      <c r="F50" s="2" t="s">
        <v>96</v>
      </c>
      <c r="H50" s="6" t="str">
        <f>VLOOKUP(F50, ArtistCount!$A$1:$C$286, 3, FALSE)</f>
        <v>#N/A</v>
      </c>
    </row>
    <row r="51" ht="22.5" customHeight="1">
      <c r="A51" s="5" t="s">
        <v>78</v>
      </c>
      <c r="B51" s="2" t="s">
        <v>28</v>
      </c>
      <c r="C51" s="6" t="str">
        <f t="shared" si="1"/>
        <v>Asavari (komal re)_10</v>
      </c>
      <c r="D51" s="13" t="s">
        <v>97</v>
      </c>
      <c r="E51" s="2" t="s">
        <v>25</v>
      </c>
      <c r="F51" s="2" t="s">
        <v>98</v>
      </c>
      <c r="H51" s="6" t="str">
        <f>VLOOKUP(F51, ArtistCount!$A$1:$C$286, 3, FALSE)</f>
        <v>#N/A</v>
      </c>
    </row>
    <row r="52" ht="22.5" customHeight="1">
      <c r="A52" s="5" t="s">
        <v>99</v>
      </c>
      <c r="B52" s="2" t="s">
        <v>32</v>
      </c>
      <c r="C52" s="6" t="str">
        <f t="shared" si="1"/>
        <v>Bageshri_1</v>
      </c>
      <c r="D52" s="7"/>
      <c r="E52" s="8" t="s">
        <v>25</v>
      </c>
      <c r="F52" s="8" t="s">
        <v>31</v>
      </c>
      <c r="H52" s="2" t="str">
        <f>VLOOKUP(F52, ArtistCount!$A$1:$C$286, 3, FALSE)</f>
        <v>#N/A</v>
      </c>
      <c r="I52" s="2" t="s">
        <v>27</v>
      </c>
    </row>
    <row r="53" ht="22.5" customHeight="1">
      <c r="A53" s="5" t="s">
        <v>99</v>
      </c>
      <c r="B53" s="2" t="s">
        <v>43</v>
      </c>
      <c r="C53" s="6" t="str">
        <f t="shared" si="1"/>
        <v>Bageshri_2</v>
      </c>
      <c r="D53" s="7"/>
      <c r="E53" s="8" t="s">
        <v>25</v>
      </c>
      <c r="F53" s="8" t="s">
        <v>100</v>
      </c>
      <c r="H53" s="2" t="str">
        <f>VLOOKUP(F53, ArtistCount!$A$1:$C$286, 3, FALSE)</f>
        <v>#N/A</v>
      </c>
      <c r="I53" s="2" t="s">
        <v>27</v>
      </c>
    </row>
    <row r="54" ht="22.5" customHeight="1">
      <c r="A54" s="5" t="s">
        <v>99</v>
      </c>
      <c r="B54" s="2" t="s">
        <v>32</v>
      </c>
      <c r="C54" s="6" t="str">
        <f t="shared" si="1"/>
        <v>Bageshri_3</v>
      </c>
      <c r="D54" s="7"/>
      <c r="E54" s="8" t="s">
        <v>25</v>
      </c>
      <c r="F54" s="8" t="s">
        <v>101</v>
      </c>
      <c r="H54" s="2" t="str">
        <f>VLOOKUP(F54, ArtistCount!$A$1:$C$286, 3, FALSE)</f>
        <v>#N/A</v>
      </c>
      <c r="I54" s="2" t="s">
        <v>27</v>
      </c>
    </row>
    <row r="55" ht="22.5" customHeight="1">
      <c r="A55" s="5" t="s">
        <v>99</v>
      </c>
      <c r="B55" s="2" t="s">
        <v>32</v>
      </c>
      <c r="C55" s="6" t="str">
        <f t="shared" si="1"/>
        <v>Bageshri_4</v>
      </c>
      <c r="D55" s="7"/>
      <c r="E55" s="8" t="s">
        <v>25</v>
      </c>
      <c r="F55" s="8" t="s">
        <v>69</v>
      </c>
      <c r="H55" s="2" t="str">
        <f>VLOOKUP(F55, ArtistCount!$A$1:$C$286, 3, FALSE)</f>
        <v>#N/A</v>
      </c>
      <c r="I55" s="2" t="s">
        <v>27</v>
      </c>
    </row>
    <row r="56" ht="22.5" customHeight="1">
      <c r="A56" s="5" t="s">
        <v>99</v>
      </c>
      <c r="B56" s="2" t="s">
        <v>38</v>
      </c>
      <c r="C56" s="6" t="str">
        <f t="shared" si="1"/>
        <v>Bageshri_5</v>
      </c>
      <c r="D56" s="7"/>
      <c r="E56" s="8" t="s">
        <v>25</v>
      </c>
      <c r="F56" s="8" t="s">
        <v>64</v>
      </c>
      <c r="H56" s="2" t="str">
        <f>VLOOKUP(F56, ArtistCount!$A$1:$C$286, 3, FALSE)</f>
        <v>#N/A</v>
      </c>
      <c r="I56" s="2" t="s">
        <v>27</v>
      </c>
    </row>
    <row r="57" ht="22.5" customHeight="1">
      <c r="A57" s="5" t="s">
        <v>99</v>
      </c>
      <c r="B57" s="2" t="s">
        <v>24</v>
      </c>
      <c r="C57" s="6" t="str">
        <f t="shared" si="1"/>
        <v>Bageshri_6</v>
      </c>
      <c r="D57" s="7"/>
      <c r="E57" s="8" t="s">
        <v>25</v>
      </c>
      <c r="F57" s="8" t="s">
        <v>30</v>
      </c>
      <c r="H57" s="2" t="str">
        <f>VLOOKUP(F57, ArtistCount!$A$1:$C$286, 3, FALSE)</f>
        <v>#N/A</v>
      </c>
      <c r="I57" s="2" t="s">
        <v>27</v>
      </c>
    </row>
    <row r="58" ht="22.5" customHeight="1">
      <c r="A58" s="5" t="s">
        <v>99</v>
      </c>
      <c r="B58" s="2" t="s">
        <v>32</v>
      </c>
      <c r="C58" s="6" t="str">
        <f t="shared" si="1"/>
        <v>Bageshri_7</v>
      </c>
      <c r="D58" s="7"/>
      <c r="E58" s="8" t="s">
        <v>25</v>
      </c>
      <c r="F58" s="8" t="s">
        <v>34</v>
      </c>
      <c r="H58" s="2" t="str">
        <f>VLOOKUP(F58, ArtistCount!$A$1:$C$286, 3, FALSE)</f>
        <v>#N/A</v>
      </c>
      <c r="I58" s="2" t="s">
        <v>27</v>
      </c>
    </row>
    <row r="59" ht="22.5" customHeight="1">
      <c r="A59" s="5" t="s">
        <v>99</v>
      </c>
      <c r="B59" s="2" t="s">
        <v>24</v>
      </c>
      <c r="C59" s="6" t="str">
        <f t="shared" si="1"/>
        <v>Bageshri_8</v>
      </c>
      <c r="D59" s="7"/>
      <c r="E59" s="8" t="s">
        <v>25</v>
      </c>
      <c r="F59" s="8" t="s">
        <v>102</v>
      </c>
      <c r="H59" s="2" t="str">
        <f>VLOOKUP(F59, ArtistCount!$A$1:$C$286, 3, FALSE)</f>
        <v>#N/A</v>
      </c>
      <c r="I59" s="2" t="s">
        <v>27</v>
      </c>
    </row>
    <row r="60" ht="22.5" customHeight="1">
      <c r="A60" s="5" t="s">
        <v>99</v>
      </c>
      <c r="B60" s="2" t="s">
        <v>29</v>
      </c>
      <c r="C60" s="6" t="str">
        <f t="shared" si="1"/>
        <v>Bageshri_9</v>
      </c>
      <c r="D60" s="7"/>
      <c r="E60" s="8" t="s">
        <v>25</v>
      </c>
      <c r="F60" s="8" t="s">
        <v>103</v>
      </c>
      <c r="H60" s="2" t="str">
        <f>VLOOKUP(F60, ArtistCount!$A$1:$C$286, 3, FALSE)</f>
        <v>#N/A</v>
      </c>
      <c r="I60" s="2" t="s">
        <v>27</v>
      </c>
    </row>
    <row r="61" ht="22.5" customHeight="1">
      <c r="A61" s="5" t="s">
        <v>99</v>
      </c>
      <c r="B61" s="2" t="s">
        <v>32</v>
      </c>
      <c r="C61" s="6" t="str">
        <f t="shared" si="1"/>
        <v>Bageshri_10</v>
      </c>
      <c r="D61" s="7"/>
      <c r="E61" s="8" t="s">
        <v>25</v>
      </c>
      <c r="F61" s="8" t="s">
        <v>37</v>
      </c>
      <c r="H61" s="2" t="str">
        <f>VLOOKUP(F61, ArtistCount!$A$1:$C$286, 3, FALSE)</f>
        <v>#N/A</v>
      </c>
      <c r="I61" s="2" t="s">
        <v>27</v>
      </c>
    </row>
    <row r="62" ht="22.5" customHeight="1">
      <c r="A62" s="5" t="s">
        <v>104</v>
      </c>
      <c r="B62" s="2" t="s">
        <v>43</v>
      </c>
      <c r="C62" s="6" t="str">
        <f t="shared" si="1"/>
        <v>Bahar_1</v>
      </c>
      <c r="D62" s="13" t="s">
        <v>105</v>
      </c>
      <c r="E62" s="2" t="s">
        <v>25</v>
      </c>
      <c r="F62" s="2" t="s">
        <v>34</v>
      </c>
      <c r="H62" s="6" t="str">
        <f>VLOOKUP(F62, ArtistCount!$A$1:$C$286, 3, FALSE)</f>
        <v>#N/A</v>
      </c>
    </row>
    <row r="63" ht="22.5" customHeight="1">
      <c r="A63" s="5" t="s">
        <v>104</v>
      </c>
      <c r="B63" s="2" t="s">
        <v>43</v>
      </c>
      <c r="C63" s="6" t="str">
        <f t="shared" si="1"/>
        <v>Bahar_2</v>
      </c>
      <c r="D63" s="13" t="s">
        <v>106</v>
      </c>
      <c r="E63" s="2" t="s">
        <v>25</v>
      </c>
      <c r="F63" s="2" t="s">
        <v>107</v>
      </c>
      <c r="H63" s="6" t="str">
        <f>VLOOKUP(F63, ArtistCount!$A$1:$C$286, 3, FALSE)</f>
        <v>#N/A</v>
      </c>
    </row>
    <row r="64" ht="22.5" customHeight="1">
      <c r="A64" s="5" t="s">
        <v>104</v>
      </c>
      <c r="B64" s="2" t="s">
        <v>43</v>
      </c>
      <c r="C64" s="6" t="str">
        <f t="shared" si="1"/>
        <v>Bahar_3</v>
      </c>
      <c r="D64" s="13" t="s">
        <v>108</v>
      </c>
      <c r="E64" s="2" t="s">
        <v>25</v>
      </c>
      <c r="F64" s="2" t="s">
        <v>52</v>
      </c>
      <c r="H64" s="6" t="str">
        <f>VLOOKUP(F64, ArtistCount!$A$1:$C$286, 3, FALSE)</f>
        <v>#N/A</v>
      </c>
    </row>
    <row r="65" ht="22.5" customHeight="1">
      <c r="A65" s="5" t="s">
        <v>104</v>
      </c>
      <c r="B65" s="2" t="s">
        <v>43</v>
      </c>
      <c r="C65" s="6" t="str">
        <f t="shared" si="1"/>
        <v>Bahar_4</v>
      </c>
      <c r="D65" s="13" t="s">
        <v>109</v>
      </c>
      <c r="E65" s="2" t="s">
        <v>25</v>
      </c>
      <c r="F65" s="2" t="s">
        <v>110</v>
      </c>
      <c r="H65" s="6" t="str">
        <f>VLOOKUP(F65, ArtistCount!$A$1:$C$286, 3, FALSE)</f>
        <v>#N/A</v>
      </c>
    </row>
    <row r="66" ht="22.5" customHeight="1">
      <c r="A66" s="5" t="s">
        <v>104</v>
      </c>
      <c r="B66" s="2" t="s">
        <v>43</v>
      </c>
      <c r="C66" s="6" t="str">
        <f t="shared" si="1"/>
        <v>Bahar_5</v>
      </c>
      <c r="D66" s="12" t="s">
        <v>111</v>
      </c>
      <c r="E66" s="2" t="s">
        <v>25</v>
      </c>
      <c r="F66" s="8" t="s">
        <v>112</v>
      </c>
      <c r="H66" s="6" t="str">
        <f>VLOOKUP(F66, ArtistCount!$A$1:$C$286, 3, FALSE)</f>
        <v>#N/A</v>
      </c>
    </row>
    <row r="67" ht="22.5" customHeight="1">
      <c r="A67" s="5" t="s">
        <v>104</v>
      </c>
      <c r="B67" s="2" t="s">
        <v>24</v>
      </c>
      <c r="C67" s="6" t="str">
        <f t="shared" si="1"/>
        <v>Bahar_6</v>
      </c>
      <c r="D67" s="17" t="s">
        <v>113</v>
      </c>
      <c r="E67" s="2" t="s">
        <v>114</v>
      </c>
      <c r="F67" s="2" t="s">
        <v>115</v>
      </c>
      <c r="H67" s="6" t="str">
        <f>VLOOKUP(F67, ArtistCount!$A$1:$C$286, 3, FALSE)</f>
        <v>#N/A</v>
      </c>
    </row>
    <row r="68" ht="22.5" customHeight="1">
      <c r="A68" s="5" t="s">
        <v>104</v>
      </c>
      <c r="B68" s="2" t="s">
        <v>58</v>
      </c>
      <c r="C68" s="6" t="str">
        <f t="shared" si="1"/>
        <v>Bahar_7</v>
      </c>
      <c r="D68" s="13" t="s">
        <v>116</v>
      </c>
      <c r="E68" s="2" t="s">
        <v>25</v>
      </c>
      <c r="F68" s="2" t="s">
        <v>68</v>
      </c>
      <c r="H68" s="6" t="str">
        <f>VLOOKUP(F68, ArtistCount!$A$1:$C$286, 3, FALSE)</f>
        <v>#N/A</v>
      </c>
    </row>
    <row r="69" ht="22.5" customHeight="1">
      <c r="A69" s="5" t="s">
        <v>104</v>
      </c>
      <c r="B69" s="2" t="s">
        <v>24</v>
      </c>
      <c r="C69" s="6" t="str">
        <f t="shared" si="1"/>
        <v>Bahar_8</v>
      </c>
      <c r="D69" s="13" t="s">
        <v>117</v>
      </c>
      <c r="E69" s="2" t="s">
        <v>25</v>
      </c>
      <c r="F69" s="2" t="s">
        <v>35</v>
      </c>
      <c r="H69" s="6" t="str">
        <f>VLOOKUP(F69, ArtistCount!$A$1:$C$286, 3, FALSE)</f>
        <v>#N/A</v>
      </c>
    </row>
    <row r="70" ht="22.5" customHeight="1">
      <c r="A70" s="5" t="s">
        <v>104</v>
      </c>
      <c r="B70" s="2" t="s">
        <v>24</v>
      </c>
      <c r="C70" s="6" t="str">
        <f t="shared" si="1"/>
        <v>Bahar_9</v>
      </c>
      <c r="D70" s="13" t="s">
        <v>118</v>
      </c>
      <c r="E70" s="2" t="s">
        <v>25</v>
      </c>
      <c r="F70" s="2" t="s">
        <v>26</v>
      </c>
      <c r="H70" s="6" t="str">
        <f>VLOOKUP(F70, ArtistCount!$A$1:$C$286, 3, FALSE)</f>
        <v>#N/A</v>
      </c>
    </row>
    <row r="71" ht="22.5" customHeight="1">
      <c r="A71" s="5" t="s">
        <v>104</v>
      </c>
      <c r="B71" s="2" t="s">
        <v>43</v>
      </c>
      <c r="C71" s="6" t="str">
        <f t="shared" si="1"/>
        <v>Bahar_10</v>
      </c>
      <c r="D71" s="13" t="s">
        <v>119</v>
      </c>
      <c r="E71" s="2" t="s">
        <v>25</v>
      </c>
      <c r="F71" s="2" t="s">
        <v>120</v>
      </c>
      <c r="H71" s="6" t="str">
        <f>VLOOKUP(F71, ArtistCount!$A$1:$C$286, 3, FALSE)</f>
        <v>#N/A</v>
      </c>
    </row>
    <row r="72" ht="22.5" customHeight="1">
      <c r="A72" s="5" t="s">
        <v>121</v>
      </c>
      <c r="B72" s="2" t="s">
        <v>32</v>
      </c>
      <c r="C72" s="6" t="str">
        <f t="shared" si="1"/>
        <v>Bairagi_1</v>
      </c>
      <c r="D72" s="7"/>
      <c r="E72" s="8" t="s">
        <v>25</v>
      </c>
      <c r="F72" s="8" t="s">
        <v>69</v>
      </c>
      <c r="H72" s="2" t="str">
        <f>VLOOKUP(F72, ArtistCount!$A$1:$C$286, 3, FALSE)</f>
        <v>#N/A</v>
      </c>
      <c r="I72" s="2" t="s">
        <v>27</v>
      </c>
    </row>
    <row r="73" ht="22.5" customHeight="1">
      <c r="A73" s="5" t="s">
        <v>121</v>
      </c>
      <c r="B73" s="2" t="s">
        <v>38</v>
      </c>
      <c r="C73" s="6" t="str">
        <f t="shared" si="1"/>
        <v>Bairagi_2</v>
      </c>
      <c r="D73" s="7"/>
      <c r="E73" s="8" t="s">
        <v>25</v>
      </c>
      <c r="F73" s="8" t="s">
        <v>64</v>
      </c>
      <c r="H73" s="2" t="str">
        <f>VLOOKUP(F73, ArtistCount!$A$1:$C$286, 3, FALSE)</f>
        <v>#N/A</v>
      </c>
      <c r="I73" s="2" t="s">
        <v>27</v>
      </c>
    </row>
    <row r="74" ht="22.5" customHeight="1">
      <c r="A74" s="5" t="s">
        <v>121</v>
      </c>
      <c r="B74" s="2" t="s">
        <v>43</v>
      </c>
      <c r="C74" s="6" t="str">
        <f t="shared" si="1"/>
        <v>Bairagi_3</v>
      </c>
      <c r="D74" s="7"/>
      <c r="E74" s="8" t="s">
        <v>25</v>
      </c>
      <c r="F74" s="8" t="s">
        <v>34</v>
      </c>
      <c r="H74" s="2" t="str">
        <f>VLOOKUP(F74, ArtistCount!$A$1:$C$286, 3, FALSE)</f>
        <v>#N/A</v>
      </c>
      <c r="I74" s="2" t="s">
        <v>27</v>
      </c>
    </row>
    <row r="75" ht="22.5" customHeight="1">
      <c r="A75" s="5" t="s">
        <v>121</v>
      </c>
      <c r="B75" s="2" t="s">
        <v>28</v>
      </c>
      <c r="C75" s="6" t="str">
        <f t="shared" si="1"/>
        <v>Bairagi_4</v>
      </c>
      <c r="D75" s="7"/>
      <c r="E75" s="8" t="s">
        <v>25</v>
      </c>
      <c r="F75" s="8" t="s">
        <v>122</v>
      </c>
      <c r="H75" s="2" t="str">
        <f>VLOOKUP(F75, ArtistCount!$A$1:$C$286, 3, FALSE)</f>
        <v>#N/A</v>
      </c>
      <c r="I75" s="2" t="s">
        <v>27</v>
      </c>
    </row>
    <row r="76" ht="22.5" customHeight="1">
      <c r="A76" s="5" t="s">
        <v>121</v>
      </c>
      <c r="B76" s="2" t="s">
        <v>32</v>
      </c>
      <c r="C76" s="6" t="str">
        <f t="shared" si="1"/>
        <v>Bairagi_5</v>
      </c>
      <c r="D76" s="7"/>
      <c r="E76" s="8" t="s">
        <v>25</v>
      </c>
      <c r="F76" s="8" t="s">
        <v>123</v>
      </c>
      <c r="H76" s="2" t="str">
        <f>VLOOKUP(F76, ArtistCount!$A$1:$C$286, 3, FALSE)</f>
        <v>#N/A</v>
      </c>
      <c r="I76" s="2" t="s">
        <v>27</v>
      </c>
    </row>
    <row r="77" ht="22.5" customHeight="1">
      <c r="A77" s="5" t="s">
        <v>121</v>
      </c>
      <c r="B77" s="16" t="s">
        <v>32</v>
      </c>
      <c r="C77" s="6" t="str">
        <f t="shared" si="1"/>
        <v>Bairagi_6</v>
      </c>
      <c r="D77" s="7"/>
      <c r="E77" s="8" t="s">
        <v>25</v>
      </c>
      <c r="F77" s="8" t="s">
        <v>77</v>
      </c>
      <c r="H77" s="2" t="str">
        <f>VLOOKUP(F77, ArtistCount!$A$1:$C$286, 3, FALSE)</f>
        <v>#N/A</v>
      </c>
      <c r="I77" s="2" t="s">
        <v>27</v>
      </c>
    </row>
    <row r="78" ht="22.5" customHeight="1">
      <c r="A78" s="5" t="s">
        <v>121</v>
      </c>
      <c r="B78" s="2" t="s">
        <v>24</v>
      </c>
      <c r="C78" s="6" t="str">
        <f t="shared" si="1"/>
        <v>Bairagi_7</v>
      </c>
      <c r="D78" s="7"/>
      <c r="E78" s="8" t="s">
        <v>25</v>
      </c>
      <c r="F78" s="8" t="s">
        <v>77</v>
      </c>
      <c r="H78" s="2" t="str">
        <f>VLOOKUP(F78, ArtistCount!$A$1:$C$286, 3, FALSE)</f>
        <v>#N/A</v>
      </c>
      <c r="I78" s="2" t="s">
        <v>27</v>
      </c>
    </row>
    <row r="79" ht="22.5" customHeight="1">
      <c r="A79" s="5" t="s">
        <v>121</v>
      </c>
      <c r="B79" s="2" t="s">
        <v>24</v>
      </c>
      <c r="C79" s="6" t="str">
        <f t="shared" si="1"/>
        <v>Bairagi_8</v>
      </c>
      <c r="D79" s="7"/>
      <c r="E79" s="8" t="s">
        <v>25</v>
      </c>
      <c r="F79" s="8" t="s">
        <v>37</v>
      </c>
      <c r="H79" s="2" t="str">
        <f>VLOOKUP(F79, ArtistCount!$A$1:$C$286, 3, FALSE)</f>
        <v>#N/A</v>
      </c>
      <c r="I79" s="2" t="s">
        <v>27</v>
      </c>
    </row>
    <row r="80" ht="22.5" customHeight="1">
      <c r="A80" s="5" t="s">
        <v>121</v>
      </c>
      <c r="B80" s="2" t="s">
        <v>32</v>
      </c>
      <c r="C80" s="6" t="str">
        <f t="shared" si="1"/>
        <v>Bairagi_9</v>
      </c>
      <c r="D80" s="7"/>
      <c r="E80" s="8" t="s">
        <v>25</v>
      </c>
      <c r="F80" s="8" t="s">
        <v>37</v>
      </c>
      <c r="H80" s="2" t="str">
        <f>VLOOKUP(F80, ArtistCount!$A$1:$C$286, 3, FALSE)</f>
        <v>#N/A</v>
      </c>
      <c r="I80" s="2" t="s">
        <v>27</v>
      </c>
    </row>
    <row r="81" ht="22.5" customHeight="1">
      <c r="A81" s="5" t="s">
        <v>121</v>
      </c>
      <c r="B81" s="2" t="s">
        <v>32</v>
      </c>
      <c r="C81" s="6" t="str">
        <f t="shared" si="1"/>
        <v>Bairagi_10</v>
      </c>
      <c r="D81" s="7"/>
      <c r="E81" s="8" t="s">
        <v>25</v>
      </c>
      <c r="F81" s="8" t="s">
        <v>37</v>
      </c>
      <c r="H81" s="2" t="str">
        <f>VLOOKUP(F81, ArtistCount!$A$1:$C$286, 3, FALSE)</f>
        <v>#N/A</v>
      </c>
      <c r="I81" s="2" t="s">
        <v>27</v>
      </c>
    </row>
    <row r="82" ht="22.5" customHeight="1">
      <c r="A82" s="5" t="s">
        <v>124</v>
      </c>
      <c r="B82" s="2" t="s">
        <v>38</v>
      </c>
      <c r="C82" s="6" t="str">
        <f t="shared" si="1"/>
        <v>Bairagi Todi_1</v>
      </c>
      <c r="D82" s="12" t="s">
        <v>125</v>
      </c>
      <c r="E82" s="2" t="s">
        <v>25</v>
      </c>
      <c r="F82" s="2" t="s">
        <v>126</v>
      </c>
      <c r="H82" s="6" t="str">
        <f>VLOOKUP(F82, ArtistCount!$A$1:$C$286, 3, FALSE)</f>
        <v>#N/A</v>
      </c>
    </row>
    <row r="83" ht="22.5" customHeight="1">
      <c r="A83" s="5" t="s">
        <v>124</v>
      </c>
      <c r="B83" s="2" t="s">
        <v>127</v>
      </c>
      <c r="C83" s="6" t="str">
        <f t="shared" si="1"/>
        <v>Bairagi Todi_2</v>
      </c>
      <c r="D83" s="12" t="s">
        <v>128</v>
      </c>
      <c r="E83" s="2" t="s">
        <v>25</v>
      </c>
      <c r="F83" s="2" t="s">
        <v>129</v>
      </c>
      <c r="H83" s="6" t="str">
        <f>VLOOKUP(F83, ArtistCount!$A$1:$C$286, 3, FALSE)</f>
        <v>#N/A</v>
      </c>
    </row>
    <row r="84" ht="22.5" customHeight="1">
      <c r="A84" s="5" t="s">
        <v>124</v>
      </c>
      <c r="B84" s="2" t="s">
        <v>43</v>
      </c>
      <c r="C84" s="2" t="str">
        <f t="shared" si="1"/>
        <v>Bairagi Todi_3</v>
      </c>
      <c r="D84" s="15" t="s">
        <v>130</v>
      </c>
      <c r="E84" s="2" t="s">
        <v>91</v>
      </c>
      <c r="F84" s="2" t="s">
        <v>131</v>
      </c>
      <c r="H84" s="6" t="str">
        <f>VLOOKUP(F84, ArtistCount!$A$1:$C$286, 3, FALSE)</f>
        <v>#N/A</v>
      </c>
      <c r="L84" s="2" t="s">
        <v>132</v>
      </c>
    </row>
    <row r="85" ht="22.5" customHeight="1">
      <c r="A85" s="5" t="s">
        <v>124</v>
      </c>
      <c r="B85" s="2" t="s">
        <v>38</v>
      </c>
      <c r="C85" s="6" t="str">
        <f t="shared" si="1"/>
        <v>Bairagi Todi_4</v>
      </c>
      <c r="D85" s="13" t="s">
        <v>133</v>
      </c>
      <c r="E85" s="2" t="s">
        <v>25</v>
      </c>
      <c r="F85" s="2" t="s">
        <v>134</v>
      </c>
      <c r="H85" s="6" t="str">
        <f>VLOOKUP(F85, ArtistCount!$A$1:$C$286, 3, FALSE)</f>
        <v>#N/A</v>
      </c>
    </row>
    <row r="86" ht="22.5" customHeight="1">
      <c r="A86" s="5" t="s">
        <v>124</v>
      </c>
      <c r="B86" s="2" t="s">
        <v>32</v>
      </c>
      <c r="C86" s="6" t="str">
        <f t="shared" si="1"/>
        <v>Bairagi Todi_5</v>
      </c>
      <c r="D86" s="13" t="s">
        <v>135</v>
      </c>
      <c r="E86" s="2" t="s">
        <v>25</v>
      </c>
      <c r="F86" s="8" t="s">
        <v>136</v>
      </c>
      <c r="H86" s="6" t="str">
        <f>VLOOKUP(F86, ArtistCount!$A$1:$C$286, 3, FALSE)</f>
        <v>#N/A</v>
      </c>
    </row>
    <row r="87" ht="22.5" customHeight="1">
      <c r="A87" s="5" t="s">
        <v>124</v>
      </c>
      <c r="B87" s="2" t="s">
        <v>89</v>
      </c>
      <c r="C87" s="6" t="str">
        <f t="shared" si="1"/>
        <v>Bairagi Todi_6</v>
      </c>
      <c r="D87" s="13" t="s">
        <v>137</v>
      </c>
      <c r="E87" s="2" t="s">
        <v>25</v>
      </c>
      <c r="F87" s="2" t="s">
        <v>138</v>
      </c>
      <c r="H87" s="6" t="str">
        <f>VLOOKUP(F87, ArtistCount!$A$1:$C$286, 3, FALSE)</f>
        <v>#N/A</v>
      </c>
    </row>
    <row r="88" ht="22.5" customHeight="1">
      <c r="A88" s="5" t="s">
        <v>124</v>
      </c>
      <c r="B88" s="2" t="s">
        <v>38</v>
      </c>
      <c r="C88" s="6" t="str">
        <f t="shared" si="1"/>
        <v>Bairagi Todi_7</v>
      </c>
      <c r="D88" s="15" t="s">
        <v>139</v>
      </c>
      <c r="E88" s="2" t="s">
        <v>25</v>
      </c>
      <c r="F88" s="2" t="s">
        <v>140</v>
      </c>
      <c r="H88" s="6" t="str">
        <f>VLOOKUP(F88, ArtistCount!$A$1:$C$286, 3, FALSE)</f>
        <v>#N/A</v>
      </c>
    </row>
    <row r="89" ht="22.5" customHeight="1">
      <c r="A89" s="5" t="s">
        <v>141</v>
      </c>
      <c r="B89" s="2" t="s">
        <v>24</v>
      </c>
      <c r="C89" s="6" t="str">
        <f t="shared" si="1"/>
        <v>Basant_1</v>
      </c>
      <c r="D89" s="18"/>
      <c r="E89" s="8" t="s">
        <v>25</v>
      </c>
      <c r="F89" s="8" t="s">
        <v>26</v>
      </c>
      <c r="H89" s="2" t="str">
        <f>VLOOKUP(F89, ArtistCount!$A$1:$C$286, 3, FALSE)</f>
        <v>#N/A</v>
      </c>
      <c r="I89" s="2" t="s">
        <v>27</v>
      </c>
    </row>
    <row r="90" ht="22.5" customHeight="1">
      <c r="A90" s="5" t="s">
        <v>141</v>
      </c>
      <c r="B90" s="2" t="s">
        <v>38</v>
      </c>
      <c r="C90" s="6" t="str">
        <f t="shared" si="1"/>
        <v>Basant_2</v>
      </c>
      <c r="D90" s="18"/>
      <c r="E90" s="8" t="s">
        <v>25</v>
      </c>
      <c r="F90" s="8" t="s">
        <v>142</v>
      </c>
      <c r="H90" s="2" t="str">
        <f>VLOOKUP(F90, ArtistCount!$A$1:$C$286, 3, FALSE)</f>
        <v>#N/A</v>
      </c>
      <c r="I90" s="2" t="s">
        <v>27</v>
      </c>
    </row>
    <row r="91" ht="22.5" customHeight="1">
      <c r="A91" s="5" t="s">
        <v>141</v>
      </c>
      <c r="B91" s="9" t="s">
        <v>43</v>
      </c>
      <c r="C91" s="6" t="str">
        <f t="shared" si="1"/>
        <v>Basant_3</v>
      </c>
      <c r="D91" s="18"/>
      <c r="E91" s="8" t="s">
        <v>25</v>
      </c>
      <c r="F91" s="8" t="s">
        <v>74</v>
      </c>
      <c r="H91" s="2" t="str">
        <f>VLOOKUP(F91, ArtistCount!$A$1:$C$286, 3, FALSE)</f>
        <v>#N/A</v>
      </c>
      <c r="I91" s="2" t="s">
        <v>27</v>
      </c>
    </row>
    <row r="92" ht="22.5" customHeight="1">
      <c r="A92" s="5" t="s">
        <v>141</v>
      </c>
      <c r="B92" s="2" t="s">
        <v>24</v>
      </c>
      <c r="C92" s="6" t="str">
        <f t="shared" si="1"/>
        <v>Basant_4</v>
      </c>
      <c r="D92" s="18"/>
      <c r="E92" s="8" t="s">
        <v>25</v>
      </c>
      <c r="F92" s="8" t="s">
        <v>143</v>
      </c>
      <c r="H92" s="2" t="str">
        <f>VLOOKUP(F92, ArtistCount!$A$1:$C$286, 3, FALSE)</f>
        <v>#N/A</v>
      </c>
      <c r="I92" s="2" t="s">
        <v>27</v>
      </c>
    </row>
    <row r="93" ht="22.5" customHeight="1">
      <c r="A93" s="5" t="s">
        <v>141</v>
      </c>
      <c r="B93" s="2" t="s">
        <v>29</v>
      </c>
      <c r="C93" s="6" t="str">
        <f t="shared" si="1"/>
        <v>Basant_5</v>
      </c>
      <c r="D93" s="18"/>
      <c r="E93" s="8" t="s">
        <v>25</v>
      </c>
      <c r="F93" s="8" t="s">
        <v>144</v>
      </c>
      <c r="H93" s="2" t="str">
        <f>VLOOKUP(F93, ArtistCount!$A$1:$C$286, 3, FALSE)</f>
        <v>#N/A</v>
      </c>
      <c r="I93" s="2" t="s">
        <v>27</v>
      </c>
    </row>
    <row r="94" ht="22.5" customHeight="1">
      <c r="A94" s="5" t="s">
        <v>141</v>
      </c>
      <c r="B94" s="2" t="s">
        <v>29</v>
      </c>
      <c r="C94" s="6" t="str">
        <f t="shared" si="1"/>
        <v>Basant_6</v>
      </c>
      <c r="D94" s="18"/>
      <c r="E94" s="8" t="s">
        <v>25</v>
      </c>
      <c r="F94" s="8" t="s">
        <v>64</v>
      </c>
      <c r="H94" s="2" t="str">
        <f>VLOOKUP(F94, ArtistCount!$A$1:$C$286, 3, FALSE)</f>
        <v>#N/A</v>
      </c>
      <c r="I94" s="2" t="s">
        <v>27</v>
      </c>
    </row>
    <row r="95" ht="22.5" customHeight="1">
      <c r="A95" s="5" t="s">
        <v>141</v>
      </c>
      <c r="B95" s="2" t="s">
        <v>38</v>
      </c>
      <c r="C95" s="6" t="str">
        <f t="shared" si="1"/>
        <v>Basant_7</v>
      </c>
      <c r="D95" s="18"/>
      <c r="E95" s="8" t="s">
        <v>25</v>
      </c>
      <c r="F95" s="8" t="s">
        <v>64</v>
      </c>
      <c r="H95" s="2" t="str">
        <f>VLOOKUP(F95, ArtistCount!$A$1:$C$286, 3, FALSE)</f>
        <v>#N/A</v>
      </c>
      <c r="I95" s="2" t="s">
        <v>27</v>
      </c>
    </row>
    <row r="96" ht="22.5" customHeight="1">
      <c r="A96" s="5" t="s">
        <v>141</v>
      </c>
      <c r="B96" s="2" t="s">
        <v>24</v>
      </c>
      <c r="C96" s="6" t="str">
        <f t="shared" si="1"/>
        <v>Basant_8</v>
      </c>
      <c r="D96" s="18"/>
      <c r="E96" s="8" t="s">
        <v>25</v>
      </c>
      <c r="F96" s="8" t="s">
        <v>56</v>
      </c>
      <c r="H96" s="2" t="str">
        <f>VLOOKUP(F96, ArtistCount!$A$1:$C$286, 3, FALSE)</f>
        <v>#N/A</v>
      </c>
      <c r="I96" s="2" t="s">
        <v>27</v>
      </c>
    </row>
    <row r="97" ht="22.5" customHeight="1">
      <c r="A97" s="5" t="s">
        <v>141</v>
      </c>
      <c r="B97" s="2" t="s">
        <v>24</v>
      </c>
      <c r="C97" s="6" t="str">
        <f t="shared" si="1"/>
        <v>Basant_9</v>
      </c>
      <c r="D97" s="18"/>
      <c r="E97" s="8" t="s">
        <v>25</v>
      </c>
      <c r="F97" s="8" t="s">
        <v>34</v>
      </c>
      <c r="H97" s="2" t="str">
        <f>VLOOKUP(F97, ArtistCount!$A$1:$C$286, 3, FALSE)</f>
        <v>#N/A</v>
      </c>
      <c r="I97" s="2" t="s">
        <v>27</v>
      </c>
    </row>
    <row r="98" ht="22.5" customHeight="1">
      <c r="A98" s="5" t="s">
        <v>141</v>
      </c>
      <c r="B98" s="2" t="s">
        <v>24</v>
      </c>
      <c r="C98" s="6" t="str">
        <f t="shared" si="1"/>
        <v>Basant_10</v>
      </c>
      <c r="D98" s="18"/>
      <c r="E98" s="8" t="s">
        <v>25</v>
      </c>
      <c r="F98" s="8" t="s">
        <v>77</v>
      </c>
      <c r="H98" s="2" t="str">
        <f>VLOOKUP(F98, ArtistCount!$A$1:$C$286, 3, FALSE)</f>
        <v>#N/A</v>
      </c>
      <c r="I98" s="2" t="s">
        <v>27</v>
      </c>
    </row>
    <row r="99" ht="22.5" customHeight="1">
      <c r="A99" s="5" t="s">
        <v>145</v>
      </c>
      <c r="B99" s="2" t="s">
        <v>24</v>
      </c>
      <c r="C99" s="6" t="str">
        <f t="shared" si="1"/>
        <v>Basant Mukhari_1</v>
      </c>
      <c r="D99" s="12" t="s">
        <v>146</v>
      </c>
      <c r="E99" s="2" t="s">
        <v>25</v>
      </c>
      <c r="F99" s="2" t="s">
        <v>56</v>
      </c>
      <c r="H99" s="2" t="str">
        <f>VLOOKUP(F99, ArtistCount!$A$1:$C$286, 3, FALSE)</f>
        <v>#N/A</v>
      </c>
      <c r="I99" s="2" t="s">
        <v>147</v>
      </c>
    </row>
    <row r="100" ht="22.5" customHeight="1">
      <c r="A100" s="5" t="s">
        <v>145</v>
      </c>
      <c r="B100" s="2" t="s">
        <v>43</v>
      </c>
      <c r="C100" s="6" t="str">
        <f t="shared" si="1"/>
        <v>Basant Mukhari_2</v>
      </c>
      <c r="D100" s="12" t="s">
        <v>148</v>
      </c>
      <c r="E100" s="2" t="s">
        <v>25</v>
      </c>
      <c r="F100" s="2" t="s">
        <v>94</v>
      </c>
      <c r="H100" s="2" t="str">
        <f>VLOOKUP(F100, ArtistCount!$A$1:$C$286, 3, FALSE)</f>
        <v>#N/A</v>
      </c>
      <c r="I100" s="2" t="s">
        <v>42</v>
      </c>
    </row>
    <row r="101" ht="22.5" customHeight="1">
      <c r="A101" s="5" t="s">
        <v>145</v>
      </c>
      <c r="B101" s="2" t="s">
        <v>28</v>
      </c>
      <c r="C101" s="2" t="str">
        <f t="shared" si="1"/>
        <v>Basant Mukhari_3</v>
      </c>
      <c r="D101" s="12" t="s">
        <v>149</v>
      </c>
      <c r="E101" s="2" t="s">
        <v>25</v>
      </c>
      <c r="F101" s="2" t="s">
        <v>150</v>
      </c>
      <c r="H101" s="2" t="str">
        <f>VLOOKUP(F101, ArtistCount!$A$1:$C$286, 3, FALSE)</f>
        <v>#N/A</v>
      </c>
      <c r="I101" s="2" t="s">
        <v>80</v>
      </c>
      <c r="L101" s="2" t="s">
        <v>151</v>
      </c>
    </row>
    <row r="102" ht="22.5" customHeight="1">
      <c r="A102" s="5" t="s">
        <v>145</v>
      </c>
      <c r="B102" s="2" t="s">
        <v>38</v>
      </c>
      <c r="C102" s="6" t="str">
        <f t="shared" si="1"/>
        <v>Basant Mukhari_4</v>
      </c>
      <c r="D102" s="12" t="s">
        <v>152</v>
      </c>
      <c r="E102" s="2" t="s">
        <v>25</v>
      </c>
      <c r="F102" s="2" t="s">
        <v>153</v>
      </c>
      <c r="H102" s="2" t="str">
        <f>VLOOKUP(F102, ArtistCount!$A$1:$C$286, 3, FALSE)</f>
        <v>#N/A</v>
      </c>
      <c r="I102" s="2" t="s">
        <v>154</v>
      </c>
    </row>
    <row r="103" ht="22.5" customHeight="1">
      <c r="A103" s="5" t="s">
        <v>145</v>
      </c>
      <c r="B103" s="2" t="s">
        <v>43</v>
      </c>
      <c r="C103" s="6" t="str">
        <f t="shared" si="1"/>
        <v>Basant Mukhari_5</v>
      </c>
      <c r="D103" s="12" t="s">
        <v>155</v>
      </c>
      <c r="E103" s="2" t="s">
        <v>25</v>
      </c>
      <c r="F103" s="2" t="s">
        <v>69</v>
      </c>
      <c r="H103" s="6" t="str">
        <f>VLOOKUP(F103, ArtistCount!$A$1:$C$286, 3, FALSE)</f>
        <v>#N/A</v>
      </c>
    </row>
    <row r="104" ht="22.5" customHeight="1">
      <c r="A104" s="5" t="s">
        <v>145</v>
      </c>
      <c r="B104" s="2" t="s">
        <v>38</v>
      </c>
      <c r="C104" s="6" t="str">
        <f t="shared" si="1"/>
        <v>Basant Mukhari_6</v>
      </c>
      <c r="D104" s="15" t="s">
        <v>156</v>
      </c>
      <c r="E104" s="2" t="s">
        <v>25</v>
      </c>
      <c r="F104" s="2" t="s">
        <v>157</v>
      </c>
      <c r="H104" s="6" t="str">
        <f>VLOOKUP(F104, ArtistCount!$A$1:$C$286, 3, FALSE)</f>
        <v>#N/A</v>
      </c>
    </row>
    <row r="105" ht="22.5" customHeight="1">
      <c r="A105" s="5" t="s">
        <v>145</v>
      </c>
      <c r="B105" s="2" t="s">
        <v>32</v>
      </c>
      <c r="C105" s="6" t="str">
        <f t="shared" si="1"/>
        <v>Basant Mukhari_7</v>
      </c>
      <c r="D105" s="15" t="s">
        <v>158</v>
      </c>
      <c r="E105" s="2" t="s">
        <v>25</v>
      </c>
      <c r="F105" s="2" t="s">
        <v>37</v>
      </c>
      <c r="H105" s="6" t="str">
        <f>VLOOKUP(F105, ArtistCount!$A$1:$C$286, 3, FALSE)</f>
        <v>#N/A</v>
      </c>
    </row>
    <row r="106" ht="22.5" customHeight="1">
      <c r="A106" s="5" t="s">
        <v>145</v>
      </c>
      <c r="B106" s="2" t="s">
        <v>43</v>
      </c>
      <c r="C106" s="6" t="str">
        <f t="shared" si="1"/>
        <v>Basant Mukhari_8</v>
      </c>
      <c r="D106" s="12" t="s">
        <v>159</v>
      </c>
      <c r="E106" s="2" t="s">
        <v>25</v>
      </c>
      <c r="F106" s="8" t="s">
        <v>160</v>
      </c>
      <c r="H106" s="6" t="str">
        <f>VLOOKUP(F106, ArtistCount!$A$1:$C$286, 3, FALSE)</f>
        <v>#N/A</v>
      </c>
    </row>
    <row r="107" ht="22.5" customHeight="1">
      <c r="A107" s="5" t="s">
        <v>145</v>
      </c>
      <c r="B107" s="2" t="s">
        <v>36</v>
      </c>
      <c r="C107" s="6" t="str">
        <f t="shared" si="1"/>
        <v>Basant Mukhari_9</v>
      </c>
      <c r="D107" s="12" t="s">
        <v>161</v>
      </c>
      <c r="E107" s="2" t="s">
        <v>162</v>
      </c>
      <c r="F107" s="2" t="s">
        <v>163</v>
      </c>
      <c r="H107" s="6" t="str">
        <f>VLOOKUP(F107, ArtistCount!$A$1:$C$286, 3, FALSE)</f>
        <v>#N/A</v>
      </c>
    </row>
    <row r="108" ht="22.5" customHeight="1">
      <c r="A108" s="5" t="s">
        <v>164</v>
      </c>
      <c r="B108" s="2" t="s">
        <v>29</v>
      </c>
      <c r="C108" s="6" t="str">
        <f t="shared" si="1"/>
        <v>Bhairav_1</v>
      </c>
      <c r="D108" s="7"/>
      <c r="E108" s="8" t="s">
        <v>25</v>
      </c>
      <c r="F108" s="8" t="s">
        <v>142</v>
      </c>
      <c r="H108" s="2" t="str">
        <f>VLOOKUP(F108, ArtistCount!$A$1:$C$286, 3, FALSE)</f>
        <v>#N/A</v>
      </c>
      <c r="I108" s="2" t="s">
        <v>27</v>
      </c>
    </row>
    <row r="109" ht="22.5" customHeight="1">
      <c r="A109" s="5" t="s">
        <v>164</v>
      </c>
      <c r="B109" s="2" t="s">
        <v>24</v>
      </c>
      <c r="C109" s="6" t="str">
        <f t="shared" si="1"/>
        <v>Bhairav_2</v>
      </c>
      <c r="D109" s="7"/>
      <c r="E109" s="8" t="s">
        <v>25</v>
      </c>
      <c r="F109" s="8" t="s">
        <v>76</v>
      </c>
      <c r="H109" s="2" t="str">
        <f>VLOOKUP(F109, ArtistCount!$A$1:$C$286, 3, FALSE)</f>
        <v>#N/A</v>
      </c>
      <c r="I109" s="2" t="s">
        <v>27</v>
      </c>
    </row>
    <row r="110" ht="22.5" customHeight="1">
      <c r="A110" s="5" t="s">
        <v>164</v>
      </c>
      <c r="B110" s="2" t="s">
        <v>24</v>
      </c>
      <c r="C110" s="6" t="str">
        <f t="shared" si="1"/>
        <v>Bhairav_3</v>
      </c>
      <c r="D110" s="7"/>
      <c r="E110" s="8" t="s">
        <v>25</v>
      </c>
      <c r="F110" s="8" t="s">
        <v>76</v>
      </c>
      <c r="H110" s="2" t="str">
        <f>VLOOKUP(F110, ArtistCount!$A$1:$C$286, 3, FALSE)</f>
        <v>#N/A</v>
      </c>
      <c r="I110" s="2" t="s">
        <v>27</v>
      </c>
    </row>
    <row r="111" ht="22.5" customHeight="1">
      <c r="A111" s="5" t="s">
        <v>164</v>
      </c>
      <c r="B111" s="2" t="s">
        <v>24</v>
      </c>
      <c r="C111" s="6" t="str">
        <f t="shared" si="1"/>
        <v>Bhairav_4</v>
      </c>
      <c r="D111" s="7"/>
      <c r="E111" s="8" t="s">
        <v>25</v>
      </c>
      <c r="F111" s="8" t="s">
        <v>76</v>
      </c>
      <c r="H111" s="2" t="str">
        <f>VLOOKUP(F111, ArtistCount!$A$1:$C$286, 3, FALSE)</f>
        <v>#N/A</v>
      </c>
      <c r="I111" s="2" t="s">
        <v>27</v>
      </c>
    </row>
    <row r="112" ht="22.5" customHeight="1">
      <c r="A112" s="5" t="s">
        <v>164</v>
      </c>
      <c r="B112" s="2" t="s">
        <v>24</v>
      </c>
      <c r="C112" s="6" t="str">
        <f t="shared" si="1"/>
        <v>Bhairav_5</v>
      </c>
      <c r="D112" s="7"/>
      <c r="E112" s="8" t="s">
        <v>25</v>
      </c>
      <c r="F112" s="8" t="s">
        <v>76</v>
      </c>
      <c r="H112" s="2" t="str">
        <f>VLOOKUP(F112, ArtistCount!$A$1:$C$286, 3, FALSE)</f>
        <v>#N/A</v>
      </c>
      <c r="I112" s="2" t="s">
        <v>27</v>
      </c>
    </row>
    <row r="113" ht="22.5" customHeight="1">
      <c r="A113" s="5" t="s">
        <v>164</v>
      </c>
      <c r="B113" s="2" t="s">
        <v>32</v>
      </c>
      <c r="C113" s="6" t="str">
        <f t="shared" si="1"/>
        <v>Bhairav_6</v>
      </c>
      <c r="D113" s="7"/>
      <c r="E113" s="8" t="s">
        <v>25</v>
      </c>
      <c r="F113" s="8" t="s">
        <v>34</v>
      </c>
      <c r="H113" s="2" t="str">
        <f>VLOOKUP(F113, ArtistCount!$A$1:$C$286, 3, FALSE)</f>
        <v>#N/A</v>
      </c>
      <c r="I113" s="2" t="s">
        <v>27</v>
      </c>
    </row>
    <row r="114" ht="22.5" customHeight="1">
      <c r="A114" s="5" t="s">
        <v>164</v>
      </c>
      <c r="B114" s="2" t="s">
        <v>32</v>
      </c>
      <c r="C114" s="6" t="str">
        <f t="shared" si="1"/>
        <v>Bhairav_7</v>
      </c>
      <c r="D114" s="7"/>
      <c r="E114" s="8" t="s">
        <v>25</v>
      </c>
      <c r="F114" s="8" t="s">
        <v>34</v>
      </c>
      <c r="H114" s="2" t="str">
        <f>VLOOKUP(F114, ArtistCount!$A$1:$C$286, 3, FALSE)</f>
        <v>#N/A</v>
      </c>
      <c r="I114" s="2" t="s">
        <v>27</v>
      </c>
    </row>
    <row r="115" ht="22.5" customHeight="1">
      <c r="A115" s="5" t="s">
        <v>164</v>
      </c>
      <c r="B115" s="2" t="s">
        <v>58</v>
      </c>
      <c r="C115" s="6" t="str">
        <f t="shared" si="1"/>
        <v>Bhairav_8</v>
      </c>
      <c r="D115" s="7"/>
      <c r="E115" s="8" t="s">
        <v>25</v>
      </c>
      <c r="F115" s="8" t="s">
        <v>68</v>
      </c>
      <c r="H115" s="2" t="str">
        <f>VLOOKUP(F115, ArtistCount!$A$1:$C$286, 3, FALSE)</f>
        <v>#N/A</v>
      </c>
      <c r="I115" s="2" t="s">
        <v>27</v>
      </c>
    </row>
    <row r="116" ht="22.5" customHeight="1">
      <c r="A116" s="5" t="s">
        <v>164</v>
      </c>
      <c r="B116" s="2" t="s">
        <v>58</v>
      </c>
      <c r="C116" s="6" t="str">
        <f t="shared" si="1"/>
        <v>Bhairav_9</v>
      </c>
      <c r="D116" s="7"/>
      <c r="E116" s="8" t="s">
        <v>25</v>
      </c>
      <c r="F116" s="8" t="s">
        <v>68</v>
      </c>
      <c r="H116" s="2" t="str">
        <f>VLOOKUP(F116, ArtistCount!$A$1:$C$286, 3, FALSE)</f>
        <v>#N/A</v>
      </c>
      <c r="I116" s="2" t="s">
        <v>27</v>
      </c>
    </row>
    <row r="117" ht="22.5" customHeight="1">
      <c r="A117" s="5" t="s">
        <v>164</v>
      </c>
      <c r="B117" s="2" t="s">
        <v>24</v>
      </c>
      <c r="C117" s="6" t="str">
        <f t="shared" si="1"/>
        <v>Bhairav_10</v>
      </c>
      <c r="D117" s="7"/>
      <c r="E117" s="8" t="s">
        <v>25</v>
      </c>
      <c r="F117" s="8" t="s">
        <v>35</v>
      </c>
      <c r="H117" s="2" t="str">
        <f>VLOOKUP(F117, ArtistCount!$A$1:$C$286, 3, FALSE)</f>
        <v>#N/A</v>
      </c>
      <c r="I117" s="2" t="s">
        <v>27</v>
      </c>
    </row>
    <row r="118" ht="22.5" customHeight="1">
      <c r="A118" s="5" t="s">
        <v>165</v>
      </c>
      <c r="B118" s="2" t="s">
        <v>28</v>
      </c>
      <c r="C118" s="6" t="str">
        <f t="shared" si="1"/>
        <v>Bhairavi_1</v>
      </c>
      <c r="D118" s="13" t="s">
        <v>166</v>
      </c>
      <c r="E118" s="2" t="s">
        <v>167</v>
      </c>
      <c r="F118" s="2" t="s">
        <v>168</v>
      </c>
      <c r="H118" s="6" t="str">
        <f>VLOOKUP(F118, ArtistCount!$A$1:$C$286, 3, FALSE)</f>
        <v>#N/A</v>
      </c>
    </row>
    <row r="119" ht="22.5" customHeight="1">
      <c r="A119" s="5" t="s">
        <v>165</v>
      </c>
      <c r="B119" s="2" t="s">
        <v>32</v>
      </c>
      <c r="C119" s="6" t="str">
        <f t="shared" si="1"/>
        <v>Bhairavi_2</v>
      </c>
      <c r="D119" s="15" t="s">
        <v>169</v>
      </c>
      <c r="E119" s="2" t="s">
        <v>114</v>
      </c>
      <c r="F119" s="2" t="s">
        <v>170</v>
      </c>
      <c r="H119" s="2" t="str">
        <f>VLOOKUP(F119, ArtistCount!$A$1:$C$286, 3, FALSE)</f>
        <v>#N/A</v>
      </c>
      <c r="I119" s="2" t="s">
        <v>171</v>
      </c>
    </row>
    <row r="120" ht="22.5" customHeight="1">
      <c r="A120" s="5" t="s">
        <v>165</v>
      </c>
      <c r="B120" s="2" t="s">
        <v>43</v>
      </c>
      <c r="C120" s="6" t="str">
        <f t="shared" si="1"/>
        <v>Bhairavi_3</v>
      </c>
      <c r="D120" s="17" t="s">
        <v>172</v>
      </c>
      <c r="E120" s="2" t="s">
        <v>25</v>
      </c>
      <c r="F120" s="2" t="s">
        <v>52</v>
      </c>
      <c r="H120" s="6" t="str">
        <f>VLOOKUP(F120, ArtistCount!$A$1:$C$286, 3, FALSE)</f>
        <v>#N/A</v>
      </c>
    </row>
    <row r="121" ht="22.5" customHeight="1">
      <c r="A121" s="5" t="s">
        <v>165</v>
      </c>
      <c r="B121" s="2" t="s">
        <v>38</v>
      </c>
      <c r="C121" s="6" t="str">
        <f t="shared" si="1"/>
        <v>Bhairavi_4</v>
      </c>
      <c r="D121" s="13" t="s">
        <v>173</v>
      </c>
      <c r="E121" s="2" t="s">
        <v>25</v>
      </c>
      <c r="F121" s="2" t="s">
        <v>134</v>
      </c>
      <c r="H121" s="6" t="str">
        <f>VLOOKUP(F121, ArtistCount!$A$1:$C$286, 3, FALSE)</f>
        <v>#N/A</v>
      </c>
    </row>
    <row r="122" ht="22.5" customHeight="1">
      <c r="A122" s="5" t="s">
        <v>165</v>
      </c>
      <c r="B122" s="2" t="s">
        <v>32</v>
      </c>
      <c r="C122" s="6" t="str">
        <f t="shared" si="1"/>
        <v>Bhairavi_5</v>
      </c>
      <c r="D122" s="13" t="s">
        <v>174</v>
      </c>
      <c r="E122" s="2" t="s">
        <v>25</v>
      </c>
      <c r="F122" s="2" t="s">
        <v>34</v>
      </c>
      <c r="H122" s="6" t="str">
        <f>VLOOKUP(F122, ArtistCount!$A$1:$C$286, 3, FALSE)</f>
        <v>#N/A</v>
      </c>
    </row>
    <row r="123" ht="22.5" customHeight="1">
      <c r="A123" s="5" t="s">
        <v>165</v>
      </c>
      <c r="B123" s="2" t="s">
        <v>43</v>
      </c>
      <c r="C123" s="6" t="str">
        <f t="shared" si="1"/>
        <v>Bhairavi_6</v>
      </c>
      <c r="D123" s="13" t="s">
        <v>175</v>
      </c>
      <c r="E123" s="2" t="s">
        <v>25</v>
      </c>
      <c r="F123" s="2" t="s">
        <v>26</v>
      </c>
      <c r="H123" s="6" t="str">
        <f>VLOOKUP(F123, ArtistCount!$A$1:$C$286, 3, FALSE)</f>
        <v>#N/A</v>
      </c>
    </row>
    <row r="124" ht="22.5" customHeight="1">
      <c r="A124" s="5" t="s">
        <v>165</v>
      </c>
      <c r="B124" s="2" t="s">
        <v>32</v>
      </c>
      <c r="C124" s="6" t="str">
        <f t="shared" si="1"/>
        <v>Bhairavi_7</v>
      </c>
      <c r="D124" s="13" t="s">
        <v>176</v>
      </c>
      <c r="E124" s="2" t="s">
        <v>177</v>
      </c>
      <c r="F124" s="2" t="s">
        <v>178</v>
      </c>
      <c r="H124" s="6" t="str">
        <f>VLOOKUP(F124, ArtistCount!$A$1:$C$286, 3, FALSE)</f>
        <v>#N/A</v>
      </c>
    </row>
    <row r="125" ht="22.5" customHeight="1">
      <c r="A125" s="5" t="s">
        <v>165</v>
      </c>
      <c r="B125" s="2" t="s">
        <v>24</v>
      </c>
      <c r="C125" s="6" t="str">
        <f t="shared" si="1"/>
        <v>Bhairavi_8</v>
      </c>
      <c r="D125" s="15" t="s">
        <v>179</v>
      </c>
      <c r="E125" s="2" t="s">
        <v>114</v>
      </c>
      <c r="F125" s="2" t="s">
        <v>180</v>
      </c>
      <c r="H125" s="6" t="str">
        <f>VLOOKUP(F125, ArtistCount!$A$1:$C$286, 3, FALSE)</f>
        <v>#N/A</v>
      </c>
    </row>
    <row r="126" ht="22.5" customHeight="1">
      <c r="A126" s="5" t="s">
        <v>165</v>
      </c>
      <c r="B126" s="2" t="s">
        <v>62</v>
      </c>
      <c r="C126" s="6" t="str">
        <f t="shared" si="1"/>
        <v>Bhairavi_9</v>
      </c>
      <c r="D126" s="12" t="s">
        <v>181</v>
      </c>
      <c r="E126" s="2" t="s">
        <v>162</v>
      </c>
      <c r="F126" s="2" t="s">
        <v>182</v>
      </c>
      <c r="H126" s="6" t="str">
        <f>VLOOKUP(F126, ArtistCount!$A$1:$C$286, 3, FALSE)</f>
        <v>#N/A</v>
      </c>
    </row>
    <row r="127" ht="22.5" customHeight="1">
      <c r="A127" s="5" t="s">
        <v>165</v>
      </c>
      <c r="B127" s="2" t="s">
        <v>32</v>
      </c>
      <c r="C127" s="6" t="str">
        <f t="shared" si="1"/>
        <v>Bhairavi_10</v>
      </c>
      <c r="D127" s="12" t="s">
        <v>183</v>
      </c>
      <c r="E127" s="2" t="s">
        <v>25</v>
      </c>
      <c r="F127" s="2" t="s">
        <v>34</v>
      </c>
      <c r="H127" s="6" t="str">
        <f>VLOOKUP(F127, ArtistCount!$A$1:$C$286, 3, FALSE)</f>
        <v>#N/A</v>
      </c>
    </row>
    <row r="128" ht="22.5" customHeight="1">
      <c r="A128" s="5" t="s">
        <v>184</v>
      </c>
      <c r="B128" s="2" t="s">
        <v>28</v>
      </c>
      <c r="C128" s="6" t="str">
        <f t="shared" si="1"/>
        <v>Bhatiyar_1</v>
      </c>
      <c r="D128" s="13" t="s">
        <v>185</v>
      </c>
      <c r="E128" s="2" t="s">
        <v>25</v>
      </c>
      <c r="F128" s="2" t="s">
        <v>52</v>
      </c>
      <c r="H128" s="6" t="str">
        <f>VLOOKUP(F128, ArtistCount!$A$1:$C$286, 3, FALSE)</f>
        <v>#N/A</v>
      </c>
    </row>
    <row r="129" ht="22.5" customHeight="1">
      <c r="A129" s="5" t="s">
        <v>184</v>
      </c>
      <c r="B129" s="2" t="s">
        <v>32</v>
      </c>
      <c r="C129" s="6" t="str">
        <f t="shared" si="1"/>
        <v>Bhatiyar_2</v>
      </c>
      <c r="D129" s="13" t="s">
        <v>186</v>
      </c>
      <c r="E129" s="2" t="s">
        <v>25</v>
      </c>
      <c r="F129" s="2" t="s">
        <v>34</v>
      </c>
      <c r="H129" s="6" t="str">
        <f>VLOOKUP(F129, ArtistCount!$A$1:$C$286, 3, FALSE)</f>
        <v>#N/A</v>
      </c>
    </row>
    <row r="130" ht="22.5" customHeight="1">
      <c r="A130" s="5" t="s">
        <v>184</v>
      </c>
      <c r="B130" s="2" t="s">
        <v>24</v>
      </c>
      <c r="C130" s="6" t="str">
        <f t="shared" si="1"/>
        <v>Bhatiyar_3</v>
      </c>
      <c r="D130" s="12" t="s">
        <v>187</v>
      </c>
      <c r="E130" s="2" t="s">
        <v>25</v>
      </c>
      <c r="F130" s="2" t="s">
        <v>56</v>
      </c>
      <c r="H130" s="6" t="str">
        <f>VLOOKUP(F130, ArtistCount!$A$1:$C$286, 3, FALSE)</f>
        <v>#N/A</v>
      </c>
    </row>
    <row r="131" ht="22.5" customHeight="1">
      <c r="A131" s="5" t="s">
        <v>184</v>
      </c>
      <c r="B131" s="2" t="s">
        <v>32</v>
      </c>
      <c r="C131" s="6" t="str">
        <f t="shared" si="1"/>
        <v>Bhatiyar_4</v>
      </c>
      <c r="D131" s="15" t="s">
        <v>188</v>
      </c>
      <c r="E131" s="2" t="s">
        <v>25</v>
      </c>
      <c r="F131" s="2" t="s">
        <v>37</v>
      </c>
      <c r="H131" s="6" t="str">
        <f>VLOOKUP(F131, ArtistCount!$A$1:$C$286, 3, FALSE)</f>
        <v>#N/A</v>
      </c>
    </row>
    <row r="132" ht="22.5" customHeight="1">
      <c r="A132" s="5" t="s">
        <v>184</v>
      </c>
      <c r="B132" s="2" t="s">
        <v>38</v>
      </c>
      <c r="C132" s="6" t="str">
        <f t="shared" si="1"/>
        <v>Bhatiyar_5</v>
      </c>
      <c r="D132" s="13" t="s">
        <v>189</v>
      </c>
      <c r="E132" s="2" t="s">
        <v>25</v>
      </c>
      <c r="F132" s="2" t="s">
        <v>157</v>
      </c>
      <c r="H132" s="6" t="str">
        <f>VLOOKUP(F132, ArtistCount!$A$1:$C$286, 3, FALSE)</f>
        <v>#N/A</v>
      </c>
    </row>
    <row r="133" ht="22.5" customHeight="1">
      <c r="A133" s="5" t="s">
        <v>184</v>
      </c>
      <c r="B133" s="2" t="s">
        <v>43</v>
      </c>
      <c r="C133" s="6" t="str">
        <f t="shared" si="1"/>
        <v>Bhatiyar_6</v>
      </c>
      <c r="D133" s="13" t="s">
        <v>190</v>
      </c>
      <c r="E133" s="2" t="s">
        <v>25</v>
      </c>
      <c r="F133" s="2" t="s">
        <v>94</v>
      </c>
      <c r="H133" s="6" t="str">
        <f>VLOOKUP(F133, ArtistCount!$A$1:$C$286, 3, FALSE)</f>
        <v>#N/A</v>
      </c>
    </row>
    <row r="134" ht="22.5" customHeight="1">
      <c r="A134" s="5" t="s">
        <v>184</v>
      </c>
      <c r="B134" s="2" t="s">
        <v>24</v>
      </c>
      <c r="C134" s="6" t="str">
        <f t="shared" si="1"/>
        <v>Bhatiyar_7</v>
      </c>
      <c r="D134" s="15" t="s">
        <v>191</v>
      </c>
      <c r="E134" s="2" t="s">
        <v>25</v>
      </c>
      <c r="F134" s="2" t="s">
        <v>69</v>
      </c>
      <c r="H134" s="6" t="str">
        <f>VLOOKUP(F134, ArtistCount!$A$1:$C$286, 3, FALSE)</f>
        <v>#N/A</v>
      </c>
    </row>
    <row r="135" ht="22.5" customHeight="1">
      <c r="A135" s="5" t="s">
        <v>184</v>
      </c>
      <c r="B135" s="2" t="s">
        <v>28</v>
      </c>
      <c r="C135" s="6" t="str">
        <f t="shared" si="1"/>
        <v>Bhatiyar_8</v>
      </c>
      <c r="D135" s="13" t="s">
        <v>192</v>
      </c>
      <c r="E135" s="2" t="s">
        <v>25</v>
      </c>
      <c r="F135" s="8" t="s">
        <v>193</v>
      </c>
      <c r="H135" s="6" t="str">
        <f>VLOOKUP(F135, ArtistCount!$A$1:$C$286, 3, FALSE)</f>
        <v>#N/A</v>
      </c>
    </row>
    <row r="136" ht="22.5" customHeight="1">
      <c r="A136" s="5" t="s">
        <v>184</v>
      </c>
      <c r="B136" s="2" t="s">
        <v>38</v>
      </c>
      <c r="C136" s="6" t="str">
        <f t="shared" si="1"/>
        <v>Bhatiyar_9</v>
      </c>
      <c r="D136" s="12" t="s">
        <v>194</v>
      </c>
      <c r="E136" s="2" t="s">
        <v>25</v>
      </c>
      <c r="F136" s="2" t="s">
        <v>153</v>
      </c>
      <c r="H136" s="2" t="str">
        <f>VLOOKUP(F136, ArtistCount!$A$1:$C$286, 3, FALSE)</f>
        <v>#N/A</v>
      </c>
      <c r="I136" s="2" t="s">
        <v>154</v>
      </c>
    </row>
    <row r="137" ht="22.5" customHeight="1">
      <c r="A137" s="5" t="s">
        <v>184</v>
      </c>
      <c r="B137" s="2" t="s">
        <v>24</v>
      </c>
      <c r="C137" s="6" t="str">
        <f t="shared" si="1"/>
        <v>Bhatiyar_10</v>
      </c>
      <c r="D137" s="12" t="s">
        <v>195</v>
      </c>
      <c r="E137" s="2" t="s">
        <v>25</v>
      </c>
      <c r="F137" s="2" t="s">
        <v>30</v>
      </c>
      <c r="H137" s="6" t="str">
        <f>VLOOKUP(F137, ArtistCount!$A$1:$C$286, 3, FALSE)</f>
        <v>#N/A</v>
      </c>
    </row>
    <row r="138" ht="22.5" customHeight="1">
      <c r="A138" s="5" t="s">
        <v>196</v>
      </c>
      <c r="B138" s="2" t="s">
        <v>29</v>
      </c>
      <c r="C138" s="6" t="str">
        <f t="shared" si="1"/>
        <v>Bheem_1</v>
      </c>
      <c r="D138" s="12" t="s">
        <v>197</v>
      </c>
      <c r="E138" s="2" t="s">
        <v>25</v>
      </c>
      <c r="F138" s="2" t="s">
        <v>198</v>
      </c>
      <c r="H138" s="6" t="str">
        <f>VLOOKUP(F138, ArtistCount!$A$1:$C$286, 3, FALSE)</f>
        <v>#N/A</v>
      </c>
    </row>
    <row r="139" ht="22.5" customHeight="1">
      <c r="A139" s="5" t="s">
        <v>196</v>
      </c>
      <c r="B139" s="2" t="s">
        <v>29</v>
      </c>
      <c r="C139" s="6" t="str">
        <f t="shared" si="1"/>
        <v>Bheem_2</v>
      </c>
      <c r="D139" s="12" t="s">
        <v>199</v>
      </c>
      <c r="E139" s="2" t="s">
        <v>25</v>
      </c>
      <c r="F139" s="2" t="s">
        <v>64</v>
      </c>
      <c r="G139" s="2"/>
      <c r="H139" s="6" t="str">
        <f>VLOOKUP(F139, ArtistCount!$A$1:$C$286, 3, FALSE)</f>
        <v>#N/A</v>
      </c>
      <c r="J139" s="2" t="s">
        <v>200</v>
      </c>
      <c r="K139" s="2"/>
    </row>
    <row r="140" ht="22.5" customHeight="1">
      <c r="A140" s="5" t="s">
        <v>196</v>
      </c>
      <c r="B140" s="2" t="s">
        <v>28</v>
      </c>
      <c r="C140" s="6" t="str">
        <f t="shared" si="1"/>
        <v>Bheem_3</v>
      </c>
      <c r="D140" s="15" t="s">
        <v>201</v>
      </c>
      <c r="E140" s="2" t="s">
        <v>25</v>
      </c>
      <c r="F140" s="2" t="s">
        <v>202</v>
      </c>
      <c r="H140" s="6" t="str">
        <f>VLOOKUP(F140, ArtistCount!$A$1:$C$286, 3, FALSE)</f>
        <v>#N/A</v>
      </c>
    </row>
    <row r="141" ht="22.5" customHeight="1">
      <c r="A141" s="5" t="s">
        <v>203</v>
      </c>
      <c r="B141" s="2" t="s">
        <v>38</v>
      </c>
      <c r="C141" s="6" t="str">
        <f t="shared" si="1"/>
        <v>Bhimpalasi_1</v>
      </c>
      <c r="D141" s="15" t="s">
        <v>204</v>
      </c>
      <c r="E141" s="2" t="s">
        <v>25</v>
      </c>
      <c r="F141" s="2" t="s">
        <v>157</v>
      </c>
      <c r="H141" s="2" t="str">
        <f>VLOOKUP(F141, ArtistCount!$A$1:$C$286, 3, FALSE)</f>
        <v>#N/A</v>
      </c>
      <c r="I141" s="2" t="s">
        <v>171</v>
      </c>
    </row>
    <row r="142" ht="22.5" customHeight="1">
      <c r="A142" s="5" t="s">
        <v>203</v>
      </c>
      <c r="B142" s="2" t="s">
        <v>127</v>
      </c>
      <c r="C142" s="6" t="str">
        <f t="shared" si="1"/>
        <v>Bhimpalasi_2</v>
      </c>
      <c r="D142" s="12" t="s">
        <v>205</v>
      </c>
      <c r="E142" s="2" t="s">
        <v>25</v>
      </c>
      <c r="F142" s="2" t="s">
        <v>206</v>
      </c>
      <c r="H142" s="2" t="str">
        <f>VLOOKUP(F142, ArtistCount!$A$1:$C$286, 3, FALSE)</f>
        <v>#N/A</v>
      </c>
      <c r="I142" s="2" t="s">
        <v>80</v>
      </c>
    </row>
    <row r="143" ht="22.5" customHeight="1">
      <c r="A143" s="5" t="s">
        <v>203</v>
      </c>
      <c r="B143" s="2" t="s">
        <v>43</v>
      </c>
      <c r="C143" s="6" t="str">
        <f t="shared" si="1"/>
        <v>Bhimpalasi_3</v>
      </c>
      <c r="D143" s="12" t="s">
        <v>207</v>
      </c>
      <c r="E143" s="2" t="s">
        <v>25</v>
      </c>
      <c r="F143" s="2" t="s">
        <v>83</v>
      </c>
      <c r="H143" s="2" t="str">
        <f>VLOOKUP(F143, ArtistCount!$A$1:$C$286, 3, FALSE)</f>
        <v>#N/A</v>
      </c>
      <c r="I143" s="2" t="s">
        <v>80</v>
      </c>
    </row>
    <row r="144" ht="22.5" customHeight="1">
      <c r="A144" s="5" t="s">
        <v>203</v>
      </c>
      <c r="B144" s="2" t="s">
        <v>32</v>
      </c>
      <c r="C144" s="6" t="str">
        <f t="shared" si="1"/>
        <v>Bhimpalasi_4</v>
      </c>
      <c r="D144" s="12" t="s">
        <v>208</v>
      </c>
      <c r="E144" s="2" t="s">
        <v>114</v>
      </c>
      <c r="F144" s="2" t="s">
        <v>170</v>
      </c>
      <c r="H144" s="6" t="str">
        <f>VLOOKUP(F144, ArtistCount!$A$1:$C$286, 3, FALSE)</f>
        <v>#N/A</v>
      </c>
    </row>
    <row r="145" ht="22.5" customHeight="1">
      <c r="A145" s="5" t="s">
        <v>203</v>
      </c>
      <c r="B145" s="2" t="s">
        <v>32</v>
      </c>
      <c r="C145" s="6" t="str">
        <f t="shared" si="1"/>
        <v>Bhimpalasi_5</v>
      </c>
      <c r="D145" s="12" t="s">
        <v>209</v>
      </c>
      <c r="E145" s="2" t="s">
        <v>25</v>
      </c>
      <c r="F145" s="2" t="s">
        <v>34</v>
      </c>
      <c r="H145" s="6" t="str">
        <f>VLOOKUP(F145, ArtistCount!$A$1:$C$286, 3, FALSE)</f>
        <v>#N/A</v>
      </c>
    </row>
    <row r="146" ht="22.5" customHeight="1">
      <c r="A146" s="5" t="s">
        <v>203</v>
      </c>
      <c r="B146" s="2" t="s">
        <v>32</v>
      </c>
      <c r="C146" s="6" t="str">
        <f t="shared" si="1"/>
        <v>Bhimpalasi_6</v>
      </c>
      <c r="D146" s="12" t="s">
        <v>210</v>
      </c>
      <c r="E146" s="2" t="s">
        <v>114</v>
      </c>
      <c r="F146" s="2" t="s">
        <v>211</v>
      </c>
      <c r="H146" s="2" t="str">
        <f>VLOOKUP(F146, ArtistCount!$A$1:$C$286, 3, FALSE)</f>
        <v>#N/A</v>
      </c>
      <c r="I146" s="2" t="s">
        <v>212</v>
      </c>
    </row>
    <row r="147" ht="22.5" customHeight="1">
      <c r="A147" s="5" t="s">
        <v>203</v>
      </c>
      <c r="B147" s="2" t="s">
        <v>43</v>
      </c>
      <c r="C147" s="6" t="str">
        <f t="shared" si="1"/>
        <v>Bhimpalasi_7</v>
      </c>
      <c r="D147" s="12" t="s">
        <v>213</v>
      </c>
      <c r="E147" s="2" t="s">
        <v>25</v>
      </c>
      <c r="F147" s="2" t="s">
        <v>52</v>
      </c>
      <c r="H147" s="2" t="str">
        <f>VLOOKUP(F147, ArtistCount!$A$1:$C$286, 3, FALSE)</f>
        <v>#N/A</v>
      </c>
      <c r="I147" s="2" t="s">
        <v>214</v>
      </c>
    </row>
    <row r="148" ht="22.5" customHeight="1">
      <c r="A148" s="5" t="s">
        <v>203</v>
      </c>
      <c r="B148" s="2" t="s">
        <v>24</v>
      </c>
      <c r="C148" s="6" t="str">
        <f t="shared" si="1"/>
        <v>Bhimpalasi_8</v>
      </c>
      <c r="D148" s="15" t="s">
        <v>215</v>
      </c>
      <c r="E148" s="2" t="s">
        <v>25</v>
      </c>
      <c r="F148" s="2" t="s">
        <v>56</v>
      </c>
      <c r="H148" s="6" t="str">
        <f>VLOOKUP(F148, ArtistCount!$A$1:$C$286, 3, FALSE)</f>
        <v>#N/A</v>
      </c>
    </row>
    <row r="149" ht="22.5" customHeight="1">
      <c r="A149" s="5" t="s">
        <v>203</v>
      </c>
      <c r="B149" s="2" t="s">
        <v>24</v>
      </c>
      <c r="C149" s="6" t="str">
        <f t="shared" si="1"/>
        <v>Bhimpalasi_9</v>
      </c>
      <c r="D149" s="12" t="s">
        <v>216</v>
      </c>
      <c r="E149" s="2" t="s">
        <v>25</v>
      </c>
      <c r="F149" s="2" t="s">
        <v>26</v>
      </c>
      <c r="H149" s="6" t="str">
        <f>VLOOKUP(F149, ArtistCount!$A$1:$C$286, 3, FALSE)</f>
        <v>#N/A</v>
      </c>
    </row>
    <row r="150" ht="22.5" customHeight="1">
      <c r="A150" s="5" t="s">
        <v>217</v>
      </c>
      <c r="B150" s="2" t="s">
        <v>62</v>
      </c>
      <c r="C150" s="6" t="str">
        <f t="shared" si="1"/>
        <v>Bhupali Todi_1</v>
      </c>
      <c r="D150" s="12" t="s">
        <v>218</v>
      </c>
      <c r="E150" s="2" t="s">
        <v>25</v>
      </c>
      <c r="F150" s="2" t="s">
        <v>153</v>
      </c>
      <c r="H150" s="2" t="str">
        <f>VLOOKUP(F150, ArtistCount!$A$1:$C$286, 3, FALSE)</f>
        <v>#N/A</v>
      </c>
      <c r="I150" s="2" t="s">
        <v>154</v>
      </c>
    </row>
    <row r="151" ht="22.5" customHeight="1">
      <c r="A151" s="5" t="s">
        <v>217</v>
      </c>
      <c r="B151" s="2" t="s">
        <v>28</v>
      </c>
      <c r="C151" s="6" t="str">
        <f t="shared" si="1"/>
        <v>Bhupali Todi_2</v>
      </c>
      <c r="D151" s="12" t="s">
        <v>219</v>
      </c>
      <c r="E151" s="2" t="s">
        <v>25</v>
      </c>
      <c r="F151" s="2" t="s">
        <v>220</v>
      </c>
      <c r="H151" s="6" t="str">
        <f>VLOOKUP(F151, ArtistCount!$A$1:$C$286, 3, FALSE)</f>
        <v>#N/A</v>
      </c>
    </row>
    <row r="152" ht="22.5" customHeight="1">
      <c r="A152" s="5" t="s">
        <v>217</v>
      </c>
      <c r="B152" s="2" t="s">
        <v>43</v>
      </c>
      <c r="C152" s="6" t="str">
        <f t="shared" si="1"/>
        <v>Bhupali Todi_3</v>
      </c>
      <c r="D152" s="12" t="s">
        <v>221</v>
      </c>
      <c r="E152" s="2" t="s">
        <v>25</v>
      </c>
      <c r="F152" s="2" t="s">
        <v>222</v>
      </c>
      <c r="H152" s="6" t="str">
        <f>VLOOKUP(F152, ArtistCount!$A$1:$C$286, 3, FALSE)</f>
        <v>#N/A</v>
      </c>
    </row>
    <row r="153" ht="22.5" customHeight="1">
      <c r="A153" s="5" t="s">
        <v>217</v>
      </c>
      <c r="B153" s="2" t="s">
        <v>24</v>
      </c>
      <c r="C153" s="6" t="str">
        <f t="shared" si="1"/>
        <v>Bhupali Todi_4</v>
      </c>
      <c r="D153" s="12" t="s">
        <v>223</v>
      </c>
      <c r="E153" s="2" t="s">
        <v>25</v>
      </c>
      <c r="F153" s="2" t="s">
        <v>50</v>
      </c>
      <c r="H153" s="6" t="str">
        <f>VLOOKUP(F153, ArtistCount!$A$1:$C$286, 3, FALSE)</f>
        <v>#N/A</v>
      </c>
    </row>
    <row r="154" ht="22.5" customHeight="1">
      <c r="A154" s="5" t="s">
        <v>217</v>
      </c>
      <c r="B154" s="2" t="s">
        <v>32</v>
      </c>
      <c r="C154" s="6" t="str">
        <f t="shared" si="1"/>
        <v>Bhupali Todi_5</v>
      </c>
      <c r="D154" s="12" t="s">
        <v>224</v>
      </c>
      <c r="E154" s="2" t="s">
        <v>225</v>
      </c>
      <c r="F154" s="2" t="s">
        <v>226</v>
      </c>
      <c r="G154" s="19">
        <v>0.018055555555555554</v>
      </c>
      <c r="H154" s="2" t="str">
        <f>VLOOKUP(F154, ArtistCount!$A$1:$C$286, 3, FALSE)</f>
        <v>#N/A</v>
      </c>
      <c r="I154" s="2" t="s">
        <v>171</v>
      </c>
    </row>
    <row r="155" ht="22.5" customHeight="1">
      <c r="A155" s="5" t="s">
        <v>217</v>
      </c>
      <c r="B155" s="2" t="s">
        <v>24</v>
      </c>
      <c r="C155" s="6" t="str">
        <f t="shared" si="1"/>
        <v>Bhupali Todi_6</v>
      </c>
      <c r="D155" s="12" t="s">
        <v>227</v>
      </c>
      <c r="E155" s="2" t="s">
        <v>25</v>
      </c>
      <c r="F155" s="2" t="s">
        <v>77</v>
      </c>
      <c r="H155" s="6" t="str">
        <f>VLOOKUP(F155, ArtistCount!$A$1:$C$286, 3, FALSE)</f>
        <v>#N/A</v>
      </c>
    </row>
    <row r="156" ht="22.5" customHeight="1">
      <c r="A156" s="5" t="s">
        <v>217</v>
      </c>
      <c r="B156" s="2" t="s">
        <v>32</v>
      </c>
      <c r="C156" s="6" t="str">
        <f t="shared" si="1"/>
        <v>Bhupali Todi_7</v>
      </c>
      <c r="D156" s="12" t="s">
        <v>228</v>
      </c>
      <c r="E156" s="2" t="s">
        <v>25</v>
      </c>
      <c r="F156" s="2" t="s">
        <v>101</v>
      </c>
      <c r="H156" s="6" t="str">
        <f>VLOOKUP(F156, ArtistCount!$A$1:$C$286, 3, FALSE)</f>
        <v>#N/A</v>
      </c>
    </row>
    <row r="157" ht="22.5" customHeight="1">
      <c r="A157" s="5" t="s">
        <v>217</v>
      </c>
      <c r="B157" s="2" t="s">
        <v>38</v>
      </c>
      <c r="C157" s="6" t="str">
        <f t="shared" si="1"/>
        <v>Bhupali Todi_8</v>
      </c>
      <c r="D157" s="12" t="s">
        <v>229</v>
      </c>
      <c r="E157" s="2" t="s">
        <v>25</v>
      </c>
      <c r="F157" s="2" t="s">
        <v>129</v>
      </c>
      <c r="H157" s="6" t="str">
        <f>VLOOKUP(F157, ArtistCount!$A$1:$C$286, 3, FALSE)</f>
        <v>#N/A</v>
      </c>
    </row>
    <row r="158" ht="22.5" customHeight="1">
      <c r="A158" s="5" t="s">
        <v>217</v>
      </c>
      <c r="B158" s="2" t="s">
        <v>32</v>
      </c>
      <c r="C158" s="6" t="str">
        <f t="shared" si="1"/>
        <v>Bhupali Todi_9</v>
      </c>
      <c r="D158" s="12" t="s">
        <v>230</v>
      </c>
      <c r="E158" s="2" t="s">
        <v>114</v>
      </c>
      <c r="F158" s="2" t="s">
        <v>231</v>
      </c>
      <c r="G158" s="19">
        <v>0.041666666666666664</v>
      </c>
      <c r="H158" s="6" t="str">
        <f>VLOOKUP(F158, ArtistCount!$A$1:$C$286, 3, FALSE)</f>
        <v>#N/A</v>
      </c>
    </row>
    <row r="159" ht="22.5" customHeight="1">
      <c r="A159" s="5" t="s">
        <v>232</v>
      </c>
      <c r="B159" s="2" t="s">
        <v>43</v>
      </c>
      <c r="C159" s="6" t="str">
        <f t="shared" si="1"/>
        <v>Bhupali_1</v>
      </c>
      <c r="D159" s="7"/>
      <c r="E159" s="8" t="s">
        <v>25</v>
      </c>
      <c r="F159" s="8" t="s">
        <v>112</v>
      </c>
      <c r="H159" s="2" t="str">
        <f>VLOOKUP(F159, ArtistCount!$A$1:$C$286, 3, FALSE)</f>
        <v>#N/A</v>
      </c>
      <c r="I159" s="2" t="s">
        <v>27</v>
      </c>
    </row>
    <row r="160" ht="22.5" customHeight="1">
      <c r="A160" s="5" t="s">
        <v>232</v>
      </c>
      <c r="B160" s="2" t="s">
        <v>24</v>
      </c>
      <c r="C160" s="6" t="str">
        <f t="shared" si="1"/>
        <v>Bhupali_2</v>
      </c>
      <c r="D160" s="7"/>
      <c r="E160" s="8" t="s">
        <v>25</v>
      </c>
      <c r="F160" s="8" t="s">
        <v>233</v>
      </c>
      <c r="H160" s="2" t="str">
        <f>VLOOKUP(F160, ArtistCount!$A$1:$C$286, 3, FALSE)</f>
        <v>#N/A</v>
      </c>
      <c r="I160" s="2" t="s">
        <v>27</v>
      </c>
    </row>
    <row r="161" ht="22.5" customHeight="1">
      <c r="A161" s="5" t="s">
        <v>232</v>
      </c>
      <c r="B161" s="2" t="s">
        <v>38</v>
      </c>
      <c r="C161" s="6" t="str">
        <f t="shared" si="1"/>
        <v>Bhupali_3</v>
      </c>
      <c r="D161" s="7"/>
      <c r="E161" s="8" t="s">
        <v>25</v>
      </c>
      <c r="F161" s="8" t="s">
        <v>75</v>
      </c>
      <c r="H161" s="2" t="str">
        <f>VLOOKUP(F161, ArtistCount!$A$1:$C$286, 3, FALSE)</f>
        <v>#N/A</v>
      </c>
      <c r="I161" s="2" t="s">
        <v>27</v>
      </c>
    </row>
    <row r="162" ht="22.5" customHeight="1">
      <c r="A162" s="5" t="s">
        <v>232</v>
      </c>
      <c r="B162" s="2" t="s">
        <v>38</v>
      </c>
      <c r="C162" s="6" t="str">
        <f t="shared" si="1"/>
        <v>Bhupali_4</v>
      </c>
      <c r="D162" s="7"/>
      <c r="E162" s="8" t="s">
        <v>25</v>
      </c>
      <c r="F162" s="8" t="s">
        <v>75</v>
      </c>
      <c r="H162" s="2" t="str">
        <f>VLOOKUP(F162, ArtistCount!$A$1:$C$286, 3, FALSE)</f>
        <v>#N/A</v>
      </c>
      <c r="I162" s="2" t="s">
        <v>27</v>
      </c>
    </row>
    <row r="163" ht="22.5" customHeight="1">
      <c r="A163" s="5" t="s">
        <v>232</v>
      </c>
      <c r="B163" s="2" t="s">
        <v>38</v>
      </c>
      <c r="C163" s="6" t="str">
        <f t="shared" si="1"/>
        <v>Bhupali_5</v>
      </c>
      <c r="D163" s="7"/>
      <c r="E163" s="8" t="s">
        <v>25</v>
      </c>
      <c r="F163" s="8" t="s">
        <v>75</v>
      </c>
      <c r="H163" s="2" t="str">
        <f>VLOOKUP(F163, ArtistCount!$A$1:$C$286, 3, FALSE)</f>
        <v>#N/A</v>
      </c>
      <c r="I163" s="2" t="s">
        <v>27</v>
      </c>
    </row>
    <row r="164" ht="22.5" customHeight="1">
      <c r="A164" s="5" t="s">
        <v>232</v>
      </c>
      <c r="B164" s="2" t="s">
        <v>38</v>
      </c>
      <c r="C164" s="6" t="str">
        <f t="shared" si="1"/>
        <v>Bhupali_6</v>
      </c>
      <c r="D164" s="7"/>
      <c r="E164" s="8" t="s">
        <v>25</v>
      </c>
      <c r="F164" s="8" t="s">
        <v>75</v>
      </c>
      <c r="H164" s="2" t="str">
        <f>VLOOKUP(F164, ArtistCount!$A$1:$C$286, 3, FALSE)</f>
        <v>#N/A</v>
      </c>
      <c r="I164" s="2" t="s">
        <v>27</v>
      </c>
    </row>
    <row r="165" ht="22.5" customHeight="1">
      <c r="A165" s="5" t="s">
        <v>232</v>
      </c>
      <c r="B165" s="2" t="s">
        <v>24</v>
      </c>
      <c r="C165" s="6" t="str">
        <f t="shared" si="1"/>
        <v>Bhupali_7</v>
      </c>
      <c r="D165" s="7"/>
      <c r="E165" s="8" t="s">
        <v>25</v>
      </c>
      <c r="F165" s="8" t="s">
        <v>76</v>
      </c>
      <c r="H165" s="2" t="str">
        <f>VLOOKUP(F165, ArtistCount!$A$1:$C$286, 3, FALSE)</f>
        <v>#N/A</v>
      </c>
      <c r="I165" s="2" t="s">
        <v>27</v>
      </c>
    </row>
    <row r="166" ht="22.5" customHeight="1">
      <c r="A166" s="5" t="s">
        <v>232</v>
      </c>
      <c r="B166" s="9" t="s">
        <v>43</v>
      </c>
      <c r="C166" s="6" t="str">
        <f t="shared" si="1"/>
        <v>Bhupali_8</v>
      </c>
      <c r="D166" s="7"/>
      <c r="E166" s="8" t="s">
        <v>25</v>
      </c>
      <c r="F166" s="8" t="s">
        <v>34</v>
      </c>
      <c r="H166" s="2" t="str">
        <f>VLOOKUP(F166, ArtistCount!$A$1:$C$286, 3, FALSE)</f>
        <v>#N/A</v>
      </c>
      <c r="I166" s="2" t="s">
        <v>27</v>
      </c>
    </row>
    <row r="167" ht="22.5" customHeight="1">
      <c r="A167" s="5" t="s">
        <v>232</v>
      </c>
      <c r="B167" s="16" t="s">
        <v>89</v>
      </c>
      <c r="C167" s="6" t="str">
        <f t="shared" si="1"/>
        <v>Bhupali_9</v>
      </c>
      <c r="D167" s="7"/>
      <c r="E167" s="8" t="s">
        <v>25</v>
      </c>
      <c r="F167" s="8" t="s">
        <v>68</v>
      </c>
      <c r="H167" s="2" t="str">
        <f>VLOOKUP(F167, ArtistCount!$A$1:$C$286, 3, FALSE)</f>
        <v>#N/A</v>
      </c>
      <c r="I167" s="2" t="s">
        <v>27</v>
      </c>
    </row>
    <row r="168" ht="22.5" customHeight="1">
      <c r="A168" s="5" t="s">
        <v>232</v>
      </c>
      <c r="B168" s="2" t="s">
        <v>43</v>
      </c>
      <c r="C168" s="6" t="str">
        <f t="shared" si="1"/>
        <v>Bhupali_10</v>
      </c>
      <c r="D168" s="7"/>
      <c r="E168" s="8" t="s">
        <v>25</v>
      </c>
      <c r="F168" s="8" t="s">
        <v>70</v>
      </c>
      <c r="H168" s="2" t="str">
        <f>VLOOKUP(F168, ArtistCount!$A$1:$C$286, 3, FALSE)</f>
        <v>#N/A</v>
      </c>
      <c r="I168" s="2" t="s">
        <v>27</v>
      </c>
    </row>
    <row r="169" ht="22.5" customHeight="1">
      <c r="A169" s="5" t="s">
        <v>234</v>
      </c>
      <c r="B169" s="2" t="s">
        <v>24</v>
      </c>
      <c r="C169" s="6" t="str">
        <f t="shared" si="1"/>
        <v>Bibhas_1</v>
      </c>
      <c r="D169" s="12" t="s">
        <v>235</v>
      </c>
      <c r="E169" s="2" t="s">
        <v>236</v>
      </c>
      <c r="F169" s="2" t="s">
        <v>237</v>
      </c>
      <c r="H169" s="6" t="str">
        <f>VLOOKUP(F169, ArtistCount!$A$1:$C$286, 3, FALSE)</f>
        <v>#N/A</v>
      </c>
    </row>
    <row r="170" ht="22.5" customHeight="1">
      <c r="A170" s="5" t="s">
        <v>234</v>
      </c>
      <c r="B170" s="2" t="s">
        <v>43</v>
      </c>
      <c r="C170" s="6" t="str">
        <f t="shared" si="1"/>
        <v>Bibhas_2</v>
      </c>
      <c r="D170" s="12" t="s">
        <v>238</v>
      </c>
      <c r="E170" s="2" t="s">
        <v>25</v>
      </c>
      <c r="F170" s="2" t="s">
        <v>239</v>
      </c>
      <c r="H170" s="6" t="str">
        <f>VLOOKUP(F170, ArtistCount!$A$1:$C$286, 3, FALSE)</f>
        <v>#N/A</v>
      </c>
    </row>
    <row r="171" ht="22.5" customHeight="1">
      <c r="A171" s="5" t="s">
        <v>234</v>
      </c>
      <c r="B171" s="2" t="s">
        <v>38</v>
      </c>
      <c r="C171" s="6" t="str">
        <f t="shared" si="1"/>
        <v>Bibhas_3</v>
      </c>
      <c r="D171" s="12" t="s">
        <v>240</v>
      </c>
      <c r="E171" s="2" t="s">
        <v>25</v>
      </c>
      <c r="F171" s="2" t="s">
        <v>134</v>
      </c>
      <c r="H171" s="6" t="str">
        <f>VLOOKUP(F171, ArtistCount!$A$1:$C$286, 3, FALSE)</f>
        <v>#N/A</v>
      </c>
    </row>
    <row r="172" ht="22.5" customHeight="1">
      <c r="A172" s="5" t="s">
        <v>234</v>
      </c>
      <c r="B172" s="2" t="s">
        <v>38</v>
      </c>
      <c r="C172" s="6" t="str">
        <f t="shared" si="1"/>
        <v>Bibhas_4</v>
      </c>
      <c r="D172" s="12" t="s">
        <v>241</v>
      </c>
      <c r="E172" s="2" t="s">
        <v>25</v>
      </c>
      <c r="F172" s="2" t="s">
        <v>75</v>
      </c>
      <c r="H172" s="6" t="str">
        <f>VLOOKUP(F172, ArtistCount!$A$1:$C$286, 3, FALSE)</f>
        <v>#N/A</v>
      </c>
    </row>
    <row r="173" ht="22.5" customHeight="1">
      <c r="A173" s="5" t="s">
        <v>234</v>
      </c>
      <c r="B173" s="2" t="s">
        <v>58</v>
      </c>
      <c r="C173" s="6" t="str">
        <f t="shared" si="1"/>
        <v>Bibhas_5</v>
      </c>
      <c r="D173" s="12" t="s">
        <v>242</v>
      </c>
      <c r="E173" s="2" t="s">
        <v>25</v>
      </c>
      <c r="F173" s="2" t="s">
        <v>112</v>
      </c>
      <c r="H173" s="6" t="str">
        <f>VLOOKUP(F173, ArtistCount!$A$1:$C$286, 3, FALSE)</f>
        <v>#N/A</v>
      </c>
    </row>
    <row r="174" ht="22.5" customHeight="1">
      <c r="A174" s="5" t="s">
        <v>234</v>
      </c>
      <c r="B174" s="9" t="s">
        <v>127</v>
      </c>
      <c r="C174" s="6" t="str">
        <f t="shared" si="1"/>
        <v>Bibhas_6</v>
      </c>
      <c r="D174" s="12" t="s">
        <v>243</v>
      </c>
      <c r="E174" s="2" t="s">
        <v>25</v>
      </c>
      <c r="F174" s="2" t="s">
        <v>244</v>
      </c>
      <c r="H174" s="6" t="str">
        <f>VLOOKUP(F174, ArtistCount!$A$1:$C$286, 3, FALSE)</f>
        <v>#N/A</v>
      </c>
    </row>
    <row r="175" ht="22.5" customHeight="1">
      <c r="A175" s="5" t="s">
        <v>234</v>
      </c>
      <c r="B175" s="2" t="s">
        <v>43</v>
      </c>
      <c r="C175" s="6" t="str">
        <f t="shared" si="1"/>
        <v>Bibhas_7</v>
      </c>
      <c r="D175" s="12" t="s">
        <v>245</v>
      </c>
      <c r="E175" s="2" t="s">
        <v>25</v>
      </c>
      <c r="F175" s="2" t="s">
        <v>193</v>
      </c>
      <c r="H175" s="6" t="str">
        <f>VLOOKUP(F175, ArtistCount!$A$1:$C$286, 3, FALSE)</f>
        <v>#N/A</v>
      </c>
    </row>
    <row r="176" ht="22.5" customHeight="1">
      <c r="A176" s="5" t="s">
        <v>234</v>
      </c>
      <c r="B176" s="2" t="s">
        <v>43</v>
      </c>
      <c r="C176" s="6" t="str">
        <f t="shared" si="1"/>
        <v>Bibhas_8</v>
      </c>
      <c r="D176" s="12" t="s">
        <v>246</v>
      </c>
      <c r="E176" s="2" t="s">
        <v>25</v>
      </c>
      <c r="F176" s="2" t="s">
        <v>94</v>
      </c>
      <c r="H176" s="6" t="str">
        <f>VLOOKUP(F176, ArtistCount!$A$1:$C$286, 3, FALSE)</f>
        <v>#N/A</v>
      </c>
    </row>
    <row r="177" ht="22.5" customHeight="1">
      <c r="A177" s="5" t="s">
        <v>234</v>
      </c>
      <c r="B177" s="2" t="s">
        <v>127</v>
      </c>
      <c r="C177" s="6" t="str">
        <f t="shared" si="1"/>
        <v>Bibhas_9</v>
      </c>
      <c r="D177" s="12" t="s">
        <v>247</v>
      </c>
      <c r="E177" s="2" t="s">
        <v>25</v>
      </c>
      <c r="F177" s="2" t="s">
        <v>248</v>
      </c>
      <c r="H177" s="6" t="str">
        <f>VLOOKUP(F177, ArtistCount!$A$1:$C$286, 3, FALSE)</f>
        <v>#N/A</v>
      </c>
    </row>
    <row r="178" ht="22.5" customHeight="1">
      <c r="A178" s="5" t="s">
        <v>249</v>
      </c>
      <c r="B178" s="9" t="s">
        <v>58</v>
      </c>
      <c r="C178" s="6" t="str">
        <f t="shared" si="1"/>
        <v>Bihag_1</v>
      </c>
      <c r="D178" s="7"/>
      <c r="E178" s="8" t="s">
        <v>25</v>
      </c>
      <c r="F178" s="8" t="s">
        <v>98</v>
      </c>
      <c r="H178" s="2" t="str">
        <f>VLOOKUP(F178, ArtistCount!$A$1:$C$286, 3, FALSE)</f>
        <v>#N/A</v>
      </c>
      <c r="I178" s="2" t="s">
        <v>27</v>
      </c>
    </row>
    <row r="179" ht="22.5" customHeight="1">
      <c r="A179" s="5" t="s">
        <v>249</v>
      </c>
      <c r="B179" s="20" t="s">
        <v>58</v>
      </c>
      <c r="C179" s="6" t="str">
        <f t="shared" si="1"/>
        <v>Bihag_2</v>
      </c>
      <c r="D179" s="7"/>
      <c r="E179" s="8" t="s">
        <v>25</v>
      </c>
      <c r="F179" s="8" t="s">
        <v>98</v>
      </c>
      <c r="H179" s="2" t="str">
        <f>VLOOKUP(F179, ArtistCount!$A$1:$C$286, 3, FALSE)</f>
        <v>#N/A</v>
      </c>
      <c r="I179" s="2" t="s">
        <v>27</v>
      </c>
    </row>
    <row r="180" ht="22.5" customHeight="1">
      <c r="A180" s="5" t="s">
        <v>249</v>
      </c>
      <c r="B180" s="2" t="s">
        <v>36</v>
      </c>
      <c r="C180" s="6" t="str">
        <f t="shared" si="1"/>
        <v>Bihag_3</v>
      </c>
      <c r="D180" s="7"/>
      <c r="E180" s="8" t="s">
        <v>25</v>
      </c>
      <c r="F180" s="8" t="s">
        <v>76</v>
      </c>
      <c r="H180" s="2" t="str">
        <f>VLOOKUP(F180, ArtistCount!$A$1:$C$286, 3, FALSE)</f>
        <v>#N/A</v>
      </c>
      <c r="I180" s="2" t="s">
        <v>27</v>
      </c>
    </row>
    <row r="181" ht="22.5" customHeight="1">
      <c r="A181" s="5" t="s">
        <v>249</v>
      </c>
      <c r="B181" s="2" t="s">
        <v>36</v>
      </c>
      <c r="C181" s="6" t="str">
        <f t="shared" si="1"/>
        <v>Bihag_4</v>
      </c>
      <c r="D181" s="7"/>
      <c r="E181" s="8" t="s">
        <v>25</v>
      </c>
      <c r="F181" s="8" t="s">
        <v>76</v>
      </c>
      <c r="H181" s="2" t="str">
        <f>VLOOKUP(F181, ArtistCount!$A$1:$C$286, 3, FALSE)</f>
        <v>#N/A</v>
      </c>
      <c r="I181" s="2" t="s">
        <v>27</v>
      </c>
    </row>
    <row r="182" ht="22.5" customHeight="1">
      <c r="A182" s="5" t="s">
        <v>249</v>
      </c>
      <c r="B182" s="2" t="s">
        <v>36</v>
      </c>
      <c r="C182" s="6" t="str">
        <f t="shared" si="1"/>
        <v>Bihag_5</v>
      </c>
      <c r="D182" s="7"/>
      <c r="E182" s="8" t="s">
        <v>25</v>
      </c>
      <c r="F182" s="8" t="s">
        <v>76</v>
      </c>
      <c r="H182" s="2" t="str">
        <f>VLOOKUP(F182, ArtistCount!$A$1:$C$286, 3, FALSE)</f>
        <v>#N/A</v>
      </c>
      <c r="I182" s="2" t="s">
        <v>27</v>
      </c>
    </row>
    <row r="183" ht="22.5" customHeight="1">
      <c r="A183" s="5" t="s">
        <v>249</v>
      </c>
      <c r="B183" s="2" t="s">
        <v>36</v>
      </c>
      <c r="C183" s="6" t="str">
        <f t="shared" si="1"/>
        <v>Bihag_6</v>
      </c>
      <c r="D183" s="7"/>
      <c r="E183" s="8" t="s">
        <v>25</v>
      </c>
      <c r="F183" s="8" t="s">
        <v>76</v>
      </c>
      <c r="H183" s="2" t="str">
        <f>VLOOKUP(F183, ArtistCount!$A$1:$C$286, 3, FALSE)</f>
        <v>#N/A</v>
      </c>
      <c r="I183" s="2" t="s">
        <v>27</v>
      </c>
    </row>
    <row r="184" ht="22.5" customHeight="1">
      <c r="A184" s="5" t="s">
        <v>249</v>
      </c>
      <c r="B184" s="2" t="s">
        <v>36</v>
      </c>
      <c r="C184" s="6" t="str">
        <f t="shared" si="1"/>
        <v>Bihag_7</v>
      </c>
      <c r="D184" s="7"/>
      <c r="E184" s="8" t="s">
        <v>25</v>
      </c>
      <c r="F184" s="8" t="s">
        <v>76</v>
      </c>
      <c r="H184" s="2" t="str">
        <f>VLOOKUP(F184, ArtistCount!$A$1:$C$286, 3, FALSE)</f>
        <v>#N/A</v>
      </c>
      <c r="I184" s="2" t="s">
        <v>27</v>
      </c>
    </row>
    <row r="185" ht="22.5" customHeight="1">
      <c r="A185" s="5" t="s">
        <v>249</v>
      </c>
      <c r="B185" s="2" t="s">
        <v>32</v>
      </c>
      <c r="C185" s="6" t="str">
        <f t="shared" si="1"/>
        <v>Bihag_8</v>
      </c>
      <c r="D185" s="7"/>
      <c r="E185" s="8" t="s">
        <v>25</v>
      </c>
      <c r="F185" s="8" t="s">
        <v>250</v>
      </c>
      <c r="H185" s="2" t="str">
        <f>VLOOKUP(F185, ArtistCount!$A$1:$C$286, 3, FALSE)</f>
        <v>#N/A</v>
      </c>
      <c r="I185" s="2" t="s">
        <v>27</v>
      </c>
    </row>
    <row r="186" ht="22.5" customHeight="1">
      <c r="A186" s="5" t="s">
        <v>249</v>
      </c>
      <c r="B186" s="2" t="s">
        <v>29</v>
      </c>
      <c r="C186" s="6" t="str">
        <f t="shared" si="1"/>
        <v>Bihag_9</v>
      </c>
      <c r="D186" s="7"/>
      <c r="E186" s="8" t="s">
        <v>25</v>
      </c>
      <c r="F186" s="8" t="s">
        <v>251</v>
      </c>
      <c r="H186" s="2" t="str">
        <f>VLOOKUP(F186, ArtistCount!$A$1:$C$286, 3, FALSE)</f>
        <v>#N/A</v>
      </c>
      <c r="I186" s="2" t="s">
        <v>27</v>
      </c>
    </row>
    <row r="187" ht="22.5" customHeight="1">
      <c r="A187" s="5" t="s">
        <v>249</v>
      </c>
      <c r="B187" s="2" t="s">
        <v>43</v>
      </c>
      <c r="C187" s="6" t="str">
        <f t="shared" si="1"/>
        <v>Bihag_10</v>
      </c>
      <c r="D187" s="7"/>
      <c r="E187" s="8" t="s">
        <v>25</v>
      </c>
      <c r="F187" s="8" t="s">
        <v>70</v>
      </c>
      <c r="H187" s="2" t="str">
        <f>VLOOKUP(F187, ArtistCount!$A$1:$C$286, 3, FALSE)</f>
        <v>#N/A</v>
      </c>
      <c r="I187" s="2" t="s">
        <v>27</v>
      </c>
    </row>
    <row r="188" ht="22.5" customHeight="1">
      <c r="A188" s="5" t="s">
        <v>252</v>
      </c>
      <c r="B188" s="2" t="s">
        <v>43</v>
      </c>
      <c r="C188" s="6" t="str">
        <f t="shared" si="1"/>
        <v>Bihagda_1</v>
      </c>
      <c r="D188" s="12" t="s">
        <v>253</v>
      </c>
      <c r="E188" s="2" t="s">
        <v>25</v>
      </c>
      <c r="F188" s="2" t="s">
        <v>193</v>
      </c>
      <c r="H188" s="6" t="str">
        <f>VLOOKUP(F188, ArtistCount!$A$1:$C$286, 3, FALSE)</f>
        <v>#N/A</v>
      </c>
    </row>
    <row r="189" ht="22.5" customHeight="1">
      <c r="A189" s="5" t="s">
        <v>252</v>
      </c>
      <c r="B189" s="2" t="s">
        <v>38</v>
      </c>
      <c r="C189" s="6" t="str">
        <f t="shared" si="1"/>
        <v>Bihagda_2</v>
      </c>
      <c r="D189" s="12" t="s">
        <v>254</v>
      </c>
      <c r="E189" s="2" t="s">
        <v>25</v>
      </c>
      <c r="F189" s="2" t="s">
        <v>134</v>
      </c>
      <c r="H189" s="6" t="str">
        <f>VLOOKUP(F189, ArtistCount!$A$1:$C$286, 3, FALSE)</f>
        <v>#N/A</v>
      </c>
    </row>
    <row r="190" ht="22.5" customHeight="1">
      <c r="A190" s="5" t="s">
        <v>252</v>
      </c>
      <c r="B190" s="2" t="s">
        <v>38</v>
      </c>
      <c r="C190" s="6" t="str">
        <f t="shared" si="1"/>
        <v>Bihagda_3</v>
      </c>
      <c r="D190" s="12" t="s">
        <v>255</v>
      </c>
      <c r="E190" s="2" t="s">
        <v>25</v>
      </c>
      <c r="F190" s="2" t="s">
        <v>256</v>
      </c>
      <c r="H190" s="6" t="str">
        <f>VLOOKUP(F190, ArtistCount!$A$1:$C$286, 3, FALSE)</f>
        <v>#N/A</v>
      </c>
    </row>
    <row r="191" ht="22.5" customHeight="1">
      <c r="A191" s="5" t="s">
        <v>252</v>
      </c>
      <c r="B191" s="2" t="s">
        <v>67</v>
      </c>
      <c r="C191" s="6" t="str">
        <f t="shared" si="1"/>
        <v>Bihagda_4</v>
      </c>
      <c r="D191" s="12" t="s">
        <v>257</v>
      </c>
      <c r="E191" s="2" t="s">
        <v>25</v>
      </c>
      <c r="F191" s="2" t="s">
        <v>68</v>
      </c>
      <c r="H191" s="6" t="str">
        <f>VLOOKUP(F191, ArtistCount!$A$1:$C$286, 3, FALSE)</f>
        <v>#N/A</v>
      </c>
    </row>
    <row r="192" ht="22.5" customHeight="1">
      <c r="A192" s="5" t="s">
        <v>252</v>
      </c>
      <c r="B192" s="2" t="s">
        <v>43</v>
      </c>
      <c r="C192" s="6" t="str">
        <f t="shared" si="1"/>
        <v>Bihagda_5</v>
      </c>
      <c r="D192" s="12" t="s">
        <v>258</v>
      </c>
      <c r="E192" s="2" t="s">
        <v>25</v>
      </c>
      <c r="F192" s="2" t="s">
        <v>83</v>
      </c>
      <c r="H192" s="6" t="str">
        <f>VLOOKUP(F192, ArtistCount!$A$1:$C$286, 3, FALSE)</f>
        <v>#N/A</v>
      </c>
    </row>
    <row r="193" ht="22.5" customHeight="1">
      <c r="A193" s="5" t="s">
        <v>252</v>
      </c>
      <c r="B193" s="2" t="s">
        <v>24</v>
      </c>
      <c r="C193" s="6" t="str">
        <f t="shared" si="1"/>
        <v>Bihagda_6</v>
      </c>
      <c r="D193" s="12" t="s">
        <v>259</v>
      </c>
      <c r="E193" s="2" t="s">
        <v>114</v>
      </c>
      <c r="F193" s="2" t="s">
        <v>115</v>
      </c>
      <c r="H193" s="6" t="str">
        <f>VLOOKUP(F193, ArtistCount!$A$1:$C$286, 3, FALSE)</f>
        <v>#N/A</v>
      </c>
    </row>
    <row r="194" ht="22.5" customHeight="1">
      <c r="A194" s="5" t="s">
        <v>252</v>
      </c>
      <c r="B194" s="2" t="s">
        <v>36</v>
      </c>
      <c r="C194" s="6" t="str">
        <f t="shared" si="1"/>
        <v>Bihagda_7</v>
      </c>
      <c r="D194" s="12" t="s">
        <v>260</v>
      </c>
      <c r="E194" s="2" t="s">
        <v>25</v>
      </c>
      <c r="F194" s="2" t="s">
        <v>75</v>
      </c>
      <c r="H194" s="6" t="str">
        <f>VLOOKUP(F194, ArtistCount!$A$1:$C$286, 3, FALSE)</f>
        <v>#N/A</v>
      </c>
    </row>
    <row r="195" ht="22.5" customHeight="1">
      <c r="A195" s="5" t="s">
        <v>252</v>
      </c>
      <c r="B195" s="2" t="s">
        <v>43</v>
      </c>
      <c r="C195" s="6" t="str">
        <f t="shared" si="1"/>
        <v>Bihagda_8</v>
      </c>
      <c r="D195" s="12" t="s">
        <v>261</v>
      </c>
      <c r="E195" s="2" t="s">
        <v>25</v>
      </c>
      <c r="F195" s="2" t="s">
        <v>262</v>
      </c>
      <c r="H195" s="6" t="str">
        <f>VLOOKUP(F195, ArtistCount!$A$1:$C$286, 3, FALSE)</f>
        <v>#N/A</v>
      </c>
    </row>
    <row r="196" ht="22.5" customHeight="1">
      <c r="A196" s="5" t="s">
        <v>252</v>
      </c>
      <c r="B196" s="2" t="s">
        <v>43</v>
      </c>
      <c r="C196" s="6" t="str">
        <f t="shared" si="1"/>
        <v>Bihagda_9</v>
      </c>
      <c r="D196" s="12" t="s">
        <v>263</v>
      </c>
      <c r="E196" s="2" t="s">
        <v>25</v>
      </c>
      <c r="F196" s="2" t="s">
        <v>264</v>
      </c>
      <c r="H196" s="6" t="str">
        <f>VLOOKUP(F196, ArtistCount!$A$1:$C$286, 3, FALSE)</f>
        <v>#N/A</v>
      </c>
    </row>
    <row r="197" ht="22.5" customHeight="1">
      <c r="A197" s="5" t="s">
        <v>265</v>
      </c>
      <c r="B197" s="2" t="s">
        <v>28</v>
      </c>
      <c r="C197" s="6" t="str">
        <f t="shared" si="1"/>
        <v>Bihari_1</v>
      </c>
      <c r="D197" s="12" t="s">
        <v>266</v>
      </c>
      <c r="E197" s="2" t="s">
        <v>25</v>
      </c>
      <c r="F197" s="2" t="s">
        <v>193</v>
      </c>
      <c r="H197" s="6" t="str">
        <f>VLOOKUP(F197, ArtistCount!$A$1:$C$286, 3, FALSE)</f>
        <v>#N/A</v>
      </c>
    </row>
    <row r="198" ht="22.5" customHeight="1">
      <c r="A198" s="5" t="s">
        <v>265</v>
      </c>
      <c r="B198" s="2" t="s">
        <v>29</v>
      </c>
      <c r="C198" s="6" t="str">
        <f t="shared" si="1"/>
        <v>Bihari_2</v>
      </c>
      <c r="D198" s="12" t="s">
        <v>267</v>
      </c>
      <c r="E198" s="2" t="s">
        <v>25</v>
      </c>
      <c r="F198" s="2" t="s">
        <v>268</v>
      </c>
      <c r="H198" s="6" t="str">
        <f>VLOOKUP(F198, ArtistCount!$A$1:$C$286, 3, FALSE)</f>
        <v>#N/A</v>
      </c>
    </row>
    <row r="199" ht="22.5" customHeight="1">
      <c r="A199" s="5" t="s">
        <v>265</v>
      </c>
      <c r="B199" s="2" t="s">
        <v>38</v>
      </c>
      <c r="C199" s="6" t="str">
        <f t="shared" si="1"/>
        <v>Bihari_3</v>
      </c>
      <c r="D199" s="12" t="s">
        <v>269</v>
      </c>
      <c r="E199" s="2" t="s">
        <v>25</v>
      </c>
      <c r="F199" s="2" t="s">
        <v>134</v>
      </c>
      <c r="H199" s="6" t="str">
        <f>VLOOKUP(F199, ArtistCount!$A$1:$C$286, 3, FALSE)</f>
        <v>#N/A</v>
      </c>
    </row>
    <row r="200" ht="22.5" customHeight="1">
      <c r="A200" s="5" t="s">
        <v>265</v>
      </c>
      <c r="B200" s="2" t="s">
        <v>62</v>
      </c>
      <c r="C200" s="2" t="str">
        <f t="shared" si="1"/>
        <v>Bihari_4</v>
      </c>
      <c r="D200" s="12" t="s">
        <v>270</v>
      </c>
      <c r="E200" s="2" t="s">
        <v>162</v>
      </c>
      <c r="F200" s="2" t="s">
        <v>271</v>
      </c>
      <c r="H200" s="6" t="str">
        <f>VLOOKUP(F200, ArtistCount!$A$1:$C$286, 3, FALSE)</f>
        <v>#N/A</v>
      </c>
      <c r="L200" s="2" t="s">
        <v>61</v>
      </c>
    </row>
    <row r="201" ht="22.5" customHeight="1">
      <c r="A201" s="5" t="s">
        <v>265</v>
      </c>
      <c r="B201" s="2" t="s">
        <v>32</v>
      </c>
      <c r="C201" s="6" t="str">
        <f t="shared" si="1"/>
        <v>Bihari_5</v>
      </c>
      <c r="D201" s="12" t="s">
        <v>272</v>
      </c>
      <c r="E201" s="2" t="s">
        <v>25</v>
      </c>
      <c r="F201" s="2" t="s">
        <v>273</v>
      </c>
      <c r="H201" s="6" t="str">
        <f>VLOOKUP(F201, ArtistCount!$A$1:$C$286, 3, FALSE)</f>
        <v>#N/A</v>
      </c>
    </row>
    <row r="202" ht="22.5" customHeight="1">
      <c r="A202" s="5" t="s">
        <v>265</v>
      </c>
      <c r="B202" s="2" t="s">
        <v>127</v>
      </c>
      <c r="C202" s="6" t="str">
        <f t="shared" si="1"/>
        <v>Bihari_6</v>
      </c>
      <c r="D202" s="12" t="s">
        <v>274</v>
      </c>
      <c r="E202" s="2" t="s">
        <v>25</v>
      </c>
      <c r="F202" s="2" t="s">
        <v>248</v>
      </c>
      <c r="G202" s="19">
        <v>0.02638888888888889</v>
      </c>
      <c r="H202" s="6" t="str">
        <f>VLOOKUP(F202, ArtistCount!$A$1:$C$286, 3, FALSE)</f>
        <v>#N/A</v>
      </c>
    </row>
    <row r="203" ht="22.5" customHeight="1">
      <c r="A203" s="5" t="s">
        <v>265</v>
      </c>
      <c r="B203" s="2" t="s">
        <v>43</v>
      </c>
      <c r="C203" s="6" t="str">
        <f t="shared" si="1"/>
        <v>Bihari_7</v>
      </c>
      <c r="D203" s="12" t="s">
        <v>275</v>
      </c>
      <c r="E203" s="2" t="s">
        <v>25</v>
      </c>
      <c r="F203" s="2" t="s">
        <v>276</v>
      </c>
      <c r="G203" s="19">
        <v>0.0763888888888889</v>
      </c>
      <c r="H203" s="6" t="str">
        <f>VLOOKUP(F203, ArtistCount!$A$1:$C$286, 3, FALSE)</f>
        <v>#N/A</v>
      </c>
    </row>
    <row r="204" ht="22.5" customHeight="1">
      <c r="A204" s="5" t="s">
        <v>265</v>
      </c>
      <c r="B204" s="2" t="s">
        <v>62</v>
      </c>
      <c r="C204" s="6" t="str">
        <f t="shared" si="1"/>
        <v>Bihari_8</v>
      </c>
      <c r="D204" s="12" t="s">
        <v>277</v>
      </c>
      <c r="E204" s="2" t="s">
        <v>25</v>
      </c>
      <c r="F204" s="2" t="s">
        <v>75</v>
      </c>
      <c r="H204" s="6" t="str">
        <f>VLOOKUP(F204, ArtistCount!$A$1:$C$286, 3, FALSE)</f>
        <v>#N/A</v>
      </c>
    </row>
    <row r="205" ht="22.5" customHeight="1">
      <c r="A205" s="5" t="s">
        <v>278</v>
      </c>
      <c r="B205" s="2" t="s">
        <v>28</v>
      </c>
      <c r="C205" s="6" t="str">
        <f t="shared" si="1"/>
        <v>Bilaskhani Todi_1</v>
      </c>
      <c r="D205" s="7"/>
      <c r="E205" s="8" t="s">
        <v>25</v>
      </c>
      <c r="F205" s="8" t="s">
        <v>74</v>
      </c>
      <c r="H205" s="2" t="str">
        <f>VLOOKUP(F205, ArtistCount!$A$1:$C$286, 3, FALSE)</f>
        <v>#N/A</v>
      </c>
      <c r="I205" s="2" t="s">
        <v>27</v>
      </c>
    </row>
    <row r="206" ht="22.5" customHeight="1">
      <c r="A206" s="5" t="s">
        <v>278</v>
      </c>
      <c r="B206" s="2" t="s">
        <v>24</v>
      </c>
      <c r="C206" s="6" t="str">
        <f t="shared" si="1"/>
        <v>Bilaskhani Todi_2</v>
      </c>
      <c r="D206" s="7"/>
      <c r="E206" s="8" t="s">
        <v>25</v>
      </c>
      <c r="F206" s="8" t="s">
        <v>69</v>
      </c>
      <c r="H206" s="2" t="str">
        <f>VLOOKUP(F206, ArtistCount!$A$1:$C$286, 3, FALSE)</f>
        <v>#N/A</v>
      </c>
      <c r="I206" s="2" t="s">
        <v>27</v>
      </c>
    </row>
    <row r="207" ht="22.5" customHeight="1">
      <c r="A207" s="5" t="s">
        <v>278</v>
      </c>
      <c r="B207" s="2" t="s">
        <v>32</v>
      </c>
      <c r="C207" s="6" t="str">
        <f t="shared" si="1"/>
        <v>Bilaskhani Todi_3</v>
      </c>
      <c r="D207" s="7"/>
      <c r="E207" s="8" t="s">
        <v>25</v>
      </c>
      <c r="F207" s="8" t="s">
        <v>56</v>
      </c>
      <c r="H207" s="2" t="str">
        <f>VLOOKUP(F207, ArtistCount!$A$1:$C$286, 3, FALSE)</f>
        <v>#N/A</v>
      </c>
      <c r="I207" s="2" t="s">
        <v>27</v>
      </c>
    </row>
    <row r="208" ht="22.5" customHeight="1">
      <c r="A208" s="5" t="s">
        <v>278</v>
      </c>
      <c r="B208" s="2" t="s">
        <v>43</v>
      </c>
      <c r="C208" s="6" t="str">
        <f t="shared" si="1"/>
        <v>Bilaskhani Todi_4</v>
      </c>
      <c r="D208" s="7"/>
      <c r="E208" s="8" t="s">
        <v>25</v>
      </c>
      <c r="F208" s="8" t="s">
        <v>34</v>
      </c>
      <c r="H208" s="2" t="str">
        <f>VLOOKUP(F208, ArtistCount!$A$1:$C$286, 3, FALSE)</f>
        <v>#N/A</v>
      </c>
      <c r="I208" s="2" t="s">
        <v>27</v>
      </c>
    </row>
    <row r="209" ht="22.5" customHeight="1">
      <c r="A209" s="5" t="s">
        <v>278</v>
      </c>
      <c r="B209" s="2" t="s">
        <v>32</v>
      </c>
      <c r="C209" s="6" t="str">
        <f t="shared" si="1"/>
        <v>Bilaskhani Todi_5</v>
      </c>
      <c r="D209" s="7"/>
      <c r="E209" s="8" t="s">
        <v>25</v>
      </c>
      <c r="F209" s="8" t="s">
        <v>102</v>
      </c>
      <c r="H209" s="2" t="str">
        <f>VLOOKUP(F209, ArtistCount!$A$1:$C$286, 3, FALSE)</f>
        <v>#N/A</v>
      </c>
      <c r="I209" s="2" t="s">
        <v>27</v>
      </c>
    </row>
    <row r="210" ht="22.5" customHeight="1">
      <c r="A210" s="5" t="s">
        <v>278</v>
      </c>
      <c r="B210" s="2" t="s">
        <v>38</v>
      </c>
      <c r="C210" s="6" t="str">
        <f t="shared" si="1"/>
        <v>Bilaskhani Todi_6</v>
      </c>
      <c r="D210" s="7"/>
      <c r="E210" s="8" t="s">
        <v>25</v>
      </c>
      <c r="F210" s="8" t="s">
        <v>157</v>
      </c>
      <c r="H210" s="2" t="str">
        <f>VLOOKUP(F210, ArtistCount!$A$1:$C$286, 3, FALSE)</f>
        <v>#N/A</v>
      </c>
      <c r="I210" s="2" t="s">
        <v>27</v>
      </c>
    </row>
    <row r="211" ht="22.5" customHeight="1">
      <c r="A211" s="5" t="s">
        <v>278</v>
      </c>
      <c r="B211" s="2" t="s">
        <v>127</v>
      </c>
      <c r="C211" s="6" t="str">
        <f t="shared" si="1"/>
        <v>Bilaskhani Todi_7</v>
      </c>
      <c r="D211" s="7"/>
      <c r="E211" s="8" t="s">
        <v>25</v>
      </c>
      <c r="F211" s="8" t="s">
        <v>248</v>
      </c>
      <c r="H211" s="2" t="str">
        <f>VLOOKUP(F211, ArtistCount!$A$1:$C$286, 3, FALSE)</f>
        <v>#N/A</v>
      </c>
      <c r="I211" s="2" t="s">
        <v>27</v>
      </c>
    </row>
    <row r="212" ht="22.5" customHeight="1">
      <c r="A212" s="5" t="s">
        <v>278</v>
      </c>
      <c r="B212" s="2" t="s">
        <v>24</v>
      </c>
      <c r="C212" s="6" t="str">
        <f t="shared" si="1"/>
        <v>Bilaskhani Todi_8</v>
      </c>
      <c r="D212" s="7"/>
      <c r="E212" s="8" t="s">
        <v>25</v>
      </c>
      <c r="F212" s="8" t="s">
        <v>37</v>
      </c>
      <c r="H212" s="2" t="str">
        <f>VLOOKUP(F212, ArtistCount!$A$1:$C$286, 3, FALSE)</f>
        <v>#N/A</v>
      </c>
      <c r="I212" s="2" t="s">
        <v>27</v>
      </c>
    </row>
    <row r="213" ht="22.5" customHeight="1">
      <c r="A213" s="5" t="s">
        <v>278</v>
      </c>
      <c r="B213" s="2" t="s">
        <v>24</v>
      </c>
      <c r="C213" s="6" t="str">
        <f t="shared" si="1"/>
        <v>Bilaskhani Todi_9</v>
      </c>
      <c r="D213" s="7"/>
      <c r="E213" s="8" t="s">
        <v>25</v>
      </c>
      <c r="F213" s="8" t="s">
        <v>37</v>
      </c>
      <c r="H213" s="2" t="str">
        <f>VLOOKUP(F213, ArtistCount!$A$1:$C$286, 3, FALSE)</f>
        <v>#N/A</v>
      </c>
      <c r="I213" s="2" t="s">
        <v>27</v>
      </c>
    </row>
    <row r="214" ht="22.5" customHeight="1">
      <c r="A214" s="5" t="s">
        <v>278</v>
      </c>
      <c r="B214" s="2" t="s">
        <v>29</v>
      </c>
      <c r="C214" s="6" t="str">
        <f t="shared" si="1"/>
        <v>Bilaskhani Todi_10</v>
      </c>
      <c r="D214" s="7"/>
      <c r="E214" s="8" t="s">
        <v>25</v>
      </c>
      <c r="F214" s="8" t="s">
        <v>39</v>
      </c>
      <c r="H214" s="2" t="str">
        <f>VLOOKUP(F214, ArtistCount!$A$1:$C$286, 3, FALSE)</f>
        <v>#N/A</v>
      </c>
      <c r="I214" s="2" t="s">
        <v>27</v>
      </c>
    </row>
    <row r="215" ht="22.5" customHeight="1">
      <c r="A215" s="5" t="s">
        <v>279</v>
      </c>
      <c r="B215" s="2" t="s">
        <v>24</v>
      </c>
      <c r="C215" s="6" t="str">
        <f t="shared" si="1"/>
        <v>Bilawal_1</v>
      </c>
      <c r="D215" s="15" t="s">
        <v>280</v>
      </c>
      <c r="E215" s="2" t="s">
        <v>25</v>
      </c>
      <c r="F215" s="2" t="s">
        <v>37</v>
      </c>
      <c r="H215" s="6" t="str">
        <f>VLOOKUP(F215, ArtistCount!$A$1:$C$286, 3, FALSE)</f>
        <v>#N/A</v>
      </c>
    </row>
    <row r="216" ht="22.5" customHeight="1">
      <c r="A216" s="5" t="s">
        <v>279</v>
      </c>
      <c r="B216" s="2" t="s">
        <v>24</v>
      </c>
      <c r="C216" s="6" t="str">
        <f t="shared" si="1"/>
        <v>Bilawal_2</v>
      </c>
      <c r="D216" s="13" t="s">
        <v>281</v>
      </c>
      <c r="E216" s="2" t="s">
        <v>25</v>
      </c>
      <c r="F216" s="2" t="s">
        <v>26</v>
      </c>
      <c r="H216" s="6" t="str">
        <f>VLOOKUP(F216, ArtistCount!$A$1:$C$286, 3, FALSE)</f>
        <v>#N/A</v>
      </c>
    </row>
    <row r="217" ht="22.5" customHeight="1">
      <c r="A217" s="5" t="s">
        <v>279</v>
      </c>
      <c r="B217" s="2" t="s">
        <v>32</v>
      </c>
      <c r="C217" s="6" t="str">
        <f t="shared" si="1"/>
        <v>Bilawal_3</v>
      </c>
      <c r="D217" s="13" t="s">
        <v>282</v>
      </c>
      <c r="E217" s="2" t="s">
        <v>283</v>
      </c>
      <c r="F217" s="2" t="s">
        <v>284</v>
      </c>
      <c r="H217" s="6" t="str">
        <f>VLOOKUP(F217, ArtistCount!$A$1:$C$286, 3, FALSE)</f>
        <v>#N/A</v>
      </c>
    </row>
    <row r="218" ht="22.5" customHeight="1">
      <c r="A218" s="5" t="s">
        <v>279</v>
      </c>
      <c r="B218" s="2" t="s">
        <v>28</v>
      </c>
      <c r="C218" s="6" t="str">
        <f t="shared" si="1"/>
        <v>Bilawal_4</v>
      </c>
      <c r="D218" s="13" t="s">
        <v>285</v>
      </c>
      <c r="E218" s="2" t="s">
        <v>25</v>
      </c>
      <c r="F218" s="2" t="s">
        <v>286</v>
      </c>
      <c r="H218" s="6" t="str">
        <f>VLOOKUP(F218, ArtistCount!$A$1:$C$286, 3, FALSE)</f>
        <v>#N/A</v>
      </c>
    </row>
    <row r="219" ht="22.5" customHeight="1">
      <c r="A219" s="5" t="s">
        <v>279</v>
      </c>
      <c r="B219" s="2" t="s">
        <v>28</v>
      </c>
      <c r="C219" s="6" t="str">
        <f t="shared" si="1"/>
        <v>Bilawal_5</v>
      </c>
      <c r="D219" s="13" t="s">
        <v>287</v>
      </c>
      <c r="E219" s="2" t="s">
        <v>167</v>
      </c>
      <c r="F219" s="2" t="s">
        <v>288</v>
      </c>
      <c r="H219" s="6" t="str">
        <f>VLOOKUP(F219, ArtistCount!$A$1:$C$286, 3, FALSE)</f>
        <v>#N/A</v>
      </c>
    </row>
    <row r="220" ht="22.5" customHeight="1">
      <c r="A220" s="5" t="s">
        <v>279</v>
      </c>
      <c r="B220" s="2" t="s">
        <v>38</v>
      </c>
      <c r="C220" s="6" t="str">
        <f t="shared" si="1"/>
        <v>Bilawal_6</v>
      </c>
      <c r="D220" s="12" t="s">
        <v>289</v>
      </c>
      <c r="E220" s="2" t="s">
        <v>25</v>
      </c>
      <c r="F220" s="2" t="s">
        <v>107</v>
      </c>
      <c r="H220" s="6" t="str">
        <f>VLOOKUP(F220, ArtistCount!$A$1:$C$286, 3, FALSE)</f>
        <v>#N/A</v>
      </c>
    </row>
    <row r="221" ht="22.5" customHeight="1">
      <c r="A221" s="5" t="s">
        <v>290</v>
      </c>
      <c r="B221" s="2" t="s">
        <v>43</v>
      </c>
      <c r="C221" s="6" t="str">
        <f t="shared" si="1"/>
        <v>Champakali_1</v>
      </c>
      <c r="D221" s="15" t="s">
        <v>291</v>
      </c>
      <c r="E221" s="2" t="s">
        <v>25</v>
      </c>
      <c r="F221" s="2" t="s">
        <v>94</v>
      </c>
      <c r="H221" s="2" t="str">
        <f>VLOOKUP(F221, ArtistCount!$A$1:$C$286, 3, FALSE)</f>
        <v>#N/A</v>
      </c>
      <c r="I221" s="2" t="s">
        <v>42</v>
      </c>
    </row>
    <row r="222" ht="22.5" customHeight="1">
      <c r="A222" s="5" t="s">
        <v>290</v>
      </c>
      <c r="B222" s="2" t="s">
        <v>43</v>
      </c>
      <c r="C222" s="6" t="str">
        <f t="shared" si="1"/>
        <v>Champakali_2</v>
      </c>
      <c r="D222" s="15" t="s">
        <v>292</v>
      </c>
      <c r="E222" s="2" t="s">
        <v>91</v>
      </c>
      <c r="F222" s="2" t="s">
        <v>293</v>
      </c>
      <c r="H222" s="6" t="str">
        <f>VLOOKUP(F222, ArtistCount!$A$1:$C$286, 3, FALSE)</f>
        <v>#N/A</v>
      </c>
    </row>
    <row r="223" ht="22.5" customHeight="1">
      <c r="A223" s="5" t="s">
        <v>290</v>
      </c>
      <c r="B223" s="2" t="s">
        <v>43</v>
      </c>
      <c r="C223" s="6" t="str">
        <f t="shared" si="1"/>
        <v>Champakali_3</v>
      </c>
      <c r="D223" s="13" t="s">
        <v>294</v>
      </c>
      <c r="E223" s="2" t="s">
        <v>162</v>
      </c>
      <c r="F223" s="2" t="s">
        <v>295</v>
      </c>
      <c r="H223" s="6" t="str">
        <f>VLOOKUP(F223, ArtistCount!$A$1:$C$286, 3, FALSE)</f>
        <v>#N/A</v>
      </c>
    </row>
    <row r="224" ht="22.5" customHeight="1">
      <c r="A224" s="5" t="s">
        <v>290</v>
      </c>
      <c r="B224" s="2" t="s">
        <v>32</v>
      </c>
      <c r="C224" s="6" t="str">
        <f t="shared" si="1"/>
        <v>Champakali_4</v>
      </c>
      <c r="D224" s="12" t="s">
        <v>296</v>
      </c>
      <c r="E224" s="2" t="s">
        <v>25</v>
      </c>
      <c r="F224" s="2" t="s">
        <v>297</v>
      </c>
      <c r="H224" s="6" t="str">
        <f>VLOOKUP(F224, ArtistCount!$A$1:$C$286, 3, FALSE)</f>
        <v>#N/A</v>
      </c>
    </row>
    <row r="225" ht="22.5" customHeight="1">
      <c r="A225" s="5" t="s">
        <v>290</v>
      </c>
      <c r="B225" s="2" t="s">
        <v>32</v>
      </c>
      <c r="C225" s="6" t="str">
        <f t="shared" si="1"/>
        <v>Champakali_5</v>
      </c>
      <c r="D225" s="12" t="s">
        <v>298</v>
      </c>
      <c r="E225" s="2" t="s">
        <v>91</v>
      </c>
      <c r="F225" s="2" t="s">
        <v>299</v>
      </c>
      <c r="H225" s="6" t="str">
        <f>VLOOKUP(F225, ArtistCount!$A$1:$C$286, 3, FALSE)</f>
        <v>#N/A</v>
      </c>
    </row>
    <row r="226" ht="22.5" customHeight="1">
      <c r="A226" s="5" t="s">
        <v>290</v>
      </c>
      <c r="B226" s="2" t="s">
        <v>32</v>
      </c>
      <c r="C226" s="6" t="str">
        <f t="shared" si="1"/>
        <v>Champakali_6</v>
      </c>
      <c r="D226" s="12" t="s">
        <v>300</v>
      </c>
      <c r="E226" s="2" t="s">
        <v>25</v>
      </c>
      <c r="F226" s="2" t="s">
        <v>301</v>
      </c>
      <c r="H226" s="2" t="str">
        <f>VLOOKUP(F226, ArtistCount!$A$1:$C$286, 3, FALSE)</f>
        <v>#N/A</v>
      </c>
      <c r="I226" s="2" t="s">
        <v>302</v>
      </c>
    </row>
    <row r="227" ht="22.5" customHeight="1">
      <c r="A227" s="5" t="s">
        <v>290</v>
      </c>
      <c r="B227" s="2" t="s">
        <v>38</v>
      </c>
      <c r="C227" s="6" t="str">
        <f t="shared" si="1"/>
        <v>Champakali_7</v>
      </c>
      <c r="D227" s="12" t="s">
        <v>303</v>
      </c>
      <c r="E227" s="2" t="s">
        <v>25</v>
      </c>
      <c r="F227" s="2" t="s">
        <v>134</v>
      </c>
      <c r="H227" s="6" t="str">
        <f>VLOOKUP(F227, ArtistCount!$A$1:$C$286, 3, FALSE)</f>
        <v>#N/A</v>
      </c>
    </row>
    <row r="228" ht="22.5" customHeight="1">
      <c r="A228" s="5" t="s">
        <v>290</v>
      </c>
      <c r="B228" s="2" t="s">
        <v>32</v>
      </c>
      <c r="C228" s="6" t="str">
        <f t="shared" si="1"/>
        <v>Champakali_8</v>
      </c>
      <c r="D228" s="12" t="s">
        <v>304</v>
      </c>
      <c r="E228" s="2" t="s">
        <v>25</v>
      </c>
      <c r="F228" s="2" t="s">
        <v>31</v>
      </c>
      <c r="H228" s="6" t="str">
        <f>VLOOKUP(F228, ArtistCount!$A$1:$C$286, 3, FALSE)</f>
        <v>#N/A</v>
      </c>
    </row>
    <row r="229" ht="22.5" customHeight="1">
      <c r="A229" s="5" t="s">
        <v>290</v>
      </c>
      <c r="B229" s="2" t="s">
        <v>38</v>
      </c>
      <c r="C229" s="6" t="str">
        <f t="shared" si="1"/>
        <v>Champakali_9</v>
      </c>
      <c r="D229" s="12" t="s">
        <v>305</v>
      </c>
      <c r="E229" s="2" t="s">
        <v>25</v>
      </c>
      <c r="F229" s="2" t="s">
        <v>134</v>
      </c>
      <c r="H229" s="6" t="str">
        <f>VLOOKUP(F229, ArtistCount!$A$1:$C$286, 3, FALSE)</f>
        <v>#N/A</v>
      </c>
    </row>
    <row r="230" ht="22.5" customHeight="1">
      <c r="A230" s="5" t="s">
        <v>290</v>
      </c>
      <c r="B230" s="2" t="s">
        <v>32</v>
      </c>
      <c r="C230" s="6" t="str">
        <f t="shared" si="1"/>
        <v>Champakali_10</v>
      </c>
      <c r="D230" s="12" t="s">
        <v>306</v>
      </c>
      <c r="E230" s="2" t="s">
        <v>307</v>
      </c>
      <c r="F230" s="2" t="s">
        <v>308</v>
      </c>
      <c r="H230" s="6" t="str">
        <f>VLOOKUP(F230, ArtistCount!$A$1:$C$286, 3, FALSE)</f>
        <v>#N/A</v>
      </c>
    </row>
    <row r="231" ht="22.5" customHeight="1">
      <c r="A231" s="5" t="s">
        <v>309</v>
      </c>
      <c r="B231" s="21" t="s">
        <v>127</v>
      </c>
      <c r="C231" s="6" t="str">
        <f t="shared" si="1"/>
        <v>Chandrakauns_1</v>
      </c>
      <c r="D231" s="12" t="s">
        <v>310</v>
      </c>
      <c r="E231" s="2" t="s">
        <v>25</v>
      </c>
      <c r="F231" s="2" t="s">
        <v>311</v>
      </c>
      <c r="H231" s="2" t="str">
        <f>VLOOKUP(F231, ArtistCount!$A$1:$C$286, 3, FALSE)</f>
        <v>#N/A</v>
      </c>
      <c r="I231" s="2" t="s">
        <v>171</v>
      </c>
    </row>
    <row r="232" ht="22.5" customHeight="1">
      <c r="A232" s="5" t="s">
        <v>309</v>
      </c>
      <c r="B232" s="2" t="s">
        <v>127</v>
      </c>
      <c r="C232" s="6" t="str">
        <f t="shared" si="1"/>
        <v>Chandrakauns_2</v>
      </c>
      <c r="D232" s="12" t="s">
        <v>312</v>
      </c>
      <c r="E232" s="2" t="s">
        <v>313</v>
      </c>
      <c r="F232" s="2" t="s">
        <v>314</v>
      </c>
      <c r="H232" s="2" t="str">
        <f>VLOOKUP(F232, ArtistCount!$A$1:$C$286, 3, FALSE)</f>
        <v>#N/A</v>
      </c>
      <c r="I232" s="2" t="s">
        <v>171</v>
      </c>
    </row>
    <row r="233" ht="22.5" customHeight="1">
      <c r="A233" s="5" t="s">
        <v>309</v>
      </c>
      <c r="B233" s="21" t="s">
        <v>24</v>
      </c>
      <c r="C233" s="6" t="str">
        <f t="shared" si="1"/>
        <v>Chandrakauns_3</v>
      </c>
      <c r="D233" s="13" t="s">
        <v>315</v>
      </c>
      <c r="E233" s="2" t="s">
        <v>114</v>
      </c>
      <c r="F233" s="2" t="s">
        <v>180</v>
      </c>
      <c r="H233" s="2" t="str">
        <f>VLOOKUP(F233, ArtistCount!$A$1:$C$286, 3, FALSE)</f>
        <v>#N/A</v>
      </c>
      <c r="I233" s="2" t="s">
        <v>171</v>
      </c>
    </row>
    <row r="234" ht="22.5" customHeight="1">
      <c r="A234" s="5" t="s">
        <v>309</v>
      </c>
      <c r="B234" s="2" t="s">
        <v>24</v>
      </c>
      <c r="C234" s="6" t="str">
        <f t="shared" si="1"/>
        <v>Chandrakauns_4</v>
      </c>
      <c r="D234" s="12" t="s">
        <v>316</v>
      </c>
      <c r="E234" s="2" t="s">
        <v>25</v>
      </c>
      <c r="F234" s="2" t="s">
        <v>30</v>
      </c>
      <c r="H234" s="6" t="str">
        <f>VLOOKUP(F234, ArtistCount!$A$1:$C$286, 3, FALSE)</f>
        <v>#N/A</v>
      </c>
    </row>
    <row r="235" ht="22.5" customHeight="1">
      <c r="A235" s="5" t="s">
        <v>309</v>
      </c>
      <c r="B235" s="2" t="s">
        <v>32</v>
      </c>
      <c r="C235" s="6" t="str">
        <f t="shared" si="1"/>
        <v>Chandrakauns_5</v>
      </c>
      <c r="D235" s="12" t="s">
        <v>317</v>
      </c>
      <c r="E235" s="2" t="s">
        <v>25</v>
      </c>
      <c r="F235" s="2" t="s">
        <v>34</v>
      </c>
      <c r="H235" s="6" t="str">
        <f>VLOOKUP(F235, ArtistCount!$A$1:$C$286, 3, FALSE)</f>
        <v>#N/A</v>
      </c>
    </row>
    <row r="236" ht="22.5" customHeight="1">
      <c r="A236" s="5" t="s">
        <v>309</v>
      </c>
      <c r="B236" s="2" t="s">
        <v>67</v>
      </c>
      <c r="C236" s="6" t="str">
        <f t="shared" si="1"/>
        <v>Chandrakauns_6</v>
      </c>
      <c r="D236" s="12" t="s">
        <v>318</v>
      </c>
      <c r="E236" s="2" t="s">
        <v>25</v>
      </c>
      <c r="F236" s="2" t="s">
        <v>68</v>
      </c>
      <c r="H236" s="6" t="str">
        <f>VLOOKUP(F236, ArtistCount!$A$1:$C$286, 3, FALSE)</f>
        <v>#N/A</v>
      </c>
    </row>
    <row r="237" ht="22.5" customHeight="1">
      <c r="A237" s="5" t="s">
        <v>309</v>
      </c>
      <c r="B237" s="2" t="s">
        <v>58</v>
      </c>
      <c r="C237" s="2" t="str">
        <f t="shared" si="1"/>
        <v>Chandrakauns_7</v>
      </c>
      <c r="D237" s="13" t="s">
        <v>319</v>
      </c>
      <c r="E237" s="2" t="s">
        <v>167</v>
      </c>
      <c r="F237" s="2" t="s">
        <v>168</v>
      </c>
      <c r="H237" s="6" t="str">
        <f>VLOOKUP(F237, ArtistCount!$A$1:$C$286, 3, FALSE)</f>
        <v>#N/A</v>
      </c>
      <c r="L237" s="2" t="s">
        <v>320</v>
      </c>
    </row>
    <row r="238" ht="22.5" customHeight="1">
      <c r="A238" s="5" t="s">
        <v>309</v>
      </c>
      <c r="B238" s="2" t="s">
        <v>38</v>
      </c>
      <c r="C238" s="6" t="str">
        <f t="shared" si="1"/>
        <v>Chandrakauns_8</v>
      </c>
      <c r="D238" s="13" t="s">
        <v>321</v>
      </c>
      <c r="E238" s="2" t="s">
        <v>25</v>
      </c>
      <c r="F238" s="2" t="s">
        <v>134</v>
      </c>
      <c r="H238" s="6" t="str">
        <f>VLOOKUP(F238, ArtistCount!$A$1:$C$286, 3, FALSE)</f>
        <v>#N/A</v>
      </c>
    </row>
    <row r="239" ht="22.5" customHeight="1">
      <c r="A239" s="5" t="s">
        <v>309</v>
      </c>
      <c r="B239" s="2" t="s">
        <v>62</v>
      </c>
      <c r="C239" s="6" t="str">
        <f t="shared" si="1"/>
        <v>Chandrakauns_9</v>
      </c>
      <c r="D239" s="12" t="s">
        <v>322</v>
      </c>
      <c r="E239" s="2" t="s">
        <v>25</v>
      </c>
      <c r="F239" s="2" t="s">
        <v>153</v>
      </c>
      <c r="H239" s="2" t="str">
        <f>VLOOKUP(F239, ArtistCount!$A$1:$C$286, 3, FALSE)</f>
        <v>#N/A</v>
      </c>
      <c r="I239" s="2" t="s">
        <v>154</v>
      </c>
    </row>
    <row r="240" ht="22.5" customHeight="1">
      <c r="A240" s="5" t="s">
        <v>309</v>
      </c>
      <c r="B240" s="2" t="s">
        <v>32</v>
      </c>
      <c r="C240" s="6" t="str">
        <f t="shared" si="1"/>
        <v>Chandrakauns_10</v>
      </c>
      <c r="D240" s="13" t="s">
        <v>323</v>
      </c>
      <c r="E240" s="2" t="s">
        <v>324</v>
      </c>
      <c r="F240" s="2" t="s">
        <v>325</v>
      </c>
      <c r="H240" s="6" t="str">
        <f>VLOOKUP(F240, ArtistCount!$A$1:$C$286, 3, FALSE)</f>
        <v>#N/A</v>
      </c>
    </row>
    <row r="241" ht="22.5" customHeight="1">
      <c r="A241" s="5" t="s">
        <v>309</v>
      </c>
      <c r="B241" s="14" t="s">
        <v>43</v>
      </c>
      <c r="C241" s="6" t="str">
        <f t="shared" si="1"/>
        <v>Chandrakauns_11</v>
      </c>
      <c r="D241" s="13" t="s">
        <v>326</v>
      </c>
      <c r="E241" s="2" t="s">
        <v>25</v>
      </c>
      <c r="F241" s="2" t="s">
        <v>101</v>
      </c>
      <c r="H241" s="6" t="str">
        <f>VLOOKUP(F241, ArtistCount!$A$1:$C$286, 3, FALSE)</f>
        <v>#N/A</v>
      </c>
    </row>
    <row r="242" ht="22.5" customHeight="1">
      <c r="A242" s="5" t="s">
        <v>309</v>
      </c>
      <c r="B242" s="2" t="s">
        <v>58</v>
      </c>
      <c r="C242" s="6" t="str">
        <f t="shared" si="1"/>
        <v>Chandrakauns_12</v>
      </c>
      <c r="D242" s="17" t="s">
        <v>327</v>
      </c>
      <c r="E242" s="2" t="s">
        <v>328</v>
      </c>
      <c r="F242" s="2" t="s">
        <v>131</v>
      </c>
      <c r="H242" s="6" t="str">
        <f>VLOOKUP(F242, ArtistCount!$A$1:$C$286, 3, FALSE)</f>
        <v>#N/A</v>
      </c>
    </row>
    <row r="243" ht="22.5" customHeight="1">
      <c r="A243" s="5" t="s">
        <v>309</v>
      </c>
      <c r="B243" s="2" t="s">
        <v>62</v>
      </c>
      <c r="C243" s="6" t="str">
        <f t="shared" si="1"/>
        <v>Chandrakauns_13</v>
      </c>
      <c r="D243" s="12" t="s">
        <v>329</v>
      </c>
      <c r="E243" s="2" t="s">
        <v>25</v>
      </c>
      <c r="F243" s="2" t="s">
        <v>330</v>
      </c>
      <c r="H243" s="6" t="str">
        <f>VLOOKUP(F243, ArtistCount!$A$1:$C$286, 3, FALSE)</f>
        <v>#N/A</v>
      </c>
    </row>
    <row r="244" ht="22.5" customHeight="1">
      <c r="A244" s="5" t="s">
        <v>309</v>
      </c>
      <c r="B244" s="2" t="s">
        <v>89</v>
      </c>
      <c r="C244" s="6" t="str">
        <f t="shared" si="1"/>
        <v>Chandrakauns_14</v>
      </c>
      <c r="D244" s="13" t="s">
        <v>331</v>
      </c>
      <c r="E244" s="2" t="s">
        <v>313</v>
      </c>
      <c r="F244" s="2" t="s">
        <v>332</v>
      </c>
      <c r="H244" s="6" t="str">
        <f>VLOOKUP(F244, ArtistCount!$A$1:$C$286, 3, FALSE)</f>
        <v>#N/A</v>
      </c>
    </row>
    <row r="245" ht="22.5" customHeight="1">
      <c r="A245" s="5" t="s">
        <v>309</v>
      </c>
      <c r="B245" s="2" t="s">
        <v>32</v>
      </c>
      <c r="C245" s="6" t="str">
        <f t="shared" si="1"/>
        <v>Chandrakauns_15</v>
      </c>
      <c r="D245" s="13" t="s">
        <v>333</v>
      </c>
      <c r="E245" s="2" t="s">
        <v>25</v>
      </c>
      <c r="F245" s="2" t="s">
        <v>334</v>
      </c>
      <c r="H245" s="6" t="str">
        <f>VLOOKUP(F245, ArtistCount!$A$1:$C$286, 3, FALSE)</f>
        <v>#N/A</v>
      </c>
    </row>
    <row r="246" ht="22.5" customHeight="1">
      <c r="A246" s="5" t="s">
        <v>335</v>
      </c>
      <c r="B246" s="2" t="s">
        <v>38</v>
      </c>
      <c r="C246" s="6" t="str">
        <f t="shared" si="1"/>
        <v>Chandranandan_1</v>
      </c>
      <c r="D246" s="13" t="s">
        <v>336</v>
      </c>
      <c r="E246" s="2" t="s">
        <v>162</v>
      </c>
      <c r="F246" s="2" t="s">
        <v>337</v>
      </c>
      <c r="H246" s="6" t="str">
        <f>VLOOKUP(F246, ArtistCount!$A$1:$C$286, 3, FALSE)</f>
        <v>#N/A</v>
      </c>
    </row>
    <row r="247" ht="22.5" customHeight="1">
      <c r="A247" s="5" t="s">
        <v>335</v>
      </c>
      <c r="B247" s="2" t="s">
        <v>36</v>
      </c>
      <c r="C247" s="6" t="str">
        <f t="shared" si="1"/>
        <v>Chandranandan_2</v>
      </c>
      <c r="D247" s="13" t="s">
        <v>338</v>
      </c>
      <c r="E247" s="2" t="s">
        <v>162</v>
      </c>
      <c r="F247" s="2" t="s">
        <v>339</v>
      </c>
      <c r="H247" s="6" t="str">
        <f>VLOOKUP(F247, ArtistCount!$A$1:$C$286, 3, FALSE)</f>
        <v>#N/A</v>
      </c>
    </row>
    <row r="248" ht="22.5" customHeight="1">
      <c r="A248" s="5" t="s">
        <v>335</v>
      </c>
      <c r="B248" s="2" t="s">
        <v>32</v>
      </c>
      <c r="C248" s="6" t="str">
        <f t="shared" si="1"/>
        <v>Chandranandan_3</v>
      </c>
      <c r="D248" s="13" t="s">
        <v>340</v>
      </c>
      <c r="E248" s="2" t="s">
        <v>114</v>
      </c>
      <c r="F248" s="2" t="s">
        <v>341</v>
      </c>
      <c r="H248" s="6" t="str">
        <f>VLOOKUP(F248, ArtistCount!$A$1:$C$286, 3, FALSE)</f>
        <v>#N/A</v>
      </c>
    </row>
    <row r="249" ht="22.5" customHeight="1">
      <c r="A249" s="5" t="s">
        <v>335</v>
      </c>
      <c r="B249" s="2" t="s">
        <v>36</v>
      </c>
      <c r="C249" s="6" t="str">
        <f t="shared" si="1"/>
        <v>Chandranandan_4</v>
      </c>
      <c r="D249" s="12" t="s">
        <v>342</v>
      </c>
      <c r="E249" s="2" t="s">
        <v>162</v>
      </c>
      <c r="F249" s="2" t="s">
        <v>343</v>
      </c>
      <c r="H249" s="6" t="str">
        <f>VLOOKUP(F249, ArtistCount!$A$1:$C$286, 3, FALSE)</f>
        <v>#N/A</v>
      </c>
    </row>
    <row r="250" ht="22.5" customHeight="1">
      <c r="A250" s="5" t="s">
        <v>335</v>
      </c>
      <c r="B250" s="2" t="s">
        <v>36</v>
      </c>
      <c r="C250" s="2" t="str">
        <f t="shared" si="1"/>
        <v>Chandranandan_5</v>
      </c>
      <c r="D250" s="13" t="s">
        <v>344</v>
      </c>
      <c r="E250" s="2" t="s">
        <v>162</v>
      </c>
      <c r="F250" s="2" t="s">
        <v>345</v>
      </c>
      <c r="H250" s="6" t="str">
        <f>VLOOKUP(F250, ArtistCount!$A$1:$C$286, 3, FALSE)</f>
        <v>#N/A</v>
      </c>
      <c r="L250" s="2" t="s">
        <v>346</v>
      </c>
    </row>
    <row r="251" ht="22.5" customHeight="1">
      <c r="A251" s="5" t="s">
        <v>335</v>
      </c>
      <c r="B251" s="2" t="s">
        <v>36</v>
      </c>
      <c r="C251" s="6" t="str">
        <f t="shared" si="1"/>
        <v>Chandranandan_6</v>
      </c>
      <c r="D251" s="12" t="s">
        <v>347</v>
      </c>
      <c r="E251" s="2" t="s">
        <v>162</v>
      </c>
      <c r="F251" s="2" t="s">
        <v>348</v>
      </c>
      <c r="G251" s="19">
        <v>0.006944444444444444</v>
      </c>
      <c r="H251" s="6" t="str">
        <f>VLOOKUP(F251, ArtistCount!$A$1:$C$286, 3, FALSE)</f>
        <v>#N/A</v>
      </c>
    </row>
    <row r="252" ht="22.5" customHeight="1">
      <c r="A252" s="5" t="s">
        <v>349</v>
      </c>
      <c r="B252" s="2" t="s">
        <v>24</v>
      </c>
      <c r="C252" s="6" t="str">
        <f t="shared" si="1"/>
        <v>Charukeshi_1</v>
      </c>
      <c r="D252" s="12" t="s">
        <v>350</v>
      </c>
      <c r="E252" s="2" t="s">
        <v>114</v>
      </c>
      <c r="F252" s="2" t="s">
        <v>180</v>
      </c>
      <c r="H252" s="2" t="str">
        <f>VLOOKUP(F252, ArtistCount!$A$1:$C$286, 3, FALSE)</f>
        <v>#N/A</v>
      </c>
      <c r="I252" s="2" t="s">
        <v>171</v>
      </c>
    </row>
    <row r="253" ht="22.5" customHeight="1">
      <c r="A253" s="5" t="s">
        <v>349</v>
      </c>
      <c r="B253" s="2" t="s">
        <v>32</v>
      </c>
      <c r="C253" s="2" t="str">
        <f t="shared" si="1"/>
        <v>Charukeshi_2</v>
      </c>
      <c r="D253" s="15" t="s">
        <v>351</v>
      </c>
      <c r="E253" s="2" t="s">
        <v>25</v>
      </c>
      <c r="F253" s="2" t="s">
        <v>37</v>
      </c>
      <c r="H253" s="6" t="str">
        <f>VLOOKUP(F253, ArtistCount!$A$1:$C$286, 3, FALSE)</f>
        <v>#N/A</v>
      </c>
      <c r="L253" s="2">
        <v>432.0</v>
      </c>
    </row>
    <row r="254" ht="22.5" customHeight="1">
      <c r="A254" s="5" t="s">
        <v>349</v>
      </c>
      <c r="B254" s="2" t="s">
        <v>32</v>
      </c>
      <c r="C254" s="6" t="str">
        <f t="shared" si="1"/>
        <v>Charukeshi_3</v>
      </c>
      <c r="D254" s="12" t="s">
        <v>352</v>
      </c>
      <c r="E254" s="2" t="s">
        <v>25</v>
      </c>
      <c r="F254" s="2" t="s">
        <v>34</v>
      </c>
      <c r="H254" s="6" t="str">
        <f>VLOOKUP(F254, ArtistCount!$A$1:$C$286, 3, FALSE)</f>
        <v>#N/A</v>
      </c>
    </row>
    <row r="255" ht="22.5" customHeight="1">
      <c r="A255" s="5" t="s">
        <v>349</v>
      </c>
      <c r="B255" s="2" t="s">
        <v>32</v>
      </c>
      <c r="C255" s="6" t="str">
        <f t="shared" si="1"/>
        <v>Charukeshi_4</v>
      </c>
      <c r="D255" s="13" t="s">
        <v>353</v>
      </c>
      <c r="E255" s="2" t="s">
        <v>114</v>
      </c>
      <c r="F255" s="2" t="s">
        <v>211</v>
      </c>
      <c r="H255" s="6" t="str">
        <f>VLOOKUP(F255, ArtistCount!$A$1:$C$286, 3, FALSE)</f>
        <v>#N/A</v>
      </c>
    </row>
    <row r="256" ht="22.5" customHeight="1">
      <c r="A256" s="5" t="s">
        <v>349</v>
      </c>
      <c r="B256" s="2" t="s">
        <v>38</v>
      </c>
      <c r="C256" s="6" t="str">
        <f t="shared" si="1"/>
        <v>Charukeshi_5</v>
      </c>
      <c r="D256" s="15" t="s">
        <v>354</v>
      </c>
      <c r="E256" s="2" t="s">
        <v>25</v>
      </c>
      <c r="F256" s="2" t="s">
        <v>157</v>
      </c>
      <c r="H256" s="6" t="str">
        <f>VLOOKUP(F256, ArtistCount!$A$1:$C$286, 3, FALSE)</f>
        <v>#N/A</v>
      </c>
    </row>
    <row r="257" ht="22.5" customHeight="1">
      <c r="A257" s="5" t="s">
        <v>349</v>
      </c>
      <c r="B257" s="16" t="s">
        <v>24</v>
      </c>
      <c r="C257" s="6" t="str">
        <f t="shared" si="1"/>
        <v>Charukeshi_6</v>
      </c>
      <c r="D257" s="15" t="s">
        <v>355</v>
      </c>
      <c r="E257" s="2" t="s">
        <v>356</v>
      </c>
      <c r="F257" s="2" t="s">
        <v>337</v>
      </c>
      <c r="H257" s="6" t="str">
        <f>VLOOKUP(F257, ArtistCount!$A$1:$C$286, 3, FALSE)</f>
        <v>#N/A</v>
      </c>
    </row>
    <row r="258" ht="22.5" customHeight="1">
      <c r="A258" s="5" t="s">
        <v>349</v>
      </c>
      <c r="B258" s="2" t="s">
        <v>24</v>
      </c>
      <c r="C258" s="6" t="str">
        <f t="shared" si="1"/>
        <v>Charukeshi_7</v>
      </c>
      <c r="D258" s="12" t="s">
        <v>357</v>
      </c>
      <c r="E258" s="2" t="s">
        <v>25</v>
      </c>
      <c r="F258" s="2" t="s">
        <v>30</v>
      </c>
      <c r="H258" s="6" t="str">
        <f>VLOOKUP(F258, ArtistCount!$A$1:$C$286, 3, FALSE)</f>
        <v>#N/A</v>
      </c>
    </row>
    <row r="259" ht="22.5" customHeight="1">
      <c r="A259" s="5" t="s">
        <v>349</v>
      </c>
      <c r="B259" s="2" t="s">
        <v>28</v>
      </c>
      <c r="C259" s="6" t="str">
        <f t="shared" si="1"/>
        <v>Charukeshi_8</v>
      </c>
      <c r="D259" s="12" t="s">
        <v>358</v>
      </c>
      <c r="E259" s="2" t="s">
        <v>167</v>
      </c>
      <c r="F259" s="2" t="s">
        <v>359</v>
      </c>
      <c r="H259" s="6" t="str">
        <f>VLOOKUP(F259, ArtistCount!$A$1:$C$286, 3, FALSE)</f>
        <v>#N/A</v>
      </c>
    </row>
    <row r="260" ht="22.5" customHeight="1">
      <c r="A260" s="5" t="s">
        <v>349</v>
      </c>
      <c r="B260" s="2" t="s">
        <v>28</v>
      </c>
      <c r="C260" s="6" t="str">
        <f t="shared" si="1"/>
        <v>Charukeshi_9</v>
      </c>
      <c r="D260" s="12" t="s">
        <v>360</v>
      </c>
      <c r="E260" s="2" t="s">
        <v>91</v>
      </c>
      <c r="F260" s="2" t="s">
        <v>361</v>
      </c>
      <c r="H260" s="6" t="str">
        <f>VLOOKUP(F260, ArtistCount!$A$1:$C$286, 3, FALSE)</f>
        <v>#N/A</v>
      </c>
    </row>
    <row r="261" ht="22.5" customHeight="1">
      <c r="A261" s="5" t="s">
        <v>349</v>
      </c>
      <c r="B261" s="2" t="s">
        <v>32</v>
      </c>
      <c r="C261" s="6" t="str">
        <f t="shared" si="1"/>
        <v>Charukeshi_10</v>
      </c>
      <c r="D261" s="12" t="s">
        <v>362</v>
      </c>
      <c r="E261" s="2" t="s">
        <v>25</v>
      </c>
      <c r="F261" s="2" t="s">
        <v>34</v>
      </c>
      <c r="H261" s="6" t="str">
        <f>VLOOKUP(F261, ArtistCount!$A$1:$C$286, 3, FALSE)</f>
        <v>#N/A</v>
      </c>
    </row>
    <row r="262" ht="22.5" customHeight="1">
      <c r="A262" s="5" t="s">
        <v>363</v>
      </c>
      <c r="B262" s="2" t="s">
        <v>32</v>
      </c>
      <c r="C262" s="6" t="str">
        <f t="shared" si="1"/>
        <v>Chhayanat_1</v>
      </c>
      <c r="D262" s="12" t="s">
        <v>364</v>
      </c>
      <c r="E262" s="2" t="s">
        <v>25</v>
      </c>
      <c r="F262" s="2" t="s">
        <v>34</v>
      </c>
      <c r="H262" s="6" t="str">
        <f>VLOOKUP(F262, ArtistCount!$A$1:$C$286, 3, FALSE)</f>
        <v>#N/A</v>
      </c>
    </row>
    <row r="263" ht="22.5" customHeight="1">
      <c r="A263" s="5" t="s">
        <v>363</v>
      </c>
      <c r="B263" s="2" t="s">
        <v>43</v>
      </c>
      <c r="C263" s="6" t="str">
        <f t="shared" si="1"/>
        <v>Chhayanat_2</v>
      </c>
      <c r="D263" s="13" t="s">
        <v>365</v>
      </c>
      <c r="E263" s="2" t="s">
        <v>25</v>
      </c>
      <c r="F263" s="2" t="s">
        <v>70</v>
      </c>
      <c r="H263" s="2" t="str">
        <f>VLOOKUP(F263, ArtistCount!$A$1:$C$286, 3, FALSE)</f>
        <v>#N/A</v>
      </c>
      <c r="I263" s="2" t="s">
        <v>366</v>
      </c>
    </row>
    <row r="264" ht="22.5" customHeight="1">
      <c r="A264" s="5" t="s">
        <v>363</v>
      </c>
      <c r="B264" s="16" t="s">
        <v>36</v>
      </c>
      <c r="C264" s="6" t="str">
        <f t="shared" si="1"/>
        <v>Chhayanat_3</v>
      </c>
      <c r="D264" s="12" t="s">
        <v>367</v>
      </c>
      <c r="E264" s="2" t="s">
        <v>25</v>
      </c>
      <c r="F264" s="2" t="s">
        <v>368</v>
      </c>
      <c r="H264" s="6" t="str">
        <f>VLOOKUP(F264, ArtistCount!$A$1:$C$286, 3, FALSE)</f>
        <v>#N/A</v>
      </c>
    </row>
    <row r="265" ht="22.5" customHeight="1">
      <c r="A265" s="5" t="s">
        <v>363</v>
      </c>
      <c r="B265" s="2" t="s">
        <v>43</v>
      </c>
      <c r="C265" s="6" t="str">
        <f t="shared" si="1"/>
        <v>Chhayanat_4</v>
      </c>
      <c r="D265" s="13" t="s">
        <v>369</v>
      </c>
      <c r="E265" s="2" t="s">
        <v>25</v>
      </c>
      <c r="F265" s="2" t="s">
        <v>83</v>
      </c>
      <c r="H265" s="6" t="str">
        <f>VLOOKUP(F265, ArtistCount!$A$1:$C$286, 3, FALSE)</f>
        <v>#N/A</v>
      </c>
    </row>
    <row r="266" ht="22.5" customHeight="1">
      <c r="A266" s="5" t="s">
        <v>363</v>
      </c>
      <c r="B266" s="2" t="s">
        <v>28</v>
      </c>
      <c r="C266" s="6" t="str">
        <f t="shared" si="1"/>
        <v>Chhayanat_5</v>
      </c>
      <c r="D266" s="12" t="s">
        <v>370</v>
      </c>
      <c r="E266" s="2" t="s">
        <v>25</v>
      </c>
      <c r="F266" s="2" t="s">
        <v>112</v>
      </c>
      <c r="H266" s="6" t="str">
        <f>VLOOKUP(F266, ArtistCount!$A$1:$C$286, 3, FALSE)</f>
        <v>#N/A</v>
      </c>
    </row>
    <row r="267" ht="22.5" customHeight="1">
      <c r="A267" s="5" t="s">
        <v>363</v>
      </c>
      <c r="B267" s="2" t="s">
        <v>43</v>
      </c>
      <c r="C267" s="6" t="str">
        <f t="shared" si="1"/>
        <v>Chhayanat_6</v>
      </c>
      <c r="D267" s="13" t="s">
        <v>371</v>
      </c>
      <c r="E267" s="2" t="s">
        <v>25</v>
      </c>
      <c r="F267" s="2" t="s">
        <v>70</v>
      </c>
      <c r="H267" s="6" t="str">
        <f>VLOOKUP(F267, ArtistCount!$A$1:$C$286, 3, FALSE)</f>
        <v>#N/A</v>
      </c>
    </row>
    <row r="268" ht="22.5" customHeight="1">
      <c r="A268" s="5" t="s">
        <v>363</v>
      </c>
      <c r="B268" s="2" t="s">
        <v>29</v>
      </c>
      <c r="C268" s="6" t="str">
        <f t="shared" si="1"/>
        <v>Chhayanat_7</v>
      </c>
      <c r="D268" s="13" t="s">
        <v>372</v>
      </c>
      <c r="E268" s="2" t="s">
        <v>25</v>
      </c>
      <c r="F268" s="2" t="s">
        <v>373</v>
      </c>
      <c r="H268" s="2" t="str">
        <f>VLOOKUP(F268, ArtistCount!$A$1:$C$286, 3, FALSE)</f>
        <v>#N/A</v>
      </c>
      <c r="I268" s="2" t="s">
        <v>80</v>
      </c>
    </row>
    <row r="269" ht="22.5" customHeight="1">
      <c r="A269" s="5" t="s">
        <v>363</v>
      </c>
      <c r="B269" s="2" t="s">
        <v>28</v>
      </c>
      <c r="C269" s="6" t="str">
        <f t="shared" si="1"/>
        <v>Chhayanat_8</v>
      </c>
      <c r="D269" s="13" t="s">
        <v>374</v>
      </c>
      <c r="E269" s="2" t="s">
        <v>25</v>
      </c>
      <c r="F269" s="2" t="s">
        <v>286</v>
      </c>
      <c r="H269" s="6" t="str">
        <f>VLOOKUP(F269, ArtistCount!$A$1:$C$286, 3, FALSE)</f>
        <v>#N/A</v>
      </c>
    </row>
    <row r="270" ht="22.5" customHeight="1">
      <c r="A270" s="5" t="s">
        <v>363</v>
      </c>
      <c r="B270" s="2" t="s">
        <v>29</v>
      </c>
      <c r="C270" s="6" t="str">
        <f t="shared" si="1"/>
        <v>Chhayanat_9</v>
      </c>
      <c r="D270" s="13" t="s">
        <v>375</v>
      </c>
      <c r="E270" s="2" t="s">
        <v>25</v>
      </c>
      <c r="F270" s="2" t="s">
        <v>376</v>
      </c>
      <c r="H270" s="6" t="str">
        <f>VLOOKUP(F270, ArtistCount!$A$1:$C$286, 3, FALSE)</f>
        <v>#N/A</v>
      </c>
    </row>
    <row r="271" ht="22.5" customHeight="1">
      <c r="A271" s="5" t="s">
        <v>377</v>
      </c>
      <c r="B271" s="2" t="s">
        <v>28</v>
      </c>
      <c r="C271" s="6" t="str">
        <f t="shared" si="1"/>
        <v>Darbari Kanada_1</v>
      </c>
      <c r="D271" s="7"/>
      <c r="E271" s="8" t="s">
        <v>25</v>
      </c>
      <c r="F271" s="8" t="s">
        <v>48</v>
      </c>
      <c r="H271" s="2" t="str">
        <f>VLOOKUP(F271, ArtistCount!$A$1:$C$286, 3, FALSE)</f>
        <v>#N/A</v>
      </c>
      <c r="I271" s="2" t="s">
        <v>27</v>
      </c>
    </row>
    <row r="272" ht="22.5" customHeight="1">
      <c r="A272" s="5" t="s">
        <v>377</v>
      </c>
      <c r="B272" s="2" t="s">
        <v>43</v>
      </c>
      <c r="C272" s="6" t="str">
        <f t="shared" si="1"/>
        <v>Darbari Kanada_2</v>
      </c>
      <c r="D272" s="7"/>
      <c r="E272" s="8" t="s">
        <v>25</v>
      </c>
      <c r="F272" s="8" t="s">
        <v>48</v>
      </c>
      <c r="H272" s="2" t="str">
        <f>VLOOKUP(F272, ArtistCount!$A$1:$C$286, 3, FALSE)</f>
        <v>#N/A</v>
      </c>
      <c r="I272" s="2" t="s">
        <v>27</v>
      </c>
    </row>
    <row r="273" ht="22.5" customHeight="1">
      <c r="A273" s="5" t="s">
        <v>377</v>
      </c>
      <c r="B273" s="2" t="s">
        <v>24</v>
      </c>
      <c r="C273" s="6" t="str">
        <f t="shared" si="1"/>
        <v>Darbari Kanada_3</v>
      </c>
      <c r="D273" s="7"/>
      <c r="E273" s="8" t="s">
        <v>25</v>
      </c>
      <c r="F273" s="8" t="s">
        <v>233</v>
      </c>
      <c r="H273" s="2" t="str">
        <f>VLOOKUP(F273, ArtistCount!$A$1:$C$286, 3, FALSE)</f>
        <v>#N/A</v>
      </c>
      <c r="I273" s="2" t="s">
        <v>27</v>
      </c>
    </row>
    <row r="274" ht="22.5" customHeight="1">
      <c r="A274" s="5" t="s">
        <v>377</v>
      </c>
      <c r="B274" s="2" t="s">
        <v>24</v>
      </c>
      <c r="C274" s="6" t="str">
        <f t="shared" si="1"/>
        <v>Darbari Kanada_4</v>
      </c>
      <c r="D274" s="7"/>
      <c r="E274" s="8" t="s">
        <v>25</v>
      </c>
      <c r="F274" s="8" t="s">
        <v>378</v>
      </c>
      <c r="H274" s="2" t="str">
        <f>VLOOKUP(F274, ArtistCount!$A$1:$C$286, 3, FALSE)</f>
        <v>#N/A</v>
      </c>
      <c r="I274" s="2" t="s">
        <v>27</v>
      </c>
    </row>
    <row r="275" ht="22.5" customHeight="1">
      <c r="A275" s="5" t="s">
        <v>377</v>
      </c>
      <c r="B275" s="2" t="s">
        <v>24</v>
      </c>
      <c r="C275" s="6" t="str">
        <f t="shared" si="1"/>
        <v>Darbari Kanada_5</v>
      </c>
      <c r="D275" s="7"/>
      <c r="E275" s="8" t="s">
        <v>25</v>
      </c>
      <c r="F275" s="8" t="s">
        <v>56</v>
      </c>
      <c r="H275" s="2" t="str">
        <f>VLOOKUP(F275, ArtistCount!$A$1:$C$286, 3, FALSE)</f>
        <v>#N/A</v>
      </c>
      <c r="I275" s="2" t="s">
        <v>27</v>
      </c>
    </row>
    <row r="276" ht="22.5" customHeight="1">
      <c r="A276" s="5" t="s">
        <v>377</v>
      </c>
      <c r="B276" s="2" t="s">
        <v>32</v>
      </c>
      <c r="C276" s="6" t="str">
        <f t="shared" si="1"/>
        <v>Darbari Kanada_6</v>
      </c>
      <c r="D276" s="7"/>
      <c r="E276" s="8" t="s">
        <v>25</v>
      </c>
      <c r="F276" s="8" t="s">
        <v>34</v>
      </c>
      <c r="H276" s="2" t="str">
        <f>VLOOKUP(F276, ArtistCount!$A$1:$C$286, 3, FALSE)</f>
        <v>#N/A</v>
      </c>
      <c r="I276" s="2" t="s">
        <v>27</v>
      </c>
    </row>
    <row r="277" ht="22.5" customHeight="1">
      <c r="A277" s="5" t="s">
        <v>377</v>
      </c>
      <c r="B277" s="2" t="s">
        <v>43</v>
      </c>
      <c r="C277" s="6" t="str">
        <f t="shared" si="1"/>
        <v>Darbari Kanada_7</v>
      </c>
      <c r="D277" s="7"/>
      <c r="E277" s="8" t="s">
        <v>25</v>
      </c>
      <c r="F277" s="8" t="s">
        <v>34</v>
      </c>
      <c r="H277" s="2" t="str">
        <f>VLOOKUP(F277, ArtistCount!$A$1:$C$286, 3, FALSE)</f>
        <v>#N/A</v>
      </c>
      <c r="I277" s="2" t="s">
        <v>27</v>
      </c>
    </row>
    <row r="278" ht="22.5" customHeight="1">
      <c r="A278" s="5" t="s">
        <v>377</v>
      </c>
      <c r="B278" s="2" t="s">
        <v>43</v>
      </c>
      <c r="C278" s="6" t="str">
        <f t="shared" si="1"/>
        <v>Darbari Kanada_8</v>
      </c>
      <c r="D278" s="7"/>
      <c r="E278" s="8" t="s">
        <v>25</v>
      </c>
      <c r="F278" s="8" t="s">
        <v>83</v>
      </c>
      <c r="H278" s="2" t="str">
        <f>VLOOKUP(F278, ArtistCount!$A$1:$C$286, 3, FALSE)</f>
        <v>#N/A</v>
      </c>
      <c r="I278" s="2" t="s">
        <v>27</v>
      </c>
    </row>
    <row r="279" ht="22.5" customHeight="1">
      <c r="A279" s="5" t="s">
        <v>377</v>
      </c>
      <c r="B279" s="2" t="s">
        <v>24</v>
      </c>
      <c r="C279" s="6" t="str">
        <f t="shared" si="1"/>
        <v>Darbari Kanada_9</v>
      </c>
      <c r="D279" s="7"/>
      <c r="E279" s="8" t="s">
        <v>25</v>
      </c>
      <c r="F279" s="8" t="s">
        <v>379</v>
      </c>
      <c r="H279" s="2" t="str">
        <f>VLOOKUP(F279, ArtistCount!$A$1:$C$286, 3, FALSE)</f>
        <v>#N/A</v>
      </c>
      <c r="I279" s="2" t="s">
        <v>27</v>
      </c>
    </row>
    <row r="280" ht="22.5" customHeight="1">
      <c r="A280" s="5" t="s">
        <v>377</v>
      </c>
      <c r="B280" s="2" t="s">
        <v>32</v>
      </c>
      <c r="C280" s="6" t="str">
        <f t="shared" si="1"/>
        <v>Darbari Kanada_10</v>
      </c>
      <c r="D280" s="7"/>
      <c r="E280" s="8" t="s">
        <v>25</v>
      </c>
      <c r="F280" s="8" t="s">
        <v>380</v>
      </c>
      <c r="H280" s="2" t="str">
        <f>VLOOKUP(F280, ArtistCount!$A$1:$C$286, 3, FALSE)</f>
        <v>#N/A</v>
      </c>
      <c r="I280" s="2" t="s">
        <v>27</v>
      </c>
    </row>
    <row r="281" ht="22.5" customHeight="1">
      <c r="A281" s="5" t="s">
        <v>381</v>
      </c>
      <c r="B281" s="2" t="s">
        <v>24</v>
      </c>
      <c r="C281" s="6" t="str">
        <f t="shared" si="1"/>
        <v>Desh_1</v>
      </c>
      <c r="D281" s="7"/>
      <c r="E281" s="8" t="s">
        <v>25</v>
      </c>
      <c r="F281" s="8" t="s">
        <v>76</v>
      </c>
      <c r="H281" s="2" t="str">
        <f>VLOOKUP(F281, ArtistCount!$A$1:$C$286, 3, FALSE)</f>
        <v>#N/A</v>
      </c>
      <c r="I281" s="2" t="s">
        <v>27</v>
      </c>
    </row>
    <row r="282" ht="22.5" customHeight="1">
      <c r="A282" s="5" t="s">
        <v>381</v>
      </c>
      <c r="B282" s="2" t="s">
        <v>36</v>
      </c>
      <c r="C282" s="6" t="str">
        <f t="shared" si="1"/>
        <v>Desh_2</v>
      </c>
      <c r="D282" s="7"/>
      <c r="E282" s="8" t="s">
        <v>25</v>
      </c>
      <c r="F282" s="8" t="s">
        <v>76</v>
      </c>
      <c r="H282" s="2" t="str">
        <f>VLOOKUP(F282, ArtistCount!$A$1:$C$286, 3, FALSE)</f>
        <v>#N/A</v>
      </c>
      <c r="I282" s="2" t="s">
        <v>27</v>
      </c>
    </row>
    <row r="283" ht="22.5" customHeight="1">
      <c r="A283" s="5" t="s">
        <v>381</v>
      </c>
      <c r="B283" s="2" t="s">
        <v>36</v>
      </c>
      <c r="C283" s="6" t="str">
        <f t="shared" si="1"/>
        <v>Desh_3</v>
      </c>
      <c r="D283" s="7"/>
      <c r="E283" s="8" t="s">
        <v>25</v>
      </c>
      <c r="F283" s="8" t="s">
        <v>76</v>
      </c>
      <c r="H283" s="2" t="str">
        <f>VLOOKUP(F283, ArtistCount!$A$1:$C$286, 3, FALSE)</f>
        <v>#N/A</v>
      </c>
      <c r="I283" s="2" t="s">
        <v>27</v>
      </c>
    </row>
    <row r="284" ht="22.5" customHeight="1">
      <c r="A284" s="5" t="s">
        <v>381</v>
      </c>
      <c r="B284" s="2" t="s">
        <v>36</v>
      </c>
      <c r="C284" s="6" t="str">
        <f t="shared" si="1"/>
        <v>Desh_4</v>
      </c>
      <c r="D284" s="7"/>
      <c r="E284" s="8" t="s">
        <v>25</v>
      </c>
      <c r="F284" s="8" t="s">
        <v>76</v>
      </c>
      <c r="H284" s="2" t="str">
        <f>VLOOKUP(F284, ArtistCount!$A$1:$C$286, 3, FALSE)</f>
        <v>#N/A</v>
      </c>
      <c r="I284" s="2" t="s">
        <v>27</v>
      </c>
    </row>
    <row r="285" ht="22.5" customHeight="1">
      <c r="A285" s="5" t="s">
        <v>381</v>
      </c>
      <c r="B285" s="2" t="s">
        <v>38</v>
      </c>
      <c r="C285" s="6" t="str">
        <f t="shared" si="1"/>
        <v>Desh_5</v>
      </c>
      <c r="D285" s="7"/>
      <c r="E285" s="8" t="s">
        <v>25</v>
      </c>
      <c r="F285" s="8" t="s">
        <v>64</v>
      </c>
      <c r="H285" s="2" t="str">
        <f>VLOOKUP(F285, ArtistCount!$A$1:$C$286, 3, FALSE)</f>
        <v>#N/A</v>
      </c>
      <c r="I285" s="2" t="s">
        <v>27</v>
      </c>
    </row>
    <row r="286" ht="22.5" customHeight="1">
      <c r="A286" s="5" t="s">
        <v>381</v>
      </c>
      <c r="B286" s="2" t="s">
        <v>38</v>
      </c>
      <c r="C286" s="6" t="str">
        <f t="shared" si="1"/>
        <v>Desh_6</v>
      </c>
      <c r="D286" s="7"/>
      <c r="E286" s="8" t="s">
        <v>25</v>
      </c>
      <c r="F286" s="8" t="s">
        <v>30</v>
      </c>
      <c r="H286" s="2" t="str">
        <f>VLOOKUP(F286, ArtistCount!$A$1:$C$286, 3, FALSE)</f>
        <v>#N/A</v>
      </c>
      <c r="I286" s="2" t="s">
        <v>27</v>
      </c>
    </row>
    <row r="287" ht="22.5" customHeight="1">
      <c r="A287" s="5" t="s">
        <v>381</v>
      </c>
      <c r="B287" s="2" t="s">
        <v>32</v>
      </c>
      <c r="C287" s="6" t="str">
        <f t="shared" si="1"/>
        <v>Desh_7</v>
      </c>
      <c r="D287" s="7"/>
      <c r="E287" s="8" t="s">
        <v>25</v>
      </c>
      <c r="F287" s="8" t="s">
        <v>34</v>
      </c>
      <c r="H287" s="2" t="str">
        <f>VLOOKUP(F287, ArtistCount!$A$1:$C$286, 3, FALSE)</f>
        <v>#N/A</v>
      </c>
      <c r="I287" s="2" t="s">
        <v>27</v>
      </c>
    </row>
    <row r="288" ht="22.5" customHeight="1">
      <c r="A288" s="5" t="s">
        <v>381</v>
      </c>
      <c r="B288" s="2" t="s">
        <v>32</v>
      </c>
      <c r="C288" s="6" t="str">
        <f t="shared" si="1"/>
        <v>Desh_8</v>
      </c>
      <c r="D288" s="7"/>
      <c r="E288" s="8" t="s">
        <v>25</v>
      </c>
      <c r="F288" s="8" t="s">
        <v>34</v>
      </c>
      <c r="H288" s="2" t="str">
        <f>VLOOKUP(F288, ArtistCount!$A$1:$C$286, 3, FALSE)</f>
        <v>#N/A</v>
      </c>
      <c r="I288" s="2" t="s">
        <v>27</v>
      </c>
    </row>
    <row r="289" ht="22.5" customHeight="1">
      <c r="A289" s="5" t="s">
        <v>381</v>
      </c>
      <c r="B289" s="2" t="s">
        <v>32</v>
      </c>
      <c r="C289" s="6" t="str">
        <f t="shared" si="1"/>
        <v>Desh_9</v>
      </c>
      <c r="D289" s="7"/>
      <c r="E289" s="8" t="s">
        <v>25</v>
      </c>
      <c r="F289" s="8" t="s">
        <v>34</v>
      </c>
      <c r="H289" s="2" t="str">
        <f>VLOOKUP(F289, ArtistCount!$A$1:$C$286, 3, FALSE)</f>
        <v>#N/A</v>
      </c>
      <c r="I289" s="2" t="s">
        <v>27</v>
      </c>
    </row>
    <row r="290" ht="22.5" customHeight="1">
      <c r="A290" s="5" t="s">
        <v>381</v>
      </c>
      <c r="B290" s="2" t="s">
        <v>43</v>
      </c>
      <c r="C290" s="6" t="str">
        <f t="shared" si="1"/>
        <v>Desh_10</v>
      </c>
      <c r="D290" s="7"/>
      <c r="E290" s="8" t="s">
        <v>25</v>
      </c>
      <c r="F290" s="8" t="s">
        <v>83</v>
      </c>
      <c r="H290" s="2" t="str">
        <f>VLOOKUP(F290, ArtistCount!$A$1:$C$286, 3, FALSE)</f>
        <v>#N/A</v>
      </c>
      <c r="I290" s="2" t="s">
        <v>27</v>
      </c>
    </row>
    <row r="291" ht="22.5" customHeight="1">
      <c r="A291" s="5" t="s">
        <v>382</v>
      </c>
      <c r="B291" s="2" t="s">
        <v>43</v>
      </c>
      <c r="C291" s="6" t="str">
        <f t="shared" si="1"/>
        <v>Deshkar_1</v>
      </c>
      <c r="D291" s="13" t="s">
        <v>383</v>
      </c>
      <c r="E291" s="2" t="s">
        <v>25</v>
      </c>
      <c r="F291" s="2" t="s">
        <v>52</v>
      </c>
      <c r="H291" s="6" t="str">
        <f>VLOOKUP(F291, ArtistCount!$A$1:$C$286, 3, FALSE)</f>
        <v>#N/A</v>
      </c>
    </row>
    <row r="292" ht="22.5" customHeight="1">
      <c r="A292" s="5" t="s">
        <v>382</v>
      </c>
      <c r="B292" s="2" t="s">
        <v>62</v>
      </c>
      <c r="C292" s="6" t="str">
        <f t="shared" si="1"/>
        <v>Deshkar_2</v>
      </c>
      <c r="D292" s="13" t="s">
        <v>384</v>
      </c>
      <c r="E292" s="2" t="s">
        <v>25</v>
      </c>
      <c r="F292" s="2" t="s">
        <v>153</v>
      </c>
      <c r="H292" s="2" t="str">
        <f>VLOOKUP(F292, ArtistCount!$A$1:$C$286, 3, FALSE)</f>
        <v>#N/A</v>
      </c>
      <c r="I292" s="2" t="s">
        <v>154</v>
      </c>
    </row>
    <row r="293" ht="22.5" customHeight="1">
      <c r="A293" s="5" t="s">
        <v>382</v>
      </c>
      <c r="B293" s="2" t="s">
        <v>32</v>
      </c>
      <c r="C293" s="6" t="str">
        <f t="shared" si="1"/>
        <v>Deshkar_3</v>
      </c>
      <c r="D293" s="13" t="s">
        <v>385</v>
      </c>
      <c r="E293" s="2" t="s">
        <v>25</v>
      </c>
      <c r="F293" s="2" t="s">
        <v>34</v>
      </c>
      <c r="H293" s="2" t="str">
        <f>VLOOKUP(F293, ArtistCount!$A$1:$C$286, 3, FALSE)</f>
        <v>#N/A</v>
      </c>
      <c r="I293" s="2" t="s">
        <v>42</v>
      </c>
    </row>
    <row r="294" ht="22.5" customHeight="1">
      <c r="A294" s="5" t="s">
        <v>382</v>
      </c>
      <c r="B294" s="2" t="s">
        <v>127</v>
      </c>
      <c r="C294" s="6" t="str">
        <f t="shared" si="1"/>
        <v>Deshkar_4</v>
      </c>
      <c r="D294" s="12" t="s">
        <v>386</v>
      </c>
      <c r="E294" s="2" t="s">
        <v>25</v>
      </c>
      <c r="F294" s="2" t="s">
        <v>206</v>
      </c>
      <c r="H294" s="6" t="str">
        <f>VLOOKUP(F294, ArtistCount!$A$1:$C$286, 3, FALSE)</f>
        <v>#N/A</v>
      </c>
    </row>
    <row r="295" ht="22.5" customHeight="1">
      <c r="A295" s="5" t="s">
        <v>382</v>
      </c>
      <c r="B295" s="2" t="s">
        <v>24</v>
      </c>
      <c r="C295" s="6" t="str">
        <f t="shared" si="1"/>
        <v>Deshkar_5</v>
      </c>
      <c r="D295" s="13" t="s">
        <v>387</v>
      </c>
      <c r="E295" s="2" t="s">
        <v>114</v>
      </c>
      <c r="F295" s="2" t="s">
        <v>211</v>
      </c>
      <c r="H295" s="6" t="str">
        <f>VLOOKUP(F295, ArtistCount!$A$1:$C$286, 3, FALSE)</f>
        <v>#N/A</v>
      </c>
    </row>
    <row r="296" ht="22.5" customHeight="1">
      <c r="A296" s="5" t="s">
        <v>382</v>
      </c>
      <c r="B296" s="2" t="s">
        <v>62</v>
      </c>
      <c r="C296" s="6" t="str">
        <f t="shared" si="1"/>
        <v>Deshkar_6</v>
      </c>
      <c r="D296" s="13" t="s">
        <v>388</v>
      </c>
      <c r="E296" s="2" t="s">
        <v>25</v>
      </c>
      <c r="F296" s="2" t="s">
        <v>389</v>
      </c>
      <c r="H296" s="6" t="str">
        <f>VLOOKUP(F296, ArtistCount!$A$1:$C$286, 3, FALSE)</f>
        <v>#N/A</v>
      </c>
    </row>
    <row r="297" ht="22.5" customHeight="1">
      <c r="A297" s="5" t="s">
        <v>382</v>
      </c>
      <c r="B297" s="2" t="s">
        <v>28</v>
      </c>
      <c r="C297" s="6" t="str">
        <f t="shared" si="1"/>
        <v>Deshkar_7</v>
      </c>
      <c r="D297" s="13" t="s">
        <v>390</v>
      </c>
      <c r="E297" s="2" t="s">
        <v>25</v>
      </c>
      <c r="F297" s="2" t="s">
        <v>193</v>
      </c>
      <c r="H297" s="6" t="str">
        <f>VLOOKUP(F297, ArtistCount!$A$1:$C$286, 3, FALSE)</f>
        <v>#N/A</v>
      </c>
    </row>
    <row r="298" ht="22.5" customHeight="1">
      <c r="A298" s="5" t="s">
        <v>382</v>
      </c>
      <c r="B298" s="2" t="s">
        <v>32</v>
      </c>
      <c r="C298" s="6" t="str">
        <f t="shared" si="1"/>
        <v>Deshkar_8</v>
      </c>
      <c r="D298" s="13" t="s">
        <v>391</v>
      </c>
      <c r="E298" s="2" t="s">
        <v>25</v>
      </c>
      <c r="F298" s="2" t="s">
        <v>112</v>
      </c>
      <c r="H298" s="6" t="str">
        <f>VLOOKUP(F298, ArtistCount!$A$1:$C$286, 3, FALSE)</f>
        <v>#N/A</v>
      </c>
    </row>
    <row r="299" ht="22.5" customHeight="1">
      <c r="A299" s="5" t="s">
        <v>382</v>
      </c>
      <c r="B299" s="2" t="s">
        <v>32</v>
      </c>
      <c r="C299" s="6" t="str">
        <f t="shared" si="1"/>
        <v>Deshkar_9</v>
      </c>
      <c r="D299" s="13" t="s">
        <v>392</v>
      </c>
      <c r="E299" s="2" t="s">
        <v>25</v>
      </c>
      <c r="F299" s="2" t="s">
        <v>34</v>
      </c>
      <c r="H299" s="6" t="str">
        <f>VLOOKUP(F299, ArtistCount!$A$1:$C$286, 3, FALSE)</f>
        <v>#N/A</v>
      </c>
    </row>
    <row r="300" ht="22.5" customHeight="1">
      <c r="A300" s="5" t="s">
        <v>382</v>
      </c>
      <c r="B300" s="2" t="s">
        <v>24</v>
      </c>
      <c r="C300" s="2" t="str">
        <f t="shared" si="1"/>
        <v>Deshkar_10</v>
      </c>
      <c r="D300" s="22" t="s">
        <v>393</v>
      </c>
      <c r="E300" s="2" t="s">
        <v>25</v>
      </c>
      <c r="F300" s="2" t="s">
        <v>26</v>
      </c>
      <c r="H300" s="6" t="str">
        <f>VLOOKUP(F300, ArtistCount!$A$1:$C$286, 3, FALSE)</f>
        <v>#N/A</v>
      </c>
      <c r="L300" s="2" t="s">
        <v>394</v>
      </c>
    </row>
    <row r="301" ht="22.5" customHeight="1">
      <c r="A301" s="5" t="s">
        <v>395</v>
      </c>
      <c r="B301" s="2" t="s">
        <v>43</v>
      </c>
      <c r="C301" s="6" t="str">
        <f t="shared" si="1"/>
        <v>Desi_1</v>
      </c>
      <c r="D301" s="13" t="s">
        <v>396</v>
      </c>
      <c r="E301" s="2" t="s">
        <v>25</v>
      </c>
      <c r="F301" s="2" t="s">
        <v>52</v>
      </c>
      <c r="H301" s="6" t="str">
        <f>VLOOKUP(F301, ArtistCount!$A$1:$C$286, 3, FALSE)</f>
        <v>#N/A</v>
      </c>
    </row>
    <row r="302" ht="22.5" customHeight="1">
      <c r="A302" s="5" t="s">
        <v>395</v>
      </c>
      <c r="B302" s="2" t="s">
        <v>43</v>
      </c>
      <c r="C302" s="6" t="str">
        <f t="shared" si="1"/>
        <v>Desi_2</v>
      </c>
      <c r="D302" s="13" t="s">
        <v>397</v>
      </c>
      <c r="E302" s="2" t="s">
        <v>25</v>
      </c>
      <c r="F302" s="2" t="s">
        <v>83</v>
      </c>
      <c r="H302" s="6" t="str">
        <f>VLOOKUP(F302, ArtistCount!$A$1:$C$286, 3, FALSE)</f>
        <v>#N/A</v>
      </c>
    </row>
    <row r="303" ht="22.5" customHeight="1">
      <c r="A303" s="5" t="s">
        <v>395</v>
      </c>
      <c r="B303" s="2" t="s">
        <v>58</v>
      </c>
      <c r="C303" s="6" t="str">
        <f t="shared" si="1"/>
        <v>Desi_3</v>
      </c>
      <c r="D303" s="13" t="s">
        <v>398</v>
      </c>
      <c r="E303" s="2" t="s">
        <v>25</v>
      </c>
      <c r="F303" s="2" t="s">
        <v>112</v>
      </c>
      <c r="H303" s="6" t="str">
        <f>VLOOKUP(F303, ArtistCount!$A$1:$C$286, 3, FALSE)</f>
        <v>#N/A</v>
      </c>
    </row>
    <row r="304" ht="22.5" customHeight="1">
      <c r="A304" s="5" t="s">
        <v>395</v>
      </c>
      <c r="B304" s="2" t="s">
        <v>29</v>
      </c>
      <c r="C304" s="6" t="str">
        <f t="shared" si="1"/>
        <v>Desi_4</v>
      </c>
      <c r="D304" s="13" t="s">
        <v>399</v>
      </c>
      <c r="E304" s="2" t="s">
        <v>25</v>
      </c>
      <c r="F304" s="2" t="s">
        <v>142</v>
      </c>
      <c r="H304" s="6" t="str">
        <f>VLOOKUP(F304, ArtistCount!$A$1:$C$286, 3, FALSE)</f>
        <v>#N/A</v>
      </c>
    </row>
    <row r="305" ht="22.5" customHeight="1">
      <c r="A305" s="5" t="s">
        <v>395</v>
      </c>
      <c r="B305" s="2" t="s">
        <v>43</v>
      </c>
      <c r="C305" s="6" t="str">
        <f t="shared" si="1"/>
        <v>Desi_5</v>
      </c>
      <c r="D305" s="13" t="s">
        <v>400</v>
      </c>
      <c r="E305" s="2" t="s">
        <v>25</v>
      </c>
      <c r="F305" s="2" t="s">
        <v>401</v>
      </c>
      <c r="H305" s="6" t="str">
        <f>VLOOKUP(F305, ArtistCount!$A$1:$C$286, 3, FALSE)</f>
        <v>#N/A</v>
      </c>
    </row>
    <row r="306" ht="22.5" customHeight="1">
      <c r="A306" s="5" t="s">
        <v>395</v>
      </c>
      <c r="B306" s="2" t="s">
        <v>28</v>
      </c>
      <c r="C306" s="6" t="str">
        <f t="shared" si="1"/>
        <v>Desi_6</v>
      </c>
      <c r="D306" s="13" t="s">
        <v>402</v>
      </c>
      <c r="E306" s="2" t="s">
        <v>167</v>
      </c>
      <c r="F306" s="2" t="s">
        <v>403</v>
      </c>
      <c r="H306" s="6" t="str">
        <f>VLOOKUP(F306, ArtistCount!$A$1:$C$286, 3, FALSE)</f>
        <v>#N/A</v>
      </c>
    </row>
    <row r="307" ht="22.5" customHeight="1">
      <c r="A307" s="5" t="s">
        <v>395</v>
      </c>
      <c r="B307" s="2" t="s">
        <v>29</v>
      </c>
      <c r="C307" s="6" t="str">
        <f t="shared" si="1"/>
        <v>Desi_7</v>
      </c>
      <c r="D307" s="13" t="s">
        <v>404</v>
      </c>
      <c r="E307" s="2" t="s">
        <v>25</v>
      </c>
      <c r="F307" s="2" t="s">
        <v>39</v>
      </c>
      <c r="H307" s="6" t="str">
        <f>VLOOKUP(F307, ArtistCount!$A$1:$C$286, 3, FALSE)</f>
        <v>#N/A</v>
      </c>
    </row>
    <row r="308" ht="22.5" customHeight="1">
      <c r="A308" s="5" t="s">
        <v>395</v>
      </c>
      <c r="B308" s="2" t="s">
        <v>43</v>
      </c>
      <c r="C308" s="6" t="str">
        <f t="shared" si="1"/>
        <v>Desi_8</v>
      </c>
      <c r="D308" s="13" t="s">
        <v>405</v>
      </c>
      <c r="E308" s="2" t="s">
        <v>25</v>
      </c>
      <c r="F308" s="2" t="s">
        <v>85</v>
      </c>
      <c r="H308" s="6" t="str">
        <f>VLOOKUP(F308, ArtistCount!$A$1:$C$286, 3, FALSE)</f>
        <v>#N/A</v>
      </c>
    </row>
    <row r="309" ht="22.5" customHeight="1">
      <c r="A309" s="5" t="s">
        <v>395</v>
      </c>
      <c r="B309" s="2" t="s">
        <v>43</v>
      </c>
      <c r="C309" s="6" t="str">
        <f t="shared" si="1"/>
        <v>Desi_9</v>
      </c>
      <c r="D309" s="12" t="s">
        <v>406</v>
      </c>
      <c r="E309" s="2" t="s">
        <v>25</v>
      </c>
      <c r="F309" s="2" t="s">
        <v>94</v>
      </c>
      <c r="H309" s="6" t="str">
        <f>VLOOKUP(F309, ArtistCount!$A$1:$C$286, 3, FALSE)</f>
        <v>#N/A</v>
      </c>
    </row>
    <row r="310" ht="22.5" customHeight="1">
      <c r="A310" s="5" t="s">
        <v>407</v>
      </c>
      <c r="B310" s="2" t="s">
        <v>43</v>
      </c>
      <c r="C310" s="6" t="str">
        <f t="shared" si="1"/>
        <v>Dev Gandhar_1</v>
      </c>
      <c r="D310" s="13" t="s">
        <v>408</v>
      </c>
      <c r="E310" s="2" t="s">
        <v>25</v>
      </c>
      <c r="F310" s="2" t="s">
        <v>222</v>
      </c>
      <c r="H310" s="6" t="str">
        <f>VLOOKUP(F310, ArtistCount!$A$1:$C$286, 3, FALSE)</f>
        <v>#N/A</v>
      </c>
    </row>
    <row r="311" ht="22.5" customHeight="1">
      <c r="A311" s="5" t="s">
        <v>407</v>
      </c>
      <c r="B311" s="2" t="s">
        <v>32</v>
      </c>
      <c r="C311" s="2" t="str">
        <f t="shared" si="1"/>
        <v>Dev Gandhar_2</v>
      </c>
      <c r="D311" s="13" t="s">
        <v>409</v>
      </c>
      <c r="E311" s="2" t="s">
        <v>25</v>
      </c>
      <c r="F311" s="2" t="s">
        <v>410</v>
      </c>
      <c r="H311" s="6" t="str">
        <f>VLOOKUP(F311, ArtistCount!$A$1:$C$286, 3, FALSE)</f>
        <v>#N/A</v>
      </c>
      <c r="L311" s="2" t="s">
        <v>61</v>
      </c>
    </row>
    <row r="312" ht="22.5" customHeight="1">
      <c r="A312" s="5" t="s">
        <v>407</v>
      </c>
      <c r="B312" s="2" t="s">
        <v>38</v>
      </c>
      <c r="C312" s="6" t="str">
        <f t="shared" si="1"/>
        <v>Dev Gandhar_3</v>
      </c>
      <c r="D312" s="13" t="s">
        <v>411</v>
      </c>
      <c r="E312" s="2" t="s">
        <v>25</v>
      </c>
      <c r="F312" s="2" t="s">
        <v>412</v>
      </c>
      <c r="G312" s="19">
        <v>0.04513888888888889</v>
      </c>
      <c r="H312" s="6" t="str">
        <f>VLOOKUP(F312, ArtistCount!$A$1:$C$286, 3, FALSE)</f>
        <v>#N/A</v>
      </c>
    </row>
    <row r="313" ht="22.5" customHeight="1">
      <c r="A313" s="5" t="s">
        <v>407</v>
      </c>
      <c r="B313" s="2" t="s">
        <v>62</v>
      </c>
      <c r="C313" s="6" t="str">
        <f t="shared" si="1"/>
        <v>Dev Gandhar_4</v>
      </c>
      <c r="D313" s="12" t="s">
        <v>413</v>
      </c>
      <c r="E313" s="2" t="s">
        <v>167</v>
      </c>
      <c r="F313" s="2" t="s">
        <v>414</v>
      </c>
      <c r="H313" s="6" t="str">
        <f>VLOOKUP(F313, ArtistCount!$A$1:$C$286, 3, FALSE)</f>
        <v>#N/A</v>
      </c>
    </row>
    <row r="314" ht="22.5" customHeight="1">
      <c r="A314" s="5" t="s">
        <v>407</v>
      </c>
      <c r="B314" s="2" t="s">
        <v>24</v>
      </c>
      <c r="C314" s="6" t="str">
        <f t="shared" si="1"/>
        <v>Dev Gandhar_5</v>
      </c>
      <c r="D314" s="12" t="s">
        <v>415</v>
      </c>
      <c r="E314" s="2" t="s">
        <v>25</v>
      </c>
      <c r="F314" s="2" t="s">
        <v>416</v>
      </c>
      <c r="H314" s="6" t="str">
        <f>VLOOKUP(F314, ArtistCount!$A$1:$C$286, 3, FALSE)</f>
        <v>#N/A</v>
      </c>
    </row>
    <row r="315" ht="22.5" customHeight="1">
      <c r="A315" s="5" t="s">
        <v>407</v>
      </c>
      <c r="B315" s="16" t="s">
        <v>38</v>
      </c>
      <c r="C315" s="6" t="str">
        <f t="shared" si="1"/>
        <v>Dev Gandhar_6</v>
      </c>
      <c r="D315" s="12" t="s">
        <v>417</v>
      </c>
      <c r="E315" s="2" t="s">
        <v>25</v>
      </c>
      <c r="F315" s="2" t="s">
        <v>39</v>
      </c>
      <c r="H315" s="6" t="str">
        <f>VLOOKUP(F315, ArtistCount!$A$1:$C$286, 3, FALSE)</f>
        <v>#N/A</v>
      </c>
    </row>
    <row r="316" ht="22.5" customHeight="1">
      <c r="A316" s="5" t="s">
        <v>407</v>
      </c>
      <c r="B316" s="2" t="s">
        <v>32</v>
      </c>
      <c r="C316" s="6" t="str">
        <f t="shared" si="1"/>
        <v>Dev Gandhar_7</v>
      </c>
      <c r="D316" s="12" t="s">
        <v>418</v>
      </c>
      <c r="E316" s="2" t="s">
        <v>25</v>
      </c>
      <c r="F316" s="8" t="s">
        <v>419</v>
      </c>
      <c r="H316" s="6" t="str">
        <f>VLOOKUP(F316, ArtistCount!$A$1:$C$286, 3, FALSE)</f>
        <v>#N/A</v>
      </c>
    </row>
    <row r="317" ht="22.5" customHeight="1">
      <c r="A317" s="5" t="s">
        <v>407</v>
      </c>
      <c r="B317" s="2" t="s">
        <v>43</v>
      </c>
      <c r="C317" s="6" t="str">
        <f t="shared" si="1"/>
        <v>Dev Gandhar_8</v>
      </c>
      <c r="D317" s="12" t="s">
        <v>420</v>
      </c>
      <c r="E317" s="2" t="s">
        <v>25</v>
      </c>
      <c r="F317" s="2" t="s">
        <v>421</v>
      </c>
      <c r="H317" s="6" t="str">
        <f>VLOOKUP(F317, ArtistCount!$A$1:$C$286, 3, FALSE)</f>
        <v>#N/A</v>
      </c>
    </row>
    <row r="318" ht="22.5" customHeight="1">
      <c r="A318" s="5" t="s">
        <v>407</v>
      </c>
      <c r="B318" s="2" t="s">
        <v>32</v>
      </c>
      <c r="C318" s="6" t="str">
        <f t="shared" si="1"/>
        <v>Dev Gandhar_9</v>
      </c>
      <c r="D318" s="12" t="s">
        <v>422</v>
      </c>
      <c r="E318" s="2" t="s">
        <v>25</v>
      </c>
      <c r="F318" s="2" t="s">
        <v>423</v>
      </c>
      <c r="H318" s="6" t="str">
        <f>VLOOKUP(F318, ArtistCount!$A$1:$C$286, 3, FALSE)</f>
        <v>#N/A</v>
      </c>
    </row>
    <row r="319" ht="22.5" customHeight="1">
      <c r="A319" s="5" t="s">
        <v>424</v>
      </c>
      <c r="B319" s="2" t="s">
        <v>29</v>
      </c>
      <c r="C319" s="6" t="str">
        <f t="shared" si="1"/>
        <v>Devgiri Bilawal_1</v>
      </c>
      <c r="D319" s="12" t="s">
        <v>425</v>
      </c>
      <c r="E319" s="2" t="s">
        <v>25</v>
      </c>
      <c r="F319" s="2" t="s">
        <v>426</v>
      </c>
      <c r="H319" s="6" t="str">
        <f>VLOOKUP(F319, ArtistCount!$A$1:$C$286, 3, FALSE)</f>
        <v>#N/A</v>
      </c>
    </row>
    <row r="320" ht="22.5" customHeight="1">
      <c r="A320" s="5" t="s">
        <v>424</v>
      </c>
      <c r="B320" s="2" t="s">
        <v>127</v>
      </c>
      <c r="C320" s="6" t="str">
        <f t="shared" si="1"/>
        <v>Devgiri Bilawal_2</v>
      </c>
      <c r="D320" s="12" t="s">
        <v>427</v>
      </c>
      <c r="E320" s="2" t="s">
        <v>25</v>
      </c>
      <c r="F320" s="2" t="s">
        <v>129</v>
      </c>
      <c r="H320" s="6" t="str">
        <f>VLOOKUP(F320, ArtistCount!$A$1:$C$286, 3, FALSE)</f>
        <v>#N/A</v>
      </c>
    </row>
    <row r="321" ht="22.5" customHeight="1">
      <c r="A321" s="5" t="s">
        <v>424</v>
      </c>
      <c r="B321" s="2" t="s">
        <v>24</v>
      </c>
      <c r="C321" s="6" t="str">
        <f t="shared" si="1"/>
        <v>Devgiri Bilawal_3</v>
      </c>
      <c r="D321" s="12" t="s">
        <v>428</v>
      </c>
      <c r="E321" s="2" t="s">
        <v>25</v>
      </c>
      <c r="F321" s="2" t="s">
        <v>429</v>
      </c>
      <c r="H321" s="6" t="str">
        <f>VLOOKUP(F321, ArtistCount!$A$1:$C$286, 3, FALSE)</f>
        <v>#N/A</v>
      </c>
    </row>
    <row r="322" ht="22.5" customHeight="1">
      <c r="A322" s="5" t="s">
        <v>424</v>
      </c>
      <c r="B322" s="2" t="s">
        <v>62</v>
      </c>
      <c r="C322" s="6" t="str">
        <f t="shared" si="1"/>
        <v>Devgiri Bilawal_4</v>
      </c>
      <c r="D322" s="12" t="s">
        <v>430</v>
      </c>
      <c r="E322" s="2" t="s">
        <v>25</v>
      </c>
      <c r="F322" s="2" t="s">
        <v>153</v>
      </c>
      <c r="H322" s="2" t="str">
        <f>VLOOKUP(F322, ArtistCount!$A$1:$C$286, 3, FALSE)</f>
        <v>#N/A</v>
      </c>
      <c r="I322" s="2" t="s">
        <v>154</v>
      </c>
    </row>
    <row r="323" ht="22.5" customHeight="1">
      <c r="A323" s="5" t="s">
        <v>424</v>
      </c>
      <c r="B323" s="2" t="s">
        <v>28</v>
      </c>
      <c r="C323" s="6" t="str">
        <f t="shared" si="1"/>
        <v>Devgiri Bilawal_5</v>
      </c>
      <c r="D323" s="12" t="s">
        <v>431</v>
      </c>
      <c r="E323" s="2" t="s">
        <v>236</v>
      </c>
      <c r="F323" s="2" t="s">
        <v>432</v>
      </c>
      <c r="H323" s="6" t="str">
        <f>VLOOKUP(F323, ArtistCount!$A$1:$C$286, 3, FALSE)</f>
        <v>#N/A</v>
      </c>
    </row>
    <row r="324" ht="22.5" customHeight="1">
      <c r="A324" s="5" t="s">
        <v>424</v>
      </c>
      <c r="B324" s="2" t="s">
        <v>127</v>
      </c>
      <c r="C324" s="6" t="str">
        <f t="shared" si="1"/>
        <v>Devgiri Bilawal_6</v>
      </c>
      <c r="D324" s="12" t="s">
        <v>433</v>
      </c>
      <c r="E324" s="2" t="s">
        <v>25</v>
      </c>
      <c r="F324" s="2" t="s">
        <v>129</v>
      </c>
      <c r="H324" s="6" t="str">
        <f>VLOOKUP(F324, ArtistCount!$A$1:$C$286, 3, FALSE)</f>
        <v>#N/A</v>
      </c>
    </row>
    <row r="325" ht="22.5" customHeight="1">
      <c r="A325" s="5" t="s">
        <v>424</v>
      </c>
      <c r="B325" s="2" t="s">
        <v>32</v>
      </c>
      <c r="C325" s="6" t="str">
        <f t="shared" si="1"/>
        <v>Devgiri Bilawal_7</v>
      </c>
      <c r="D325" s="12" t="s">
        <v>434</v>
      </c>
      <c r="E325" s="2" t="s">
        <v>25</v>
      </c>
      <c r="F325" s="2" t="s">
        <v>239</v>
      </c>
      <c r="H325" s="6" t="str">
        <f>VLOOKUP(F325, ArtistCount!$A$1:$C$286, 3, FALSE)</f>
        <v>#N/A</v>
      </c>
    </row>
    <row r="326" ht="22.5" customHeight="1">
      <c r="A326" s="5" t="s">
        <v>424</v>
      </c>
      <c r="B326" s="2" t="s">
        <v>32</v>
      </c>
      <c r="C326" s="6" t="str">
        <f t="shared" si="1"/>
        <v>Devgiri Bilawal_8</v>
      </c>
      <c r="D326" s="12" t="s">
        <v>435</v>
      </c>
      <c r="E326" s="2" t="s">
        <v>25</v>
      </c>
      <c r="F326" s="2" t="s">
        <v>436</v>
      </c>
      <c r="H326" s="6" t="str">
        <f>VLOOKUP(F326, ArtistCount!$A$1:$C$286, 3, FALSE)</f>
        <v>#N/A</v>
      </c>
    </row>
    <row r="327" ht="22.5" customHeight="1">
      <c r="A327" s="5" t="s">
        <v>424</v>
      </c>
      <c r="B327" s="2" t="s">
        <v>62</v>
      </c>
      <c r="C327" s="6" t="str">
        <f t="shared" si="1"/>
        <v>Devgiri Bilawal_9</v>
      </c>
      <c r="D327" s="12" t="s">
        <v>437</v>
      </c>
      <c r="E327" s="2" t="s">
        <v>25</v>
      </c>
      <c r="F327" s="2" t="s">
        <v>75</v>
      </c>
      <c r="H327" s="6" t="str">
        <f>VLOOKUP(F327, ArtistCount!$A$1:$C$286, 3, FALSE)</f>
        <v>#N/A</v>
      </c>
    </row>
    <row r="328" ht="22.5" customHeight="1">
      <c r="A328" s="5" t="s">
        <v>424</v>
      </c>
      <c r="B328" s="2" t="s">
        <v>24</v>
      </c>
      <c r="C328" s="2" t="str">
        <f t="shared" si="1"/>
        <v>Devgiri Bilawal_10</v>
      </c>
      <c r="D328" s="12" t="s">
        <v>438</v>
      </c>
      <c r="E328" s="2" t="s">
        <v>25</v>
      </c>
      <c r="F328" s="8" t="s">
        <v>439</v>
      </c>
      <c r="H328" s="6" t="str">
        <f>VLOOKUP(F328, ArtistCount!$A$1:$C$286, 3, FALSE)</f>
        <v>#N/A</v>
      </c>
      <c r="L328" s="2" t="s">
        <v>440</v>
      </c>
    </row>
    <row r="329" ht="22.5" customHeight="1">
      <c r="A329" s="5" t="s">
        <v>441</v>
      </c>
      <c r="B329" s="2" t="s">
        <v>38</v>
      </c>
      <c r="C329" s="6" t="str">
        <f t="shared" si="1"/>
        <v>Dhani_1</v>
      </c>
      <c r="D329" s="12" t="s">
        <v>442</v>
      </c>
      <c r="E329" s="2" t="s">
        <v>25</v>
      </c>
      <c r="F329" s="2" t="s">
        <v>412</v>
      </c>
      <c r="H329" s="6" t="str">
        <f>VLOOKUP(F329, ArtistCount!$A$1:$C$286, 3, FALSE)</f>
        <v>#N/A</v>
      </c>
    </row>
    <row r="330" ht="22.5" customHeight="1">
      <c r="A330" s="5" t="s">
        <v>441</v>
      </c>
      <c r="B330" s="2" t="s">
        <v>43</v>
      </c>
      <c r="C330" s="6" t="str">
        <f t="shared" si="1"/>
        <v>Dhani_2</v>
      </c>
      <c r="D330" s="12" t="s">
        <v>443</v>
      </c>
      <c r="E330" s="2" t="s">
        <v>25</v>
      </c>
      <c r="F330" s="2" t="s">
        <v>94</v>
      </c>
      <c r="H330" s="6" t="str">
        <f>VLOOKUP(F330, ArtistCount!$A$1:$C$286, 3, FALSE)</f>
        <v>#N/A</v>
      </c>
    </row>
    <row r="331" ht="22.5" customHeight="1">
      <c r="A331" s="5" t="s">
        <v>441</v>
      </c>
      <c r="B331" s="2" t="s">
        <v>58</v>
      </c>
      <c r="C331" s="6" t="str">
        <f t="shared" si="1"/>
        <v>Dhani_3</v>
      </c>
      <c r="D331" s="12" t="s">
        <v>444</v>
      </c>
      <c r="E331" s="2" t="s">
        <v>25</v>
      </c>
      <c r="F331" s="2" t="s">
        <v>68</v>
      </c>
      <c r="H331" s="6" t="str">
        <f>VLOOKUP(F331, ArtistCount!$A$1:$C$286, 3, FALSE)</f>
        <v>#N/A</v>
      </c>
    </row>
    <row r="332" ht="22.5" customHeight="1">
      <c r="A332" s="5" t="s">
        <v>441</v>
      </c>
      <c r="B332" s="2" t="s">
        <v>38</v>
      </c>
      <c r="C332" s="2" t="str">
        <f t="shared" si="1"/>
        <v>Dhani_4</v>
      </c>
      <c r="D332" s="12" t="s">
        <v>445</v>
      </c>
      <c r="E332" s="2" t="s">
        <v>25</v>
      </c>
      <c r="F332" s="2" t="s">
        <v>446</v>
      </c>
      <c r="H332" s="6" t="str">
        <f>VLOOKUP(F332, ArtistCount!$A$1:$C$286, 3, FALSE)</f>
        <v>#N/A</v>
      </c>
      <c r="L332" s="2" t="s">
        <v>447</v>
      </c>
    </row>
    <row r="333" ht="22.5" customHeight="1">
      <c r="A333" s="5" t="s">
        <v>441</v>
      </c>
      <c r="B333" s="2" t="s">
        <v>38</v>
      </c>
      <c r="C333" s="6" t="str">
        <f t="shared" si="1"/>
        <v>Dhani_5</v>
      </c>
      <c r="D333" s="12" t="s">
        <v>448</v>
      </c>
      <c r="E333" s="2" t="s">
        <v>25</v>
      </c>
      <c r="F333" s="2" t="s">
        <v>64</v>
      </c>
      <c r="H333" s="6" t="str">
        <f>VLOOKUP(F333, ArtistCount!$A$1:$C$286, 3, FALSE)</f>
        <v>#N/A</v>
      </c>
    </row>
    <row r="334" ht="22.5" customHeight="1">
      <c r="A334" s="5" t="s">
        <v>441</v>
      </c>
      <c r="B334" s="2" t="s">
        <v>43</v>
      </c>
      <c r="C334" s="6" t="str">
        <f t="shared" si="1"/>
        <v>Dhani_6</v>
      </c>
      <c r="D334" s="12" t="s">
        <v>449</v>
      </c>
      <c r="E334" s="2" t="s">
        <v>25</v>
      </c>
      <c r="F334" s="2" t="s">
        <v>222</v>
      </c>
      <c r="H334" s="6" t="str">
        <f>VLOOKUP(F334, ArtistCount!$A$1:$C$286, 3, FALSE)</f>
        <v>#N/A</v>
      </c>
    </row>
    <row r="335" ht="22.5" customHeight="1">
      <c r="A335" s="5" t="s">
        <v>441</v>
      </c>
      <c r="B335" s="2" t="s">
        <v>43</v>
      </c>
      <c r="C335" s="6" t="str">
        <f t="shared" si="1"/>
        <v>Dhani_7</v>
      </c>
      <c r="D335" s="12" t="s">
        <v>450</v>
      </c>
      <c r="E335" s="2" t="s">
        <v>25</v>
      </c>
      <c r="F335" s="2" t="s">
        <v>52</v>
      </c>
      <c r="H335" s="6" t="str">
        <f>VLOOKUP(F335, ArtistCount!$A$1:$C$286, 3, FALSE)</f>
        <v>#N/A</v>
      </c>
    </row>
    <row r="336" ht="22.5" customHeight="1">
      <c r="A336" s="5" t="s">
        <v>441</v>
      </c>
      <c r="B336" s="2" t="s">
        <v>32</v>
      </c>
      <c r="C336" s="6" t="str">
        <f t="shared" si="1"/>
        <v>Dhani_8</v>
      </c>
      <c r="D336" s="12" t="s">
        <v>451</v>
      </c>
      <c r="E336" s="2" t="s">
        <v>25</v>
      </c>
      <c r="F336" s="2" t="s">
        <v>452</v>
      </c>
      <c r="H336" s="6" t="str">
        <f>VLOOKUP(F336, ArtistCount!$A$1:$C$286, 3, FALSE)</f>
        <v>#N/A</v>
      </c>
    </row>
    <row r="337" ht="22.5" customHeight="1">
      <c r="A337" s="5" t="s">
        <v>441</v>
      </c>
      <c r="B337" s="2" t="s">
        <v>38</v>
      </c>
      <c r="C337" s="6" t="str">
        <f t="shared" si="1"/>
        <v>Dhani_9</v>
      </c>
      <c r="D337" s="12" t="s">
        <v>453</v>
      </c>
      <c r="E337" s="2" t="s">
        <v>25</v>
      </c>
      <c r="F337" s="2" t="s">
        <v>454</v>
      </c>
      <c r="H337" s="6" t="str">
        <f>VLOOKUP(F337, ArtistCount!$A$1:$C$286, 3, FALSE)</f>
        <v>#N/A</v>
      </c>
    </row>
    <row r="338" ht="22.5" customHeight="1">
      <c r="A338" s="5" t="s">
        <v>455</v>
      </c>
      <c r="B338" s="2" t="s">
        <v>43</v>
      </c>
      <c r="C338" s="6" t="str">
        <f t="shared" si="1"/>
        <v>Durga_1</v>
      </c>
      <c r="D338" s="12" t="s">
        <v>456</v>
      </c>
      <c r="E338" s="2" t="s">
        <v>25</v>
      </c>
      <c r="F338" s="2" t="s">
        <v>52</v>
      </c>
      <c r="H338" s="6" t="str">
        <f>VLOOKUP(F338, ArtistCount!$A$1:$C$286, 3, FALSE)</f>
        <v>#N/A</v>
      </c>
    </row>
    <row r="339" ht="22.5" customHeight="1">
      <c r="A339" s="5" t="s">
        <v>455</v>
      </c>
      <c r="B339" s="2" t="s">
        <v>43</v>
      </c>
      <c r="C339" s="6" t="str">
        <f t="shared" si="1"/>
        <v>Durga_2</v>
      </c>
      <c r="D339" s="12" t="s">
        <v>457</v>
      </c>
      <c r="E339" s="2" t="s">
        <v>25</v>
      </c>
      <c r="F339" s="2" t="s">
        <v>52</v>
      </c>
      <c r="H339" s="6" t="str">
        <f>VLOOKUP(F339, ArtistCount!$A$1:$C$286, 3, FALSE)</f>
        <v>#N/A</v>
      </c>
    </row>
    <row r="340" ht="22.5" customHeight="1">
      <c r="A340" s="5" t="s">
        <v>455</v>
      </c>
      <c r="B340" s="2" t="s">
        <v>38</v>
      </c>
      <c r="C340" s="6" t="str">
        <f t="shared" si="1"/>
        <v>Durga_3</v>
      </c>
      <c r="D340" s="15" t="s">
        <v>458</v>
      </c>
      <c r="E340" s="2" t="s">
        <v>25</v>
      </c>
      <c r="F340" s="2" t="s">
        <v>157</v>
      </c>
      <c r="H340" s="6" t="str">
        <f>VLOOKUP(F340, ArtistCount!$A$1:$C$286, 3, FALSE)</f>
        <v>#N/A</v>
      </c>
    </row>
    <row r="341" ht="22.5" customHeight="1">
      <c r="A341" s="5" t="s">
        <v>455</v>
      </c>
      <c r="B341" s="2" t="s">
        <v>36</v>
      </c>
      <c r="C341" s="2" t="str">
        <f t="shared" si="1"/>
        <v>Durga_4</v>
      </c>
      <c r="D341" s="12" t="s">
        <v>459</v>
      </c>
      <c r="E341" s="2" t="s">
        <v>25</v>
      </c>
      <c r="F341" s="2" t="s">
        <v>460</v>
      </c>
      <c r="H341" s="6" t="str">
        <f>VLOOKUP(F341, ArtistCount!$A$1:$C$286, 3, FALSE)</f>
        <v>#N/A</v>
      </c>
      <c r="L341" s="2" t="s">
        <v>461</v>
      </c>
    </row>
    <row r="342" ht="22.5" customHeight="1">
      <c r="A342" s="5" t="s">
        <v>455</v>
      </c>
      <c r="B342" s="2" t="s">
        <v>32</v>
      </c>
      <c r="C342" s="6" t="str">
        <f t="shared" si="1"/>
        <v>Durga_5</v>
      </c>
      <c r="D342" s="12" t="s">
        <v>462</v>
      </c>
      <c r="E342" s="2" t="s">
        <v>25</v>
      </c>
      <c r="F342" s="2" t="s">
        <v>34</v>
      </c>
      <c r="H342" s="6" t="str">
        <f>VLOOKUP(F342, ArtistCount!$A$1:$C$286, 3, FALSE)</f>
        <v>#N/A</v>
      </c>
    </row>
    <row r="343" ht="22.5" customHeight="1">
      <c r="A343" s="5" t="s">
        <v>455</v>
      </c>
      <c r="B343" s="2" t="s">
        <v>43</v>
      </c>
      <c r="C343" s="6" t="str">
        <f t="shared" si="1"/>
        <v>Durga_6</v>
      </c>
      <c r="D343" s="12" t="s">
        <v>463</v>
      </c>
      <c r="E343" s="2" t="s">
        <v>25</v>
      </c>
      <c r="F343" s="2" t="s">
        <v>464</v>
      </c>
      <c r="H343" s="6" t="str">
        <f>VLOOKUP(F343, ArtistCount!$A$1:$C$286, 3, FALSE)</f>
        <v>#N/A</v>
      </c>
    </row>
    <row r="344" ht="22.5" customHeight="1">
      <c r="A344" s="5" t="s">
        <v>455</v>
      </c>
      <c r="B344" s="2" t="s">
        <v>43</v>
      </c>
      <c r="C344" s="6" t="str">
        <f t="shared" si="1"/>
        <v>Durga_7</v>
      </c>
      <c r="D344" s="12" t="s">
        <v>465</v>
      </c>
      <c r="E344" s="2" t="s">
        <v>25</v>
      </c>
      <c r="F344" s="2" t="s">
        <v>26</v>
      </c>
      <c r="H344" s="6" t="str">
        <f>VLOOKUP(F344, ArtistCount!$A$1:$C$286, 3, FALSE)</f>
        <v>#N/A</v>
      </c>
    </row>
    <row r="345" ht="22.5" customHeight="1">
      <c r="A345" s="5" t="s">
        <v>455</v>
      </c>
      <c r="B345" s="2" t="s">
        <v>62</v>
      </c>
      <c r="C345" s="6" t="str">
        <f t="shared" si="1"/>
        <v>Durga_8</v>
      </c>
      <c r="D345" s="12" t="s">
        <v>466</v>
      </c>
      <c r="E345" s="2" t="s">
        <v>25</v>
      </c>
      <c r="F345" s="2" t="s">
        <v>153</v>
      </c>
      <c r="H345" s="2" t="str">
        <f>VLOOKUP(F345, ArtistCount!$A$1:$C$286, 3, FALSE)</f>
        <v>#N/A</v>
      </c>
      <c r="I345" s="2" t="s">
        <v>154</v>
      </c>
    </row>
    <row r="346" ht="22.5" customHeight="1">
      <c r="A346" s="5" t="s">
        <v>455</v>
      </c>
      <c r="B346" s="2" t="s">
        <v>28</v>
      </c>
      <c r="C346" s="6" t="str">
        <f t="shared" si="1"/>
        <v>Durga_9</v>
      </c>
      <c r="D346" s="12" t="s">
        <v>467</v>
      </c>
      <c r="E346" s="2" t="s">
        <v>167</v>
      </c>
      <c r="F346" s="2" t="s">
        <v>168</v>
      </c>
      <c r="H346" s="6" t="str">
        <f>VLOOKUP(F346, ArtistCount!$A$1:$C$286, 3, FALSE)</f>
        <v>#N/A</v>
      </c>
    </row>
    <row r="347" ht="22.5" customHeight="1">
      <c r="A347" s="5" t="s">
        <v>455</v>
      </c>
      <c r="B347" s="2" t="s">
        <v>38</v>
      </c>
      <c r="C347" s="6" t="str">
        <f t="shared" si="1"/>
        <v>Durga_10</v>
      </c>
      <c r="D347" s="12" t="s">
        <v>468</v>
      </c>
      <c r="E347" s="2" t="s">
        <v>25</v>
      </c>
      <c r="F347" s="2" t="s">
        <v>469</v>
      </c>
      <c r="H347" s="6" t="str">
        <f>VLOOKUP(F347, ArtistCount!$A$1:$C$286, 3, FALSE)</f>
        <v>#N/A</v>
      </c>
    </row>
    <row r="348" ht="22.5" customHeight="1">
      <c r="A348" s="5" t="s">
        <v>470</v>
      </c>
      <c r="B348" s="2" t="s">
        <v>28</v>
      </c>
      <c r="C348" s="6" t="str">
        <f t="shared" si="1"/>
        <v>Gaud Malhar_1</v>
      </c>
      <c r="D348" s="7"/>
      <c r="E348" s="8" t="s">
        <v>25</v>
      </c>
      <c r="F348" s="8" t="s">
        <v>193</v>
      </c>
      <c r="H348" s="2" t="str">
        <f>VLOOKUP(F348, ArtistCount!$A$1:$C$286, 3, FALSE)</f>
        <v>#N/A</v>
      </c>
      <c r="I348" s="2" t="s">
        <v>27</v>
      </c>
    </row>
    <row r="349" ht="22.5" customHeight="1">
      <c r="A349" s="5" t="s">
        <v>470</v>
      </c>
      <c r="B349" s="2" t="s">
        <v>38</v>
      </c>
      <c r="C349" s="6" t="str">
        <f t="shared" si="1"/>
        <v>Gaud Malhar_2</v>
      </c>
      <c r="D349" s="7"/>
      <c r="E349" s="8" t="s">
        <v>25</v>
      </c>
      <c r="F349" s="8" t="s">
        <v>75</v>
      </c>
      <c r="H349" s="2" t="str">
        <f>VLOOKUP(F349, ArtistCount!$A$1:$C$286, 3, FALSE)</f>
        <v>#N/A</v>
      </c>
      <c r="I349" s="2" t="s">
        <v>27</v>
      </c>
    </row>
    <row r="350" ht="22.5" customHeight="1">
      <c r="A350" s="5" t="s">
        <v>470</v>
      </c>
      <c r="B350" s="2" t="s">
        <v>38</v>
      </c>
      <c r="C350" s="6" t="str">
        <f t="shared" si="1"/>
        <v>Gaud Malhar_3</v>
      </c>
      <c r="D350" s="7"/>
      <c r="E350" s="8" t="s">
        <v>25</v>
      </c>
      <c r="F350" s="8" t="s">
        <v>75</v>
      </c>
      <c r="H350" s="2" t="str">
        <f>VLOOKUP(F350, ArtistCount!$A$1:$C$286, 3, FALSE)</f>
        <v>#N/A</v>
      </c>
      <c r="I350" s="2" t="s">
        <v>27</v>
      </c>
    </row>
    <row r="351" ht="22.5" customHeight="1">
      <c r="A351" s="5" t="s">
        <v>470</v>
      </c>
      <c r="B351" s="2" t="s">
        <v>38</v>
      </c>
      <c r="C351" s="6" t="str">
        <f t="shared" si="1"/>
        <v>Gaud Malhar_4</v>
      </c>
      <c r="D351" s="7"/>
      <c r="E351" s="8" t="s">
        <v>25</v>
      </c>
      <c r="F351" s="8" t="s">
        <v>75</v>
      </c>
      <c r="H351" s="2" t="str">
        <f>VLOOKUP(F351, ArtistCount!$A$1:$C$286, 3, FALSE)</f>
        <v>#N/A</v>
      </c>
      <c r="I351" s="2" t="s">
        <v>27</v>
      </c>
    </row>
    <row r="352" ht="22.5" customHeight="1">
      <c r="A352" s="5" t="s">
        <v>470</v>
      </c>
      <c r="B352" s="2" t="s">
        <v>38</v>
      </c>
      <c r="C352" s="6" t="str">
        <f t="shared" si="1"/>
        <v>Gaud Malhar_5</v>
      </c>
      <c r="D352" s="7"/>
      <c r="E352" s="8" t="s">
        <v>25</v>
      </c>
      <c r="F352" s="8" t="s">
        <v>75</v>
      </c>
      <c r="H352" s="2" t="str">
        <f>VLOOKUP(F352, ArtistCount!$A$1:$C$286, 3, FALSE)</f>
        <v>#N/A</v>
      </c>
      <c r="I352" s="2" t="s">
        <v>27</v>
      </c>
    </row>
    <row r="353" ht="22.5" customHeight="1">
      <c r="A353" s="5" t="s">
        <v>470</v>
      </c>
      <c r="B353" s="2" t="s">
        <v>29</v>
      </c>
      <c r="C353" s="6" t="str">
        <f t="shared" si="1"/>
        <v>Gaud Malhar_6</v>
      </c>
      <c r="D353" s="7"/>
      <c r="E353" s="8" t="s">
        <v>25</v>
      </c>
      <c r="F353" s="8" t="s">
        <v>144</v>
      </c>
      <c r="H353" s="2" t="str">
        <f>VLOOKUP(F353, ArtistCount!$A$1:$C$286, 3, FALSE)</f>
        <v>#N/A</v>
      </c>
      <c r="I353" s="2" t="s">
        <v>27</v>
      </c>
    </row>
    <row r="354" ht="22.5" customHeight="1">
      <c r="A354" s="5" t="s">
        <v>470</v>
      </c>
      <c r="B354" s="2" t="s">
        <v>28</v>
      </c>
      <c r="C354" s="6" t="str">
        <f t="shared" si="1"/>
        <v>Gaud Malhar_7</v>
      </c>
      <c r="D354" s="7"/>
      <c r="E354" s="8" t="s">
        <v>25</v>
      </c>
      <c r="F354" s="8" t="s">
        <v>94</v>
      </c>
      <c r="H354" s="2" t="str">
        <f>VLOOKUP(F354, ArtistCount!$A$1:$C$286, 3, FALSE)</f>
        <v>#N/A</v>
      </c>
      <c r="I354" s="2" t="s">
        <v>27</v>
      </c>
    </row>
    <row r="355" ht="22.5" customHeight="1">
      <c r="A355" s="5" t="s">
        <v>470</v>
      </c>
      <c r="B355" s="2" t="s">
        <v>32</v>
      </c>
      <c r="C355" s="6" t="str">
        <f t="shared" si="1"/>
        <v>Gaud Malhar_8</v>
      </c>
      <c r="D355" s="7"/>
      <c r="E355" s="8" t="s">
        <v>25</v>
      </c>
      <c r="F355" s="8" t="s">
        <v>102</v>
      </c>
      <c r="H355" s="2" t="str">
        <f>VLOOKUP(F355, ArtistCount!$A$1:$C$286, 3, FALSE)</f>
        <v>#N/A</v>
      </c>
      <c r="I355" s="2" t="s">
        <v>27</v>
      </c>
    </row>
    <row r="356" ht="22.5" customHeight="1">
      <c r="A356" s="5" t="s">
        <v>470</v>
      </c>
      <c r="B356" s="2" t="s">
        <v>29</v>
      </c>
      <c r="C356" s="6" t="str">
        <f t="shared" si="1"/>
        <v>Gaud Malhar_9</v>
      </c>
      <c r="D356" s="7"/>
      <c r="E356" s="8" t="s">
        <v>25</v>
      </c>
      <c r="F356" s="8" t="s">
        <v>103</v>
      </c>
      <c r="H356" s="2" t="str">
        <f>VLOOKUP(F356, ArtistCount!$A$1:$C$286, 3, FALSE)</f>
        <v>#N/A</v>
      </c>
      <c r="I356" s="2" t="s">
        <v>27</v>
      </c>
    </row>
    <row r="357" ht="22.5" customHeight="1">
      <c r="A357" s="5" t="s">
        <v>470</v>
      </c>
      <c r="B357" s="2" t="s">
        <v>43</v>
      </c>
      <c r="C357" s="6" t="str">
        <f t="shared" si="1"/>
        <v>Gaud Malhar_10</v>
      </c>
      <c r="D357" s="7"/>
      <c r="E357" s="8" t="s">
        <v>25</v>
      </c>
      <c r="F357" s="8" t="s">
        <v>70</v>
      </c>
      <c r="H357" s="2" t="str">
        <f>VLOOKUP(F357, ArtistCount!$A$1:$C$286, 3, FALSE)</f>
        <v>#N/A</v>
      </c>
      <c r="I357" s="2" t="s">
        <v>27</v>
      </c>
    </row>
    <row r="358" ht="22.5" customHeight="1">
      <c r="A358" s="5" t="s">
        <v>471</v>
      </c>
      <c r="B358" s="2" t="s">
        <v>28</v>
      </c>
      <c r="C358" s="6" t="str">
        <f t="shared" si="1"/>
        <v>Gaud Sarang_1</v>
      </c>
      <c r="D358" s="12" t="s">
        <v>472</v>
      </c>
      <c r="E358" s="2" t="s">
        <v>25</v>
      </c>
      <c r="F358" s="2" t="s">
        <v>26</v>
      </c>
      <c r="H358" s="6" t="str">
        <f>VLOOKUP(F358, ArtistCount!$A$1:$C$286, 3, FALSE)</f>
        <v>#N/A</v>
      </c>
    </row>
    <row r="359" ht="22.5" customHeight="1">
      <c r="A359" s="5" t="s">
        <v>471</v>
      </c>
      <c r="B359" s="2" t="s">
        <v>28</v>
      </c>
      <c r="C359" s="6" t="str">
        <f t="shared" si="1"/>
        <v>Gaud Sarang_2</v>
      </c>
      <c r="D359" s="23" t="s">
        <v>473</v>
      </c>
      <c r="E359" s="2" t="s">
        <v>25</v>
      </c>
      <c r="F359" s="2" t="s">
        <v>150</v>
      </c>
      <c r="H359" s="6" t="str">
        <f>VLOOKUP(F359, ArtistCount!$A$1:$C$286, 3, FALSE)</f>
        <v>#N/A</v>
      </c>
    </row>
    <row r="360" ht="22.5" customHeight="1">
      <c r="A360" s="5" t="s">
        <v>471</v>
      </c>
      <c r="B360" s="2" t="s">
        <v>29</v>
      </c>
      <c r="C360" s="6" t="str">
        <f t="shared" si="1"/>
        <v>Gaud Sarang_3</v>
      </c>
      <c r="D360" s="12" t="s">
        <v>474</v>
      </c>
      <c r="E360" s="2" t="s">
        <v>25</v>
      </c>
      <c r="F360" s="2" t="s">
        <v>475</v>
      </c>
      <c r="H360" s="6" t="str">
        <f>VLOOKUP(F360, ArtistCount!$A$1:$C$286, 3, FALSE)</f>
        <v>#N/A</v>
      </c>
    </row>
    <row r="361" ht="22.5" customHeight="1">
      <c r="A361" s="5" t="s">
        <v>471</v>
      </c>
      <c r="B361" s="2" t="s">
        <v>58</v>
      </c>
      <c r="C361" s="6" t="str">
        <f t="shared" si="1"/>
        <v>Gaud Sarang_4</v>
      </c>
      <c r="D361" s="12" t="s">
        <v>476</v>
      </c>
      <c r="E361" s="2" t="s">
        <v>25</v>
      </c>
      <c r="F361" s="2" t="s">
        <v>112</v>
      </c>
      <c r="H361" s="6" t="str">
        <f>VLOOKUP(F361, ArtistCount!$A$1:$C$286, 3, FALSE)</f>
        <v>#N/A</v>
      </c>
    </row>
    <row r="362" ht="22.5" customHeight="1">
      <c r="A362" s="5" t="s">
        <v>471</v>
      </c>
      <c r="B362" s="2" t="s">
        <v>32</v>
      </c>
      <c r="C362" s="6" t="str">
        <f t="shared" si="1"/>
        <v>Gaud Sarang_5</v>
      </c>
      <c r="D362" s="12" t="s">
        <v>477</v>
      </c>
      <c r="E362" s="2" t="s">
        <v>25</v>
      </c>
      <c r="F362" s="2" t="s">
        <v>34</v>
      </c>
      <c r="H362" s="6" t="str">
        <f>VLOOKUP(F362, ArtistCount!$A$1:$C$286, 3, FALSE)</f>
        <v>#N/A</v>
      </c>
    </row>
    <row r="363" ht="22.5" customHeight="1">
      <c r="A363" s="5" t="s">
        <v>471</v>
      </c>
      <c r="B363" s="2" t="s">
        <v>58</v>
      </c>
      <c r="C363" s="6" t="str">
        <f t="shared" si="1"/>
        <v>Gaud Sarang_6</v>
      </c>
      <c r="D363" s="12" t="s">
        <v>478</v>
      </c>
      <c r="E363" s="2" t="s">
        <v>25</v>
      </c>
      <c r="F363" s="2" t="s">
        <v>60</v>
      </c>
      <c r="H363" s="6" t="str">
        <f>VLOOKUP(F363, ArtistCount!$A$1:$C$286, 3, FALSE)</f>
        <v>#N/A</v>
      </c>
    </row>
    <row r="364" ht="22.5" customHeight="1">
      <c r="A364" s="5" t="s">
        <v>471</v>
      </c>
      <c r="B364" s="2" t="s">
        <v>32</v>
      </c>
      <c r="C364" s="6" t="str">
        <f t="shared" si="1"/>
        <v>Gaud Sarang_7</v>
      </c>
      <c r="D364" s="12" t="s">
        <v>479</v>
      </c>
      <c r="E364" s="2" t="s">
        <v>114</v>
      </c>
      <c r="F364" s="2" t="s">
        <v>341</v>
      </c>
      <c r="H364" s="6" t="str">
        <f>VLOOKUP(F364, ArtistCount!$A$1:$C$286, 3, FALSE)</f>
        <v>#N/A</v>
      </c>
    </row>
    <row r="365" ht="22.5" customHeight="1">
      <c r="A365" s="5" t="s">
        <v>471</v>
      </c>
      <c r="B365" s="2" t="s">
        <v>43</v>
      </c>
      <c r="C365" s="6" t="str">
        <f t="shared" si="1"/>
        <v>Gaud Sarang_8</v>
      </c>
      <c r="D365" s="12" t="s">
        <v>480</v>
      </c>
      <c r="E365" s="2" t="s">
        <v>25</v>
      </c>
      <c r="F365" s="2" t="s">
        <v>52</v>
      </c>
      <c r="H365" s="6" t="str">
        <f>VLOOKUP(F365, ArtistCount!$A$1:$C$286, 3, FALSE)</f>
        <v>#N/A</v>
      </c>
    </row>
    <row r="366" ht="22.5" customHeight="1">
      <c r="A366" s="5" t="s">
        <v>471</v>
      </c>
      <c r="B366" s="2" t="s">
        <v>43</v>
      </c>
      <c r="C366" s="6" t="str">
        <f t="shared" si="1"/>
        <v>Gaud Sarang_9</v>
      </c>
      <c r="D366" s="12" t="s">
        <v>481</v>
      </c>
      <c r="E366" s="2" t="s">
        <v>25</v>
      </c>
      <c r="F366" s="2" t="s">
        <v>122</v>
      </c>
      <c r="H366" s="6" t="str">
        <f>VLOOKUP(F366, ArtistCount!$A$1:$C$286, 3, FALSE)</f>
        <v>#N/A</v>
      </c>
    </row>
    <row r="367" ht="22.5" customHeight="1">
      <c r="A367" s="5" t="s">
        <v>471</v>
      </c>
      <c r="B367" s="2" t="s">
        <v>32</v>
      </c>
      <c r="C367" s="6" t="str">
        <f t="shared" si="1"/>
        <v>Gaud Sarang_10</v>
      </c>
      <c r="D367" s="12" t="s">
        <v>482</v>
      </c>
      <c r="E367" s="2" t="s">
        <v>25</v>
      </c>
      <c r="F367" s="2" t="s">
        <v>193</v>
      </c>
      <c r="H367" s="6" t="str">
        <f>VLOOKUP(F367, ArtistCount!$A$1:$C$286, 3, FALSE)</f>
        <v>#N/A</v>
      </c>
    </row>
    <row r="368" ht="22.5" customHeight="1">
      <c r="A368" s="5" t="s">
        <v>483</v>
      </c>
      <c r="B368" s="2" t="s">
        <v>38</v>
      </c>
      <c r="C368" s="6" t="str">
        <f t="shared" si="1"/>
        <v>Gauri_1</v>
      </c>
      <c r="D368" s="12" t="s">
        <v>484</v>
      </c>
      <c r="E368" s="2" t="s">
        <v>25</v>
      </c>
      <c r="F368" s="8" t="s">
        <v>134</v>
      </c>
      <c r="H368" s="6" t="str">
        <f>VLOOKUP(F368, ArtistCount!$A$1:$C$286, 3, FALSE)</f>
        <v>#N/A</v>
      </c>
    </row>
    <row r="369" ht="22.5" customHeight="1">
      <c r="A369" s="5" t="s">
        <v>483</v>
      </c>
      <c r="B369" s="2" t="s">
        <v>127</v>
      </c>
      <c r="C369" s="6" t="str">
        <f t="shared" si="1"/>
        <v>Gauri_2</v>
      </c>
      <c r="D369" s="12" t="s">
        <v>485</v>
      </c>
      <c r="E369" s="2" t="s">
        <v>25</v>
      </c>
      <c r="F369" s="2" t="s">
        <v>475</v>
      </c>
      <c r="H369" s="6" t="str">
        <f>VLOOKUP(F369, ArtistCount!$A$1:$C$286, 3, FALSE)</f>
        <v>#N/A</v>
      </c>
    </row>
    <row r="370" ht="22.5" customHeight="1">
      <c r="A370" s="5" t="s">
        <v>483</v>
      </c>
      <c r="B370" s="2" t="s">
        <v>24</v>
      </c>
      <c r="C370" s="6" t="str">
        <f t="shared" si="1"/>
        <v>Gauri_3</v>
      </c>
      <c r="D370" s="12" t="s">
        <v>486</v>
      </c>
      <c r="E370" s="2" t="s">
        <v>25</v>
      </c>
      <c r="F370" s="2" t="s">
        <v>487</v>
      </c>
      <c r="H370" s="6" t="str">
        <f>VLOOKUP(F370, ArtistCount!$A$1:$C$286, 3, FALSE)</f>
        <v>#N/A</v>
      </c>
    </row>
    <row r="371" ht="22.5" customHeight="1">
      <c r="A371" s="5" t="s">
        <v>483</v>
      </c>
      <c r="B371" s="2" t="s">
        <v>24</v>
      </c>
      <c r="C371" s="6" t="str">
        <f t="shared" si="1"/>
        <v>Gauri_4</v>
      </c>
      <c r="D371" s="12" t="s">
        <v>488</v>
      </c>
      <c r="E371" s="2" t="s">
        <v>25</v>
      </c>
      <c r="F371" s="2" t="s">
        <v>56</v>
      </c>
      <c r="H371" s="6" t="str">
        <f>VLOOKUP(F371, ArtistCount!$A$1:$C$286, 3, FALSE)</f>
        <v>#N/A</v>
      </c>
    </row>
    <row r="372" ht="22.5" customHeight="1">
      <c r="A372" s="5" t="s">
        <v>483</v>
      </c>
      <c r="B372" s="2" t="s">
        <v>28</v>
      </c>
      <c r="C372" s="6" t="str">
        <f t="shared" si="1"/>
        <v>Gauri_5</v>
      </c>
      <c r="D372" s="12" t="s">
        <v>489</v>
      </c>
      <c r="E372" s="2" t="s">
        <v>25</v>
      </c>
      <c r="F372" s="2" t="s">
        <v>401</v>
      </c>
      <c r="H372" s="6" t="str">
        <f>VLOOKUP(F372, ArtistCount!$A$1:$C$286, 3, FALSE)</f>
        <v>#N/A</v>
      </c>
    </row>
    <row r="373" ht="22.5" customHeight="1">
      <c r="A373" s="5" t="s">
        <v>483</v>
      </c>
      <c r="B373" s="2" t="s">
        <v>38</v>
      </c>
      <c r="C373" s="6" t="str">
        <f t="shared" si="1"/>
        <v>Gauri_6</v>
      </c>
      <c r="D373" s="12" t="s">
        <v>490</v>
      </c>
      <c r="E373" s="2" t="s">
        <v>25</v>
      </c>
      <c r="F373" s="2" t="s">
        <v>134</v>
      </c>
      <c r="H373" s="6" t="str">
        <f>VLOOKUP(F373, ArtistCount!$A$1:$C$286, 3, FALSE)</f>
        <v>#N/A</v>
      </c>
    </row>
    <row r="374" ht="22.5" customHeight="1">
      <c r="A374" s="5" t="s">
        <v>483</v>
      </c>
      <c r="B374" s="2" t="s">
        <v>24</v>
      </c>
      <c r="C374" s="6" t="str">
        <f t="shared" si="1"/>
        <v>Gauri_7</v>
      </c>
      <c r="D374" s="12" t="s">
        <v>491</v>
      </c>
      <c r="E374" s="2" t="s">
        <v>25</v>
      </c>
      <c r="F374" s="2" t="s">
        <v>30</v>
      </c>
      <c r="H374" s="6" t="str">
        <f>VLOOKUP(F374, ArtistCount!$A$1:$C$286, 3, FALSE)</f>
        <v>#N/A</v>
      </c>
    </row>
    <row r="375" ht="22.5" customHeight="1">
      <c r="A375" s="5" t="s">
        <v>483</v>
      </c>
      <c r="B375" s="2" t="s">
        <v>32</v>
      </c>
      <c r="C375" s="6" t="str">
        <f t="shared" si="1"/>
        <v>Gauri_8</v>
      </c>
      <c r="D375" s="12" t="s">
        <v>492</v>
      </c>
      <c r="E375" s="2" t="s">
        <v>25</v>
      </c>
      <c r="F375" s="2" t="s">
        <v>493</v>
      </c>
      <c r="H375" s="6" t="str">
        <f>VLOOKUP(F375, ArtistCount!$A$1:$C$286, 3, FALSE)</f>
        <v>#N/A</v>
      </c>
    </row>
    <row r="376" ht="22.5" customHeight="1">
      <c r="A376" s="5" t="s">
        <v>483</v>
      </c>
      <c r="B376" s="2" t="s">
        <v>38</v>
      </c>
      <c r="C376" s="6" t="str">
        <f t="shared" si="1"/>
        <v>Gauri_9</v>
      </c>
      <c r="D376" s="12" t="s">
        <v>494</v>
      </c>
      <c r="E376" s="2" t="s">
        <v>25</v>
      </c>
      <c r="F376" s="2" t="s">
        <v>495</v>
      </c>
      <c r="H376" s="6" t="str">
        <f>VLOOKUP(F376, ArtistCount!$A$1:$C$286, 3, FALSE)</f>
        <v>#N/A</v>
      </c>
    </row>
    <row r="377" ht="22.5" customHeight="1">
      <c r="A377" s="5" t="s">
        <v>496</v>
      </c>
      <c r="B377" s="2" t="s">
        <v>43</v>
      </c>
      <c r="C377" s="6" t="str">
        <f t="shared" si="1"/>
        <v>Gavati_1</v>
      </c>
      <c r="D377" s="12" t="s">
        <v>497</v>
      </c>
      <c r="E377" s="2" t="s">
        <v>25</v>
      </c>
      <c r="F377" s="2" t="s">
        <v>52</v>
      </c>
      <c r="H377" s="2" t="str">
        <f>VLOOKUP(F377, ArtistCount!$A$1:$C$286, 3, FALSE)</f>
        <v>#N/A</v>
      </c>
      <c r="I377" s="2" t="s">
        <v>498</v>
      </c>
    </row>
    <row r="378" ht="22.5" customHeight="1">
      <c r="A378" s="5" t="s">
        <v>496</v>
      </c>
      <c r="B378" s="2" t="s">
        <v>36</v>
      </c>
      <c r="C378" s="6" t="str">
        <f t="shared" si="1"/>
        <v>Gavati_2</v>
      </c>
      <c r="D378" s="12" t="s">
        <v>499</v>
      </c>
      <c r="E378" s="2" t="s">
        <v>162</v>
      </c>
      <c r="F378" s="2" t="s">
        <v>337</v>
      </c>
      <c r="H378" s="6" t="str">
        <f>VLOOKUP(F378, ArtistCount!$A$1:$C$286, 3, FALSE)</f>
        <v>#N/A</v>
      </c>
    </row>
    <row r="379" ht="22.5" customHeight="1">
      <c r="A379" s="5" t="s">
        <v>496</v>
      </c>
      <c r="B379" s="16" t="s">
        <v>28</v>
      </c>
      <c r="C379" s="6" t="str">
        <f t="shared" si="1"/>
        <v>Gavati_3</v>
      </c>
      <c r="D379" s="12" t="s">
        <v>500</v>
      </c>
      <c r="E379" s="2" t="s">
        <v>25</v>
      </c>
      <c r="F379" s="2" t="s">
        <v>222</v>
      </c>
      <c r="H379" s="6" t="str">
        <f>VLOOKUP(F379, ArtistCount!$A$1:$C$286, 3, FALSE)</f>
        <v>#N/A</v>
      </c>
    </row>
    <row r="380" ht="22.5" customHeight="1">
      <c r="A380" s="5" t="s">
        <v>496</v>
      </c>
      <c r="B380" s="2" t="s">
        <v>43</v>
      </c>
      <c r="C380" s="6" t="str">
        <f t="shared" si="1"/>
        <v>Gavati_4</v>
      </c>
      <c r="D380" s="13" t="s">
        <v>501</v>
      </c>
      <c r="E380" s="2" t="s">
        <v>25</v>
      </c>
      <c r="F380" s="2" t="s">
        <v>94</v>
      </c>
      <c r="H380" s="6" t="str">
        <f>VLOOKUP(F380, ArtistCount!$A$1:$C$286, 3, FALSE)</f>
        <v>#N/A</v>
      </c>
    </row>
    <row r="381" ht="22.5" customHeight="1">
      <c r="A381" s="5" t="s">
        <v>496</v>
      </c>
      <c r="B381" s="24" t="s">
        <v>24</v>
      </c>
      <c r="C381" s="6" t="str">
        <f t="shared" si="1"/>
        <v>Gavati_5</v>
      </c>
      <c r="D381" s="12" t="s">
        <v>502</v>
      </c>
      <c r="E381" s="2" t="s">
        <v>25</v>
      </c>
      <c r="F381" s="2" t="s">
        <v>50</v>
      </c>
      <c r="H381" s="25" t="str">
        <f>VLOOKUP(F381, ArtistCount!$A$1:$C$286, 3, FALSE)</f>
        <v>#N/A</v>
      </c>
      <c r="I381" s="26" t="s">
        <v>503</v>
      </c>
    </row>
    <row r="382" ht="22.5" customHeight="1">
      <c r="A382" s="5" t="s">
        <v>496</v>
      </c>
      <c r="B382" s="14" t="s">
        <v>32</v>
      </c>
      <c r="C382" s="6" t="str">
        <f t="shared" si="1"/>
        <v>Gavati_6</v>
      </c>
      <c r="D382" s="12" t="s">
        <v>504</v>
      </c>
      <c r="E382" s="2" t="s">
        <v>25</v>
      </c>
      <c r="F382" s="8" t="s">
        <v>54</v>
      </c>
      <c r="H382" s="6" t="str">
        <f>VLOOKUP(F382, ArtistCount!$A$1:$C$286, 3, FALSE)</f>
        <v>#N/A</v>
      </c>
    </row>
    <row r="383" ht="22.5" customHeight="1">
      <c r="A383" s="5" t="s">
        <v>496</v>
      </c>
      <c r="B383" s="2" t="s">
        <v>62</v>
      </c>
      <c r="C383" s="6" t="str">
        <f t="shared" si="1"/>
        <v>Gavati_7</v>
      </c>
      <c r="D383" s="12" t="s">
        <v>505</v>
      </c>
      <c r="E383" s="2" t="s">
        <v>25</v>
      </c>
      <c r="F383" s="2" t="s">
        <v>506</v>
      </c>
      <c r="H383" s="6" t="str">
        <f>VLOOKUP(F383, ArtistCount!$A$1:$C$286, 3, FALSE)</f>
        <v>#N/A</v>
      </c>
    </row>
    <row r="384" ht="22.5" customHeight="1">
      <c r="A384" s="5" t="s">
        <v>496</v>
      </c>
      <c r="B384" s="2" t="s">
        <v>32</v>
      </c>
      <c r="C384" s="6" t="str">
        <f t="shared" si="1"/>
        <v>Gavati_8</v>
      </c>
      <c r="D384" s="12" t="s">
        <v>507</v>
      </c>
      <c r="E384" s="2" t="s">
        <v>25</v>
      </c>
      <c r="F384" s="2" t="s">
        <v>508</v>
      </c>
      <c r="H384" s="6" t="str">
        <f>VLOOKUP(F384, ArtistCount!$A$1:$C$286, 3, FALSE)</f>
        <v>#N/A</v>
      </c>
    </row>
    <row r="385" ht="22.5" customHeight="1">
      <c r="A385" s="5" t="s">
        <v>496</v>
      </c>
      <c r="B385" s="2" t="s">
        <v>38</v>
      </c>
      <c r="C385" s="6" t="str">
        <f t="shared" si="1"/>
        <v>Gavati_9</v>
      </c>
      <c r="D385" s="12" t="s">
        <v>509</v>
      </c>
      <c r="E385" s="2" t="s">
        <v>25</v>
      </c>
      <c r="F385" s="8" t="s">
        <v>412</v>
      </c>
      <c r="H385" s="2" t="str">
        <f>VLOOKUP(F385, ArtistCount!$A$1:$C$286, 3, FALSE)</f>
        <v>#N/A</v>
      </c>
      <c r="I385" s="2" t="s">
        <v>498</v>
      </c>
    </row>
    <row r="386" ht="22.5" customHeight="1">
      <c r="A386" s="5" t="s">
        <v>496</v>
      </c>
      <c r="B386" s="2" t="s">
        <v>38</v>
      </c>
      <c r="C386" s="6" t="str">
        <f t="shared" si="1"/>
        <v>Gavati_10</v>
      </c>
      <c r="D386" s="12" t="s">
        <v>510</v>
      </c>
      <c r="E386" s="2" t="s">
        <v>25</v>
      </c>
      <c r="F386" s="2" t="s">
        <v>64</v>
      </c>
      <c r="H386" s="6" t="str">
        <f>VLOOKUP(F386, ArtistCount!$A$1:$C$286, 3, FALSE)</f>
        <v>#N/A</v>
      </c>
    </row>
    <row r="387" ht="22.5" customHeight="1">
      <c r="A387" s="5" t="s">
        <v>511</v>
      </c>
      <c r="B387" s="2" t="s">
        <v>29</v>
      </c>
      <c r="C387" s="6" t="str">
        <f t="shared" si="1"/>
        <v>Gopika Basant_1</v>
      </c>
      <c r="D387" s="12" t="s">
        <v>512</v>
      </c>
      <c r="E387" s="2" t="s">
        <v>25</v>
      </c>
      <c r="F387" s="2" t="s">
        <v>513</v>
      </c>
      <c r="H387" s="6" t="str">
        <f>VLOOKUP(F387, ArtistCount!$A$1:$C$286, 3, FALSE)</f>
        <v>#N/A</v>
      </c>
    </row>
    <row r="388" ht="22.5" customHeight="1">
      <c r="A388" s="5" t="s">
        <v>511</v>
      </c>
      <c r="B388" s="2" t="s">
        <v>36</v>
      </c>
      <c r="C388" s="6" t="str">
        <f t="shared" si="1"/>
        <v>Gopika Basant_2</v>
      </c>
      <c r="D388" s="12" t="s">
        <v>514</v>
      </c>
      <c r="E388" s="2" t="s">
        <v>25</v>
      </c>
      <c r="F388" s="2" t="s">
        <v>515</v>
      </c>
      <c r="H388" s="6" t="str">
        <f>VLOOKUP(F388, ArtistCount!$A$1:$C$286, 3, FALSE)</f>
        <v>#N/A</v>
      </c>
    </row>
    <row r="389" ht="22.5" customHeight="1">
      <c r="A389" s="5" t="s">
        <v>511</v>
      </c>
      <c r="B389" s="2" t="s">
        <v>24</v>
      </c>
      <c r="C389" s="6" t="str">
        <f t="shared" si="1"/>
        <v>Gopika Basant_3</v>
      </c>
      <c r="D389" s="12" t="s">
        <v>516</v>
      </c>
      <c r="E389" s="2" t="s">
        <v>25</v>
      </c>
      <c r="F389" s="2" t="s">
        <v>517</v>
      </c>
      <c r="H389" s="6" t="str">
        <f>VLOOKUP(F389, ArtistCount!$A$1:$C$286, 3, FALSE)</f>
        <v>#N/A</v>
      </c>
    </row>
    <row r="390" ht="22.5" customHeight="1">
      <c r="A390" s="5" t="s">
        <v>511</v>
      </c>
      <c r="B390" s="16" t="s">
        <v>58</v>
      </c>
      <c r="C390" s="6" t="str">
        <f t="shared" si="1"/>
        <v>Gopika Basant_4</v>
      </c>
      <c r="D390" s="12" t="s">
        <v>518</v>
      </c>
      <c r="E390" s="2" t="s">
        <v>167</v>
      </c>
      <c r="F390" s="2" t="s">
        <v>519</v>
      </c>
      <c r="H390" s="6" t="str">
        <f>VLOOKUP(F390, ArtistCount!$A$1:$C$286, 3, FALSE)</f>
        <v>#N/A</v>
      </c>
    </row>
    <row r="391" ht="22.5" customHeight="1">
      <c r="A391" s="5" t="s">
        <v>511</v>
      </c>
      <c r="B391" s="2" t="s">
        <v>24</v>
      </c>
      <c r="C391" s="6" t="str">
        <f t="shared" si="1"/>
        <v>Gopika Basant_5</v>
      </c>
      <c r="D391" s="12" t="s">
        <v>520</v>
      </c>
      <c r="E391" s="2" t="s">
        <v>25</v>
      </c>
      <c r="F391" s="2" t="s">
        <v>521</v>
      </c>
      <c r="H391" s="6" t="str">
        <f>VLOOKUP(F391, ArtistCount!$A$1:$C$286, 3, FALSE)</f>
        <v>#N/A</v>
      </c>
    </row>
    <row r="392" ht="22.5" customHeight="1">
      <c r="A392" s="5" t="s">
        <v>511</v>
      </c>
      <c r="B392" s="2" t="s">
        <v>24</v>
      </c>
      <c r="C392" s="6" t="str">
        <f t="shared" si="1"/>
        <v>Gopika Basant_6</v>
      </c>
      <c r="D392" s="12" t="s">
        <v>522</v>
      </c>
      <c r="E392" s="2" t="s">
        <v>25</v>
      </c>
      <c r="F392" s="2" t="s">
        <v>517</v>
      </c>
      <c r="H392" s="6" t="str">
        <f>VLOOKUP(F392, ArtistCount!$A$1:$C$286, 3, FALSE)</f>
        <v>#N/A</v>
      </c>
    </row>
    <row r="393" ht="22.5" customHeight="1">
      <c r="A393" s="5" t="s">
        <v>523</v>
      </c>
      <c r="B393" s="2" t="s">
        <v>32</v>
      </c>
      <c r="C393" s="6" t="str">
        <f t="shared" si="1"/>
        <v>Gorakh Kalyan_1</v>
      </c>
      <c r="D393" s="12" t="s">
        <v>524</v>
      </c>
      <c r="E393" s="2" t="s">
        <v>25</v>
      </c>
      <c r="F393" s="2" t="s">
        <v>34</v>
      </c>
      <c r="H393" s="6" t="str">
        <f>VLOOKUP(F393, ArtistCount!$A$1:$C$286, 3, FALSE)</f>
        <v>#N/A</v>
      </c>
    </row>
    <row r="394" ht="22.5" customHeight="1">
      <c r="A394" s="5" t="s">
        <v>523</v>
      </c>
      <c r="B394" s="2" t="s">
        <v>36</v>
      </c>
      <c r="C394" s="6" t="str">
        <f t="shared" si="1"/>
        <v>Gorakh Kalyan_2</v>
      </c>
      <c r="D394" s="12" t="s">
        <v>525</v>
      </c>
      <c r="E394" s="2" t="s">
        <v>162</v>
      </c>
      <c r="F394" s="2" t="s">
        <v>526</v>
      </c>
      <c r="H394" s="6" t="str">
        <f>VLOOKUP(F394, ArtistCount!$A$1:$C$286, 3, FALSE)</f>
        <v>#N/A</v>
      </c>
    </row>
    <row r="395" ht="22.5" customHeight="1">
      <c r="A395" s="5" t="s">
        <v>523</v>
      </c>
      <c r="B395" s="9" t="s">
        <v>43</v>
      </c>
      <c r="C395" s="6" t="str">
        <f t="shared" si="1"/>
        <v>Gorakh Kalyan_3</v>
      </c>
      <c r="D395" s="12" t="s">
        <v>527</v>
      </c>
      <c r="E395" s="2" t="s">
        <v>25</v>
      </c>
      <c r="F395" s="2" t="s">
        <v>528</v>
      </c>
      <c r="H395" s="6" t="str">
        <f>VLOOKUP(F395, ArtistCount!$A$1:$C$286, 3, FALSE)</f>
        <v>#N/A</v>
      </c>
    </row>
    <row r="396" ht="22.5" customHeight="1">
      <c r="A396" s="5" t="s">
        <v>523</v>
      </c>
      <c r="B396" s="2" t="s">
        <v>38</v>
      </c>
      <c r="C396" s="6" t="str">
        <f t="shared" si="1"/>
        <v>Gorakh Kalyan_4</v>
      </c>
      <c r="D396" s="12" t="s">
        <v>529</v>
      </c>
      <c r="E396" s="2" t="s">
        <v>25</v>
      </c>
      <c r="F396" s="2" t="s">
        <v>412</v>
      </c>
      <c r="H396" s="6" t="str">
        <f>VLOOKUP(F396, ArtistCount!$A$1:$C$286, 3, FALSE)</f>
        <v>#N/A</v>
      </c>
    </row>
    <row r="397" ht="22.5" customHeight="1">
      <c r="A397" s="5" t="s">
        <v>523</v>
      </c>
      <c r="B397" s="2" t="s">
        <v>24</v>
      </c>
      <c r="C397" s="6" t="str">
        <f t="shared" si="1"/>
        <v>Gorakh Kalyan_5</v>
      </c>
      <c r="D397" s="12" t="s">
        <v>530</v>
      </c>
      <c r="E397" s="2" t="s">
        <v>114</v>
      </c>
      <c r="F397" s="2" t="s">
        <v>341</v>
      </c>
      <c r="H397" s="6" t="str">
        <f>VLOOKUP(F397, ArtistCount!$A$1:$C$286, 3, FALSE)</f>
        <v>#N/A</v>
      </c>
    </row>
    <row r="398" ht="22.5" customHeight="1">
      <c r="A398" s="5" t="s">
        <v>523</v>
      </c>
      <c r="B398" s="21" t="s">
        <v>43</v>
      </c>
      <c r="C398" s="6" t="str">
        <f t="shared" si="1"/>
        <v>Gorakh Kalyan_6</v>
      </c>
      <c r="D398" s="12" t="s">
        <v>531</v>
      </c>
      <c r="E398" s="2" t="s">
        <v>25</v>
      </c>
      <c r="F398" s="2" t="s">
        <v>52</v>
      </c>
      <c r="H398" s="6" t="str">
        <f>VLOOKUP(F398, ArtistCount!$A$1:$C$286, 3, FALSE)</f>
        <v>#N/A</v>
      </c>
    </row>
    <row r="399" ht="22.5" customHeight="1">
      <c r="A399" s="5" t="s">
        <v>523</v>
      </c>
      <c r="B399" s="2" t="s">
        <v>28</v>
      </c>
      <c r="C399" s="6" t="str">
        <f t="shared" si="1"/>
        <v>Gorakh Kalyan_7</v>
      </c>
      <c r="D399" s="12" t="s">
        <v>532</v>
      </c>
      <c r="E399" s="2" t="s">
        <v>236</v>
      </c>
      <c r="F399" s="2" t="s">
        <v>533</v>
      </c>
      <c r="H399" s="6" t="str">
        <f>VLOOKUP(F399, ArtistCount!$A$1:$C$286, 3, FALSE)</f>
        <v>#N/A</v>
      </c>
    </row>
    <row r="400" ht="22.5" customHeight="1">
      <c r="A400" s="5" t="s">
        <v>523</v>
      </c>
      <c r="B400" s="2" t="s">
        <v>62</v>
      </c>
      <c r="C400" s="6" t="str">
        <f t="shared" si="1"/>
        <v>Gorakh Kalyan_8</v>
      </c>
      <c r="D400" s="12" t="s">
        <v>534</v>
      </c>
      <c r="E400" s="2" t="s">
        <v>25</v>
      </c>
      <c r="F400" s="2" t="s">
        <v>153</v>
      </c>
      <c r="H400" s="2" t="str">
        <f>VLOOKUP(F400, ArtistCount!$A$1:$C$286, 3, FALSE)</f>
        <v>#N/A</v>
      </c>
      <c r="I400" s="2" t="s">
        <v>154</v>
      </c>
    </row>
    <row r="401" ht="22.5" customHeight="1">
      <c r="A401" s="5" t="s">
        <v>523</v>
      </c>
      <c r="B401" s="2" t="s">
        <v>38</v>
      </c>
      <c r="C401" s="6" t="str">
        <f t="shared" si="1"/>
        <v>Gorakh Kalyan_9</v>
      </c>
      <c r="D401" s="12" t="s">
        <v>535</v>
      </c>
      <c r="E401" s="2" t="s">
        <v>25</v>
      </c>
      <c r="F401" s="2" t="s">
        <v>64</v>
      </c>
      <c r="H401" s="6" t="str">
        <f>VLOOKUP(F401, ArtistCount!$A$1:$C$286, 3, FALSE)</f>
        <v>#N/A</v>
      </c>
    </row>
    <row r="402" ht="22.5" customHeight="1">
      <c r="A402" s="5" t="s">
        <v>536</v>
      </c>
      <c r="B402" s="2" t="s">
        <v>29</v>
      </c>
      <c r="C402" s="6" t="str">
        <f t="shared" si="1"/>
        <v>Gunakri_1</v>
      </c>
      <c r="D402" s="12" t="s">
        <v>537</v>
      </c>
      <c r="E402" s="2" t="s">
        <v>25</v>
      </c>
      <c r="F402" s="2" t="s">
        <v>538</v>
      </c>
      <c r="H402" s="6" t="str">
        <f>VLOOKUP(F402, ArtistCount!$A$1:$C$286, 3, FALSE)</f>
        <v>#N/A</v>
      </c>
    </row>
    <row r="403" ht="22.5" customHeight="1">
      <c r="A403" s="5" t="s">
        <v>536</v>
      </c>
      <c r="B403" s="2" t="s">
        <v>29</v>
      </c>
      <c r="C403" s="6" t="str">
        <f t="shared" si="1"/>
        <v>Gunakri_2</v>
      </c>
      <c r="D403" s="12" t="s">
        <v>539</v>
      </c>
      <c r="E403" s="2" t="s">
        <v>25</v>
      </c>
      <c r="F403" s="2" t="s">
        <v>540</v>
      </c>
      <c r="H403" s="6" t="str">
        <f>VLOOKUP(F403, ArtistCount!$A$1:$C$286, 3, FALSE)</f>
        <v>#N/A</v>
      </c>
    </row>
    <row r="404" ht="22.5" customHeight="1">
      <c r="A404" s="5" t="s">
        <v>536</v>
      </c>
      <c r="B404" s="2" t="s">
        <v>24</v>
      </c>
      <c r="C404" s="6" t="str">
        <f t="shared" si="1"/>
        <v>Gunakri_3</v>
      </c>
      <c r="D404" s="12" t="s">
        <v>541</v>
      </c>
      <c r="E404" s="2" t="s">
        <v>25</v>
      </c>
      <c r="F404" s="2" t="s">
        <v>542</v>
      </c>
      <c r="H404" s="6" t="str">
        <f>VLOOKUP(F404, ArtistCount!$A$1:$C$286, 3, FALSE)</f>
        <v>#N/A</v>
      </c>
    </row>
    <row r="405" ht="22.5" customHeight="1">
      <c r="A405" s="5" t="s">
        <v>536</v>
      </c>
      <c r="B405" s="2" t="s">
        <v>29</v>
      </c>
      <c r="C405" s="6" t="str">
        <f t="shared" si="1"/>
        <v>Gunakri_4</v>
      </c>
      <c r="D405" s="12" t="s">
        <v>543</v>
      </c>
      <c r="E405" s="2" t="s">
        <v>25</v>
      </c>
      <c r="F405" s="2" t="s">
        <v>540</v>
      </c>
      <c r="H405" s="6" t="str">
        <f>VLOOKUP(F405, ArtistCount!$A$1:$C$286, 3, FALSE)</f>
        <v>#N/A</v>
      </c>
    </row>
    <row r="406" ht="22.5" customHeight="1">
      <c r="A406" s="5" t="s">
        <v>536</v>
      </c>
      <c r="B406" s="2" t="s">
        <v>32</v>
      </c>
      <c r="C406" s="6" t="str">
        <f t="shared" si="1"/>
        <v>Gunakri_5</v>
      </c>
      <c r="D406" s="12" t="s">
        <v>544</v>
      </c>
      <c r="E406" s="2" t="s">
        <v>25</v>
      </c>
      <c r="F406" s="2" t="s">
        <v>545</v>
      </c>
      <c r="H406" s="6" t="str">
        <f>VLOOKUP(F406, ArtistCount!$A$1:$C$286, 3, FALSE)</f>
        <v>#N/A</v>
      </c>
    </row>
    <row r="407" ht="22.5" customHeight="1">
      <c r="A407" s="5" t="s">
        <v>536</v>
      </c>
      <c r="B407" s="2" t="s">
        <v>29</v>
      </c>
      <c r="C407" s="6" t="str">
        <f t="shared" si="1"/>
        <v>Gunakri_6</v>
      </c>
      <c r="D407" s="12" t="s">
        <v>546</v>
      </c>
      <c r="E407" s="2" t="s">
        <v>25</v>
      </c>
      <c r="F407" s="2" t="s">
        <v>547</v>
      </c>
      <c r="H407" s="6" t="str">
        <f>VLOOKUP(F407, ArtistCount!$A$1:$C$286, 3, FALSE)</f>
        <v>#N/A</v>
      </c>
    </row>
    <row r="408" ht="22.5" customHeight="1">
      <c r="A408" s="5" t="s">
        <v>536</v>
      </c>
      <c r="B408" s="2" t="s">
        <v>29</v>
      </c>
      <c r="C408" s="6" t="str">
        <f t="shared" si="1"/>
        <v>Gunakri_7</v>
      </c>
      <c r="D408" s="12" t="s">
        <v>548</v>
      </c>
      <c r="E408" s="2" t="s">
        <v>25</v>
      </c>
      <c r="F408" s="2" t="s">
        <v>549</v>
      </c>
      <c r="H408" s="6" t="str">
        <f>VLOOKUP(F408, ArtistCount!$A$1:$C$286, 3, FALSE)</f>
        <v>#N/A</v>
      </c>
    </row>
    <row r="409" ht="22.5" customHeight="1">
      <c r="A409" s="5" t="s">
        <v>536</v>
      </c>
      <c r="B409" s="2" t="s">
        <v>62</v>
      </c>
      <c r="C409" s="6" t="str">
        <f t="shared" si="1"/>
        <v>Gunakri_8</v>
      </c>
      <c r="D409" s="12" t="s">
        <v>550</v>
      </c>
      <c r="E409" s="2" t="s">
        <v>25</v>
      </c>
      <c r="F409" s="2" t="s">
        <v>551</v>
      </c>
      <c r="H409" s="6" t="str">
        <f>VLOOKUP(F409, ArtistCount!$A$1:$C$286, 3, FALSE)</f>
        <v>#N/A</v>
      </c>
    </row>
    <row r="410" ht="22.5" customHeight="1">
      <c r="A410" s="5" t="s">
        <v>536</v>
      </c>
      <c r="B410" s="2" t="s">
        <v>24</v>
      </c>
      <c r="C410" s="2" t="str">
        <f t="shared" si="1"/>
        <v>Gunakri_9</v>
      </c>
      <c r="D410" s="12" t="s">
        <v>552</v>
      </c>
      <c r="E410" s="2" t="s">
        <v>25</v>
      </c>
      <c r="F410" s="2" t="s">
        <v>37</v>
      </c>
      <c r="H410" s="6" t="str">
        <f>VLOOKUP(F410, ArtistCount!$A$1:$C$286, 3, FALSE)</f>
        <v>#N/A</v>
      </c>
      <c r="L410" s="2" t="s">
        <v>447</v>
      </c>
    </row>
    <row r="411" ht="22.5" customHeight="1">
      <c r="A411" s="5" t="s">
        <v>536</v>
      </c>
      <c r="B411" s="2" t="s">
        <v>24</v>
      </c>
      <c r="C411" s="6" t="str">
        <f t="shared" si="1"/>
        <v>Gunakri_10</v>
      </c>
      <c r="D411" s="12" t="s">
        <v>553</v>
      </c>
      <c r="E411" s="2" t="s">
        <v>25</v>
      </c>
      <c r="F411" s="2" t="s">
        <v>233</v>
      </c>
      <c r="H411" s="6" t="str">
        <f>VLOOKUP(F411, ArtistCount!$A$1:$C$286, 3, FALSE)</f>
        <v>#N/A</v>
      </c>
    </row>
    <row r="412" ht="22.5" customHeight="1">
      <c r="A412" s="5" t="s">
        <v>554</v>
      </c>
      <c r="B412" s="2" t="s">
        <v>24</v>
      </c>
      <c r="C412" s="6" t="str">
        <f t="shared" si="1"/>
        <v>Gurjari Todi_1</v>
      </c>
      <c r="D412" s="12" t="s">
        <v>555</v>
      </c>
      <c r="E412" s="2" t="s">
        <v>25</v>
      </c>
      <c r="F412" s="8" t="s">
        <v>56</v>
      </c>
      <c r="H412" s="6" t="str">
        <f>VLOOKUP(F412, ArtistCount!$A$1:$C$286, 3, FALSE)</f>
        <v>#N/A</v>
      </c>
    </row>
    <row r="413" ht="22.5" customHeight="1">
      <c r="A413" s="5" t="s">
        <v>554</v>
      </c>
      <c r="B413" s="2" t="s">
        <v>24</v>
      </c>
      <c r="C413" s="6" t="str">
        <f t="shared" si="1"/>
        <v>Gurjari Todi_2</v>
      </c>
      <c r="D413" s="12" t="s">
        <v>556</v>
      </c>
      <c r="E413" s="2" t="s">
        <v>25</v>
      </c>
      <c r="F413" s="2" t="s">
        <v>26</v>
      </c>
      <c r="H413" s="6" t="str">
        <f>VLOOKUP(F413, ArtistCount!$A$1:$C$286, 3, FALSE)</f>
        <v>#N/A</v>
      </c>
    </row>
    <row r="414" ht="22.5" customHeight="1">
      <c r="A414" s="5" t="s">
        <v>554</v>
      </c>
      <c r="B414" s="2" t="s">
        <v>38</v>
      </c>
      <c r="C414" s="6" t="str">
        <f t="shared" si="1"/>
        <v>Gurjari Todi_3</v>
      </c>
      <c r="D414" s="12" t="s">
        <v>557</v>
      </c>
      <c r="E414" s="2" t="s">
        <v>25</v>
      </c>
      <c r="F414" s="2" t="s">
        <v>558</v>
      </c>
      <c r="H414" s="6" t="str">
        <f>VLOOKUP(F414, ArtistCount!$A$1:$C$286, 3, FALSE)</f>
        <v>#N/A</v>
      </c>
    </row>
    <row r="415" ht="22.5" customHeight="1">
      <c r="A415" s="5" t="s">
        <v>554</v>
      </c>
      <c r="B415" s="2" t="s">
        <v>38</v>
      </c>
      <c r="C415" s="6" t="str">
        <f t="shared" si="1"/>
        <v>Gurjari Todi_4</v>
      </c>
      <c r="D415" s="12" t="s">
        <v>559</v>
      </c>
      <c r="E415" s="2" t="s">
        <v>25</v>
      </c>
      <c r="F415" s="2" t="s">
        <v>75</v>
      </c>
      <c r="H415" s="6" t="str">
        <f>VLOOKUP(F415, ArtistCount!$A$1:$C$286, 3, FALSE)</f>
        <v>#N/A</v>
      </c>
    </row>
    <row r="416" ht="22.5" customHeight="1">
      <c r="A416" s="5" t="s">
        <v>554</v>
      </c>
      <c r="B416" s="2" t="s">
        <v>38</v>
      </c>
      <c r="C416" s="6" t="str">
        <f t="shared" si="1"/>
        <v>Gurjari Todi_5</v>
      </c>
      <c r="D416" s="12" t="s">
        <v>560</v>
      </c>
      <c r="E416" s="2" t="s">
        <v>25</v>
      </c>
      <c r="F416" s="2" t="s">
        <v>153</v>
      </c>
      <c r="H416" s="2" t="str">
        <f>VLOOKUP(F416, ArtistCount!$A$1:$C$286, 3, FALSE)</f>
        <v>#N/A</v>
      </c>
      <c r="I416" s="2" t="s">
        <v>154</v>
      </c>
    </row>
    <row r="417" ht="22.5" customHeight="1">
      <c r="A417" s="5" t="s">
        <v>554</v>
      </c>
      <c r="B417" s="2" t="s">
        <v>43</v>
      </c>
      <c r="C417" s="6" t="str">
        <f t="shared" si="1"/>
        <v>Gurjari Todi_6</v>
      </c>
      <c r="D417" s="12" t="s">
        <v>561</v>
      </c>
      <c r="E417" s="2" t="s">
        <v>25</v>
      </c>
      <c r="F417" s="2" t="s">
        <v>94</v>
      </c>
      <c r="H417" s="6" t="str">
        <f>VLOOKUP(F417, ArtistCount!$A$1:$C$286, 3, FALSE)</f>
        <v>#N/A</v>
      </c>
    </row>
    <row r="418" ht="22.5" customHeight="1">
      <c r="A418" s="5" t="s">
        <v>554</v>
      </c>
      <c r="B418" s="2" t="s">
        <v>24</v>
      </c>
      <c r="C418" s="6" t="str">
        <f t="shared" si="1"/>
        <v>Gurjari Todi_7</v>
      </c>
      <c r="D418" s="12" t="s">
        <v>562</v>
      </c>
      <c r="E418" s="2" t="s">
        <v>25</v>
      </c>
      <c r="F418" s="2" t="s">
        <v>563</v>
      </c>
      <c r="H418" s="6" t="str">
        <f>VLOOKUP(F418, ArtistCount!$A$1:$C$286, 3, FALSE)</f>
        <v>#N/A</v>
      </c>
    </row>
    <row r="419" ht="22.5" customHeight="1">
      <c r="A419" s="5" t="s">
        <v>554</v>
      </c>
      <c r="B419" s="16" t="s">
        <v>32</v>
      </c>
      <c r="C419" s="6" t="str">
        <f t="shared" si="1"/>
        <v>Gurjari Todi_8</v>
      </c>
      <c r="D419" s="12" t="s">
        <v>564</v>
      </c>
      <c r="E419" s="2" t="s">
        <v>565</v>
      </c>
      <c r="F419" s="2" t="s">
        <v>178</v>
      </c>
      <c r="H419" s="6" t="str">
        <f>VLOOKUP(F419, ArtistCount!$A$1:$C$286, 3, FALSE)</f>
        <v>#N/A</v>
      </c>
    </row>
    <row r="420" ht="22.5" customHeight="1">
      <c r="A420" s="5" t="s">
        <v>554</v>
      </c>
      <c r="B420" s="2" t="s">
        <v>43</v>
      </c>
      <c r="C420" s="6" t="str">
        <f t="shared" si="1"/>
        <v>Gurjari Todi_9</v>
      </c>
      <c r="D420" s="12" t="s">
        <v>566</v>
      </c>
      <c r="E420" s="2" t="s">
        <v>25</v>
      </c>
      <c r="F420" s="2" t="s">
        <v>94</v>
      </c>
      <c r="H420" s="6" t="str">
        <f>VLOOKUP(F420, ArtistCount!$A$1:$C$286, 3, FALSE)</f>
        <v>#N/A</v>
      </c>
    </row>
    <row r="421" ht="22.5" customHeight="1">
      <c r="A421" s="5" t="s">
        <v>567</v>
      </c>
      <c r="B421" s="2" t="s">
        <v>24</v>
      </c>
      <c r="C421" s="6" t="str">
        <f t="shared" si="1"/>
        <v>Hameer_1</v>
      </c>
      <c r="D421" s="12" t="s">
        <v>568</v>
      </c>
      <c r="E421" s="2" t="s">
        <v>25</v>
      </c>
      <c r="F421" s="2" t="s">
        <v>460</v>
      </c>
      <c r="H421" s="6" t="str">
        <f>VLOOKUP(F421, ArtistCount!$A$1:$C$286, 3, FALSE)</f>
        <v>#N/A</v>
      </c>
    </row>
    <row r="422" ht="22.5" customHeight="1">
      <c r="A422" s="5" t="s">
        <v>567</v>
      </c>
      <c r="B422" s="2" t="s">
        <v>32</v>
      </c>
      <c r="C422" s="6" t="str">
        <f t="shared" si="1"/>
        <v>Hameer_2</v>
      </c>
      <c r="D422" s="12" t="s">
        <v>569</v>
      </c>
      <c r="E422" s="2" t="s">
        <v>25</v>
      </c>
      <c r="F422" s="2" t="s">
        <v>34</v>
      </c>
      <c r="H422" s="6" t="str">
        <f>VLOOKUP(F422, ArtistCount!$A$1:$C$286, 3, FALSE)</f>
        <v>#N/A</v>
      </c>
    </row>
    <row r="423" ht="22.5" customHeight="1">
      <c r="A423" s="5" t="s">
        <v>567</v>
      </c>
      <c r="B423" s="2" t="s">
        <v>43</v>
      </c>
      <c r="C423" s="6" t="str">
        <f t="shared" si="1"/>
        <v>Hameer_3</v>
      </c>
      <c r="D423" s="12" t="s">
        <v>570</v>
      </c>
      <c r="E423" s="2" t="s">
        <v>25</v>
      </c>
      <c r="F423" s="2" t="s">
        <v>52</v>
      </c>
      <c r="H423" s="6" t="str">
        <f>VLOOKUP(F423, ArtistCount!$A$1:$C$286, 3, FALSE)</f>
        <v>#N/A</v>
      </c>
    </row>
    <row r="424" ht="22.5" customHeight="1">
      <c r="A424" s="5" t="s">
        <v>567</v>
      </c>
      <c r="B424" s="2" t="s">
        <v>24</v>
      </c>
      <c r="C424" s="6" t="str">
        <f t="shared" si="1"/>
        <v>Hameer_4</v>
      </c>
      <c r="D424" s="12" t="s">
        <v>571</v>
      </c>
      <c r="E424" s="2" t="s">
        <v>25</v>
      </c>
      <c r="F424" s="2" t="s">
        <v>301</v>
      </c>
      <c r="H424" s="6" t="str">
        <f>VLOOKUP(F424, ArtistCount!$A$1:$C$286, 3, FALSE)</f>
        <v>#N/A</v>
      </c>
    </row>
    <row r="425" ht="22.5" customHeight="1">
      <c r="A425" s="5" t="s">
        <v>567</v>
      </c>
      <c r="B425" s="2" t="s">
        <v>24</v>
      </c>
      <c r="C425" s="6" t="str">
        <f t="shared" si="1"/>
        <v>Hameer_5</v>
      </c>
      <c r="D425" s="12" t="s">
        <v>572</v>
      </c>
      <c r="E425" s="2" t="s">
        <v>25</v>
      </c>
      <c r="F425" s="2" t="s">
        <v>573</v>
      </c>
      <c r="H425" s="6" t="str">
        <f>VLOOKUP(F425, ArtistCount!$A$1:$C$286, 3, FALSE)</f>
        <v>#N/A</v>
      </c>
    </row>
    <row r="426" ht="22.5" customHeight="1">
      <c r="A426" s="5" t="s">
        <v>567</v>
      </c>
      <c r="B426" s="2" t="s">
        <v>127</v>
      </c>
      <c r="C426" s="6" t="str">
        <f t="shared" si="1"/>
        <v>Hameer_6</v>
      </c>
      <c r="D426" s="12" t="s">
        <v>574</v>
      </c>
      <c r="E426" s="2" t="s">
        <v>25</v>
      </c>
      <c r="F426" s="8" t="s">
        <v>575</v>
      </c>
      <c r="H426" s="6" t="str">
        <f>VLOOKUP(F426, ArtistCount!$A$1:$C$286, 3, FALSE)</f>
        <v>#N/A</v>
      </c>
    </row>
    <row r="427" ht="22.5" customHeight="1">
      <c r="A427" s="5" t="s">
        <v>567</v>
      </c>
      <c r="B427" s="2" t="s">
        <v>32</v>
      </c>
      <c r="C427" s="6" t="str">
        <f t="shared" si="1"/>
        <v>Hameer_7</v>
      </c>
      <c r="D427" s="12" t="s">
        <v>576</v>
      </c>
      <c r="E427" s="2" t="s">
        <v>25</v>
      </c>
      <c r="F427" s="2" t="s">
        <v>577</v>
      </c>
      <c r="H427" s="6" t="str">
        <f>VLOOKUP(F427, ArtistCount!$A$1:$C$286, 3, FALSE)</f>
        <v>#N/A</v>
      </c>
    </row>
    <row r="428" ht="22.5" customHeight="1">
      <c r="A428" s="5" t="s">
        <v>567</v>
      </c>
      <c r="B428" s="2" t="s">
        <v>32</v>
      </c>
      <c r="C428" s="6" t="str">
        <f t="shared" si="1"/>
        <v>Hameer_8</v>
      </c>
      <c r="D428" s="12" t="s">
        <v>578</v>
      </c>
      <c r="E428" s="2" t="s">
        <v>25</v>
      </c>
      <c r="F428" s="2" t="s">
        <v>579</v>
      </c>
      <c r="H428" s="6" t="str">
        <f>VLOOKUP(F428, ArtistCount!$A$1:$C$286, 3, FALSE)</f>
        <v>#N/A</v>
      </c>
    </row>
    <row r="429" ht="22.5" customHeight="1">
      <c r="A429" s="5" t="s">
        <v>567</v>
      </c>
      <c r="B429" s="2" t="s">
        <v>43</v>
      </c>
      <c r="C429" s="6" t="str">
        <f t="shared" si="1"/>
        <v>Hameer_9</v>
      </c>
      <c r="D429" s="12" t="s">
        <v>580</v>
      </c>
      <c r="E429" s="2" t="s">
        <v>25</v>
      </c>
      <c r="F429" s="2" t="s">
        <v>83</v>
      </c>
      <c r="H429" s="6" t="str">
        <f>VLOOKUP(F429, ArtistCount!$A$1:$C$286, 3, FALSE)</f>
        <v>#N/A</v>
      </c>
    </row>
    <row r="430" ht="22.5" customHeight="1">
      <c r="A430" s="5" t="s">
        <v>567</v>
      </c>
      <c r="B430" s="2" t="s">
        <v>24</v>
      </c>
      <c r="C430" s="6" t="str">
        <f t="shared" si="1"/>
        <v>Hameer_10</v>
      </c>
      <c r="D430" s="15" t="s">
        <v>581</v>
      </c>
      <c r="E430" s="2" t="s">
        <v>25</v>
      </c>
      <c r="F430" s="2" t="s">
        <v>37</v>
      </c>
      <c r="H430" s="6" t="str">
        <f>VLOOKUP(F430, ArtistCount!$A$1:$C$286, 3, FALSE)</f>
        <v>#N/A</v>
      </c>
    </row>
    <row r="431" ht="22.5" customHeight="1">
      <c r="A431" s="5" t="s">
        <v>582</v>
      </c>
      <c r="B431" s="16" t="s">
        <v>32</v>
      </c>
      <c r="C431" s="6" t="str">
        <f t="shared" si="1"/>
        <v>Hansadhwani_1</v>
      </c>
      <c r="D431" s="7"/>
      <c r="E431" s="8" t="s">
        <v>25</v>
      </c>
      <c r="F431" s="8" t="s">
        <v>69</v>
      </c>
      <c r="H431" s="2" t="str">
        <f>VLOOKUP(F431, ArtistCount!$A$1:$C$286, 3, FALSE)</f>
        <v>#N/A</v>
      </c>
      <c r="I431" s="2" t="s">
        <v>27</v>
      </c>
    </row>
    <row r="432" ht="22.5" customHeight="1">
      <c r="A432" s="5" t="s">
        <v>582</v>
      </c>
      <c r="B432" s="2" t="s">
        <v>38</v>
      </c>
      <c r="C432" s="6" t="str">
        <f t="shared" si="1"/>
        <v>Hansadhwani_2</v>
      </c>
      <c r="D432" s="7"/>
      <c r="E432" s="8" t="s">
        <v>25</v>
      </c>
      <c r="F432" s="8" t="s">
        <v>64</v>
      </c>
      <c r="H432" s="2" t="str">
        <f>VLOOKUP(F432, ArtistCount!$A$1:$C$286, 3, FALSE)</f>
        <v>#N/A</v>
      </c>
      <c r="I432" s="2" t="s">
        <v>27</v>
      </c>
    </row>
    <row r="433" ht="22.5" customHeight="1">
      <c r="A433" s="5" t="s">
        <v>582</v>
      </c>
      <c r="B433" s="2" t="s">
        <v>29</v>
      </c>
      <c r="C433" s="6" t="str">
        <f t="shared" si="1"/>
        <v>Hansadhwani_3</v>
      </c>
      <c r="D433" s="7"/>
      <c r="E433" s="8" t="s">
        <v>25</v>
      </c>
      <c r="F433" s="8" t="s">
        <v>64</v>
      </c>
      <c r="H433" s="2" t="str">
        <f>VLOOKUP(F433, ArtistCount!$A$1:$C$286, 3, FALSE)</f>
        <v>#N/A</v>
      </c>
      <c r="I433" s="2" t="s">
        <v>27</v>
      </c>
    </row>
    <row r="434" ht="22.5" customHeight="1">
      <c r="A434" s="5" t="s">
        <v>582</v>
      </c>
      <c r="B434" s="2" t="s">
        <v>29</v>
      </c>
      <c r="C434" s="6" t="str">
        <f t="shared" si="1"/>
        <v>Hansadhwani_4</v>
      </c>
      <c r="D434" s="7"/>
      <c r="E434" s="8" t="s">
        <v>25</v>
      </c>
      <c r="F434" s="8" t="s">
        <v>64</v>
      </c>
      <c r="H434" s="2" t="str">
        <f>VLOOKUP(F434, ArtistCount!$A$1:$C$286, 3, FALSE)</f>
        <v>#N/A</v>
      </c>
      <c r="I434" s="2" t="s">
        <v>27</v>
      </c>
    </row>
    <row r="435" ht="22.5" customHeight="1">
      <c r="A435" s="5" t="s">
        <v>582</v>
      </c>
      <c r="B435" s="2" t="s">
        <v>32</v>
      </c>
      <c r="C435" s="6" t="str">
        <f t="shared" si="1"/>
        <v>Hansadhwani_5</v>
      </c>
      <c r="D435" s="7"/>
      <c r="E435" s="8" t="s">
        <v>25</v>
      </c>
      <c r="F435" s="8" t="s">
        <v>56</v>
      </c>
      <c r="H435" s="2" t="str">
        <f>VLOOKUP(F435, ArtistCount!$A$1:$C$286, 3, FALSE)</f>
        <v>#N/A</v>
      </c>
      <c r="I435" s="2" t="s">
        <v>27</v>
      </c>
    </row>
    <row r="436" ht="22.5" customHeight="1">
      <c r="A436" s="5" t="s">
        <v>582</v>
      </c>
      <c r="B436" s="2" t="s">
        <v>43</v>
      </c>
      <c r="C436" s="6" t="str">
        <f t="shared" si="1"/>
        <v>Hansadhwani_6</v>
      </c>
      <c r="D436" s="7"/>
      <c r="E436" s="8" t="s">
        <v>25</v>
      </c>
      <c r="F436" s="8" t="s">
        <v>94</v>
      </c>
      <c r="H436" s="2" t="str">
        <f>VLOOKUP(F436, ArtistCount!$A$1:$C$286, 3, FALSE)</f>
        <v>#N/A</v>
      </c>
      <c r="I436" s="2" t="s">
        <v>27</v>
      </c>
    </row>
    <row r="437" ht="22.5" customHeight="1">
      <c r="A437" s="5" t="s">
        <v>582</v>
      </c>
      <c r="B437" s="2" t="s">
        <v>43</v>
      </c>
      <c r="C437" s="6" t="str">
        <f t="shared" si="1"/>
        <v>Hansadhwani_7</v>
      </c>
      <c r="D437" s="7"/>
      <c r="E437" s="8" t="s">
        <v>25</v>
      </c>
      <c r="F437" s="8" t="s">
        <v>94</v>
      </c>
      <c r="H437" s="2" t="str">
        <f>VLOOKUP(F437, ArtistCount!$A$1:$C$286, 3, FALSE)</f>
        <v>#N/A</v>
      </c>
      <c r="I437" s="2" t="s">
        <v>27</v>
      </c>
    </row>
    <row r="438" ht="22.5" customHeight="1">
      <c r="A438" s="5" t="s">
        <v>582</v>
      </c>
      <c r="B438" s="2" t="s">
        <v>43</v>
      </c>
      <c r="C438" s="6" t="str">
        <f t="shared" si="1"/>
        <v>Hansadhwani_8</v>
      </c>
      <c r="D438" s="7"/>
      <c r="E438" s="8" t="s">
        <v>25</v>
      </c>
      <c r="F438" s="8" t="s">
        <v>94</v>
      </c>
      <c r="H438" s="2" t="str">
        <f>VLOOKUP(F438, ArtistCount!$A$1:$C$286, 3, FALSE)</f>
        <v>#N/A</v>
      </c>
      <c r="I438" s="2" t="s">
        <v>27</v>
      </c>
    </row>
    <row r="439" ht="22.5" customHeight="1">
      <c r="A439" s="5" t="s">
        <v>582</v>
      </c>
      <c r="B439" s="2" t="s">
        <v>43</v>
      </c>
      <c r="C439" s="6" t="str">
        <f t="shared" si="1"/>
        <v>Hansadhwani_9</v>
      </c>
      <c r="D439" s="7"/>
      <c r="E439" s="8" t="s">
        <v>25</v>
      </c>
      <c r="F439" s="8" t="s">
        <v>94</v>
      </c>
      <c r="H439" s="2" t="str">
        <f>VLOOKUP(F439, ArtistCount!$A$1:$C$286, 3, FALSE)</f>
        <v>#N/A</v>
      </c>
      <c r="I439" s="2" t="s">
        <v>27</v>
      </c>
    </row>
    <row r="440" ht="22.5" customHeight="1">
      <c r="A440" s="5" t="s">
        <v>582</v>
      </c>
      <c r="B440" s="2" t="s">
        <v>43</v>
      </c>
      <c r="C440" s="6" t="str">
        <f t="shared" si="1"/>
        <v>Hansadhwani_10</v>
      </c>
      <c r="D440" s="7"/>
      <c r="E440" s="8" t="s">
        <v>25</v>
      </c>
      <c r="F440" s="8" t="s">
        <v>583</v>
      </c>
      <c r="H440" s="2" t="str">
        <f>VLOOKUP(F440, ArtistCount!$A$1:$C$286, 3, FALSE)</f>
        <v>#N/A</v>
      </c>
      <c r="I440" s="2" t="s">
        <v>27</v>
      </c>
    </row>
    <row r="441" ht="22.5" customHeight="1">
      <c r="A441" s="5" t="s">
        <v>584</v>
      </c>
      <c r="B441" s="2" t="s">
        <v>32</v>
      </c>
      <c r="C441" s="6" t="str">
        <f t="shared" si="1"/>
        <v>Hanskinki_1</v>
      </c>
      <c r="D441" s="12" t="s">
        <v>585</v>
      </c>
      <c r="E441" s="2" t="s">
        <v>25</v>
      </c>
      <c r="F441" s="2" t="s">
        <v>586</v>
      </c>
      <c r="H441" s="6" t="str">
        <f>VLOOKUP(F441, ArtistCount!$A$1:$C$286, 3, FALSE)</f>
        <v>#N/A</v>
      </c>
    </row>
    <row r="442" ht="22.5" customHeight="1">
      <c r="A442" s="5" t="s">
        <v>584</v>
      </c>
      <c r="B442" s="2" t="s">
        <v>38</v>
      </c>
      <c r="C442" s="6" t="str">
        <f t="shared" si="1"/>
        <v>Hanskinki_2</v>
      </c>
      <c r="D442" s="12" t="s">
        <v>587</v>
      </c>
      <c r="E442" s="2" t="s">
        <v>25</v>
      </c>
      <c r="F442" s="2" t="s">
        <v>75</v>
      </c>
      <c r="H442" s="6" t="str">
        <f>VLOOKUP(F442, ArtistCount!$A$1:$C$286, 3, FALSE)</f>
        <v>#N/A</v>
      </c>
    </row>
    <row r="443" ht="22.5" customHeight="1">
      <c r="A443" s="5" t="s">
        <v>584</v>
      </c>
      <c r="B443" s="2" t="s">
        <v>89</v>
      </c>
      <c r="C443" s="6" t="str">
        <f t="shared" si="1"/>
        <v>Hanskinki_3</v>
      </c>
      <c r="D443" s="12" t="s">
        <v>588</v>
      </c>
      <c r="E443" s="2" t="s">
        <v>25</v>
      </c>
      <c r="F443" s="2" t="s">
        <v>248</v>
      </c>
      <c r="H443" s="6" t="str">
        <f>VLOOKUP(F443, ArtistCount!$A$1:$C$286, 3, FALSE)</f>
        <v>#N/A</v>
      </c>
    </row>
    <row r="444" ht="22.5" customHeight="1">
      <c r="A444" s="5" t="s">
        <v>584</v>
      </c>
      <c r="B444" s="2" t="s">
        <v>32</v>
      </c>
      <c r="C444" s="6" t="str">
        <f t="shared" si="1"/>
        <v>Hanskinki_4</v>
      </c>
      <c r="D444" s="12" t="s">
        <v>589</v>
      </c>
      <c r="E444" s="2" t="s">
        <v>25</v>
      </c>
      <c r="F444" s="2" t="s">
        <v>301</v>
      </c>
      <c r="H444" s="6" t="str">
        <f>VLOOKUP(F444, ArtistCount!$A$1:$C$286, 3, FALSE)</f>
        <v>#N/A</v>
      </c>
    </row>
    <row r="445" ht="22.5" customHeight="1">
      <c r="A445" s="5" t="s">
        <v>584</v>
      </c>
      <c r="B445" s="2" t="s">
        <v>62</v>
      </c>
      <c r="C445" s="6" t="str">
        <f t="shared" si="1"/>
        <v>Hanskinki_5</v>
      </c>
      <c r="D445" s="12" t="s">
        <v>590</v>
      </c>
      <c r="E445" s="2" t="s">
        <v>25</v>
      </c>
      <c r="F445" s="2" t="s">
        <v>153</v>
      </c>
      <c r="H445" s="2" t="str">
        <f>VLOOKUP(F445, ArtistCount!$A$1:$C$286, 3, FALSE)</f>
        <v>#N/A</v>
      </c>
      <c r="I445" s="2" t="s">
        <v>154</v>
      </c>
    </row>
    <row r="446" ht="22.5" customHeight="1">
      <c r="A446" s="5" t="s">
        <v>584</v>
      </c>
      <c r="B446" s="2" t="s">
        <v>32</v>
      </c>
      <c r="C446" s="6" t="str">
        <f t="shared" si="1"/>
        <v>Hanskinki_6</v>
      </c>
      <c r="D446" s="12" t="s">
        <v>591</v>
      </c>
      <c r="E446" s="2" t="s">
        <v>565</v>
      </c>
      <c r="F446" s="2" t="s">
        <v>178</v>
      </c>
      <c r="H446" s="6" t="str">
        <f>VLOOKUP(F446, ArtistCount!$A$1:$C$286, 3, FALSE)</f>
        <v>#N/A</v>
      </c>
    </row>
    <row r="447" ht="22.5" customHeight="1">
      <c r="A447" s="5" t="s">
        <v>584</v>
      </c>
      <c r="B447" s="2" t="s">
        <v>28</v>
      </c>
      <c r="C447" s="6" t="str">
        <f t="shared" si="1"/>
        <v>Hanskinki_7</v>
      </c>
      <c r="D447" s="12" t="s">
        <v>592</v>
      </c>
      <c r="E447" s="2" t="s">
        <v>25</v>
      </c>
      <c r="F447" s="2" t="s">
        <v>112</v>
      </c>
      <c r="H447" s="6" t="str">
        <f>VLOOKUP(F447, ArtistCount!$A$1:$C$286, 3, FALSE)</f>
        <v>#N/A</v>
      </c>
    </row>
    <row r="448" ht="22.5" customHeight="1">
      <c r="A448" s="5" t="s">
        <v>584</v>
      </c>
      <c r="B448" s="2" t="s">
        <v>36</v>
      </c>
      <c r="C448" s="6" t="str">
        <f t="shared" si="1"/>
        <v>Hanskinki_8</v>
      </c>
      <c r="D448" s="15" t="s">
        <v>593</v>
      </c>
      <c r="E448" s="2" t="s">
        <v>25</v>
      </c>
      <c r="F448" s="2" t="s">
        <v>594</v>
      </c>
      <c r="H448" s="6" t="str">
        <f>VLOOKUP(F448, ArtistCount!$A$1:$C$286, 3, FALSE)</f>
        <v>#N/A</v>
      </c>
    </row>
    <row r="449" ht="22.5" customHeight="1">
      <c r="A449" s="5" t="s">
        <v>595</v>
      </c>
      <c r="B449" s="2" t="s">
        <v>43</v>
      </c>
      <c r="C449" s="6" t="str">
        <f t="shared" si="1"/>
        <v>Hari Kauns_1</v>
      </c>
      <c r="D449" s="12" t="s">
        <v>596</v>
      </c>
      <c r="E449" s="2" t="s">
        <v>25</v>
      </c>
      <c r="F449" s="2" t="s">
        <v>69</v>
      </c>
      <c r="H449" s="6" t="str">
        <f>VLOOKUP(F449, ArtistCount!$A$1:$C$286, 3, FALSE)</f>
        <v>#N/A</v>
      </c>
    </row>
    <row r="450" ht="22.5" customHeight="1">
      <c r="A450" s="5" t="s">
        <v>595</v>
      </c>
      <c r="B450" s="2" t="s">
        <v>32</v>
      </c>
      <c r="C450" s="6" t="str">
        <f t="shared" si="1"/>
        <v>Hari Kauns_2</v>
      </c>
      <c r="D450" s="12" t="s">
        <v>597</v>
      </c>
      <c r="E450" s="2" t="s">
        <v>25</v>
      </c>
      <c r="F450" s="2" t="s">
        <v>598</v>
      </c>
      <c r="H450" s="6" t="str">
        <f>VLOOKUP(F450, ArtistCount!$A$1:$C$286, 3, FALSE)</f>
        <v>#N/A</v>
      </c>
    </row>
    <row r="451" ht="22.5" customHeight="1">
      <c r="A451" s="5" t="s">
        <v>595</v>
      </c>
      <c r="B451" s="2" t="s">
        <v>36</v>
      </c>
      <c r="C451" s="6" t="str">
        <f t="shared" si="1"/>
        <v>Hari Kauns_3</v>
      </c>
      <c r="D451" s="12" t="s">
        <v>599</v>
      </c>
      <c r="E451" s="2" t="s">
        <v>162</v>
      </c>
      <c r="F451" s="2" t="s">
        <v>271</v>
      </c>
      <c r="H451" s="6" t="str">
        <f>VLOOKUP(F451, ArtistCount!$A$1:$C$286, 3, FALSE)</f>
        <v>#N/A</v>
      </c>
    </row>
    <row r="452" ht="22.5" customHeight="1">
      <c r="A452" s="5" t="s">
        <v>595</v>
      </c>
      <c r="B452" s="2" t="s">
        <v>24</v>
      </c>
      <c r="C452" s="6" t="str">
        <f t="shared" si="1"/>
        <v>Hari Kauns_4</v>
      </c>
      <c r="D452" s="12" t="s">
        <v>600</v>
      </c>
      <c r="E452" s="2" t="s">
        <v>601</v>
      </c>
      <c r="F452" s="2" t="s">
        <v>602</v>
      </c>
      <c r="H452" s="6" t="str">
        <f>VLOOKUP(F452, ArtistCount!$A$1:$C$286, 3, FALSE)</f>
        <v>#N/A</v>
      </c>
    </row>
    <row r="453" ht="22.5" customHeight="1">
      <c r="A453" s="5" t="s">
        <v>595</v>
      </c>
      <c r="B453" s="2" t="s">
        <v>43</v>
      </c>
      <c r="C453" s="6" t="str">
        <f t="shared" si="1"/>
        <v>Hari Kauns_5</v>
      </c>
      <c r="D453" s="12" t="s">
        <v>603</v>
      </c>
      <c r="E453" s="2" t="s">
        <v>25</v>
      </c>
      <c r="F453" s="2" t="s">
        <v>604</v>
      </c>
      <c r="H453" s="6" t="str">
        <f>VLOOKUP(F453, ArtistCount!$A$1:$C$286, 3, FALSE)</f>
        <v>#N/A</v>
      </c>
    </row>
    <row r="454" ht="22.5" customHeight="1">
      <c r="A454" s="5" t="s">
        <v>595</v>
      </c>
      <c r="B454" s="2" t="s">
        <v>32</v>
      </c>
      <c r="C454" s="6" t="str">
        <f t="shared" si="1"/>
        <v>Hari Kauns_6</v>
      </c>
      <c r="D454" s="12" t="s">
        <v>605</v>
      </c>
      <c r="E454" s="2" t="s">
        <v>25</v>
      </c>
      <c r="F454" s="2" t="s">
        <v>606</v>
      </c>
      <c r="H454" s="6" t="str">
        <f>VLOOKUP(F454, ArtistCount!$A$1:$C$286, 3, FALSE)</f>
        <v>#N/A</v>
      </c>
    </row>
    <row r="455" ht="22.5" customHeight="1">
      <c r="A455" s="5" t="s">
        <v>607</v>
      </c>
      <c r="B455" s="2" t="s">
        <v>24</v>
      </c>
      <c r="C455" s="6" t="str">
        <f t="shared" si="1"/>
        <v>Hem Bihag_1</v>
      </c>
      <c r="D455" s="12" t="s">
        <v>608</v>
      </c>
      <c r="E455" s="2" t="s">
        <v>25</v>
      </c>
      <c r="F455" s="2" t="s">
        <v>515</v>
      </c>
      <c r="H455" s="6" t="str">
        <f>VLOOKUP(F455, ArtistCount!$A$1:$C$286, 3, FALSE)</f>
        <v>#N/A</v>
      </c>
    </row>
    <row r="456" ht="22.5" customHeight="1">
      <c r="A456" s="5" t="s">
        <v>607</v>
      </c>
      <c r="B456" s="2" t="s">
        <v>43</v>
      </c>
      <c r="C456" s="6" t="str">
        <f t="shared" si="1"/>
        <v>Hem Bihag_2</v>
      </c>
      <c r="D456" s="13" t="s">
        <v>609</v>
      </c>
      <c r="E456" s="2" t="s">
        <v>91</v>
      </c>
      <c r="F456" s="2" t="s">
        <v>610</v>
      </c>
      <c r="H456" s="6" t="str">
        <f>VLOOKUP(F456, ArtistCount!$A$1:$C$286, 3, FALSE)</f>
        <v>#N/A</v>
      </c>
    </row>
    <row r="457" ht="22.5" customHeight="1">
      <c r="A457" s="5" t="s">
        <v>607</v>
      </c>
      <c r="B457" s="2" t="s">
        <v>24</v>
      </c>
      <c r="C457" s="6" t="str">
        <f t="shared" si="1"/>
        <v>Hem Bihag_3</v>
      </c>
      <c r="D457" s="12" t="s">
        <v>611</v>
      </c>
      <c r="E457" s="2" t="s">
        <v>114</v>
      </c>
      <c r="F457" s="2" t="s">
        <v>612</v>
      </c>
      <c r="H457" s="6" t="str">
        <f>VLOOKUP(F457, ArtistCount!$A$1:$C$286, 3, FALSE)</f>
        <v>#N/A</v>
      </c>
    </row>
    <row r="458" ht="22.5" customHeight="1">
      <c r="A458" s="5" t="s">
        <v>607</v>
      </c>
      <c r="B458" s="2" t="s">
        <v>24</v>
      </c>
      <c r="C458" s="6" t="str">
        <f t="shared" si="1"/>
        <v>Hem Bihag_4</v>
      </c>
      <c r="D458" s="12" t="s">
        <v>613</v>
      </c>
      <c r="E458" s="2" t="s">
        <v>162</v>
      </c>
      <c r="F458" s="2" t="s">
        <v>337</v>
      </c>
      <c r="H458" s="6" t="str">
        <f>VLOOKUP(F458, ArtistCount!$A$1:$C$286, 3, FALSE)</f>
        <v>#N/A</v>
      </c>
    </row>
    <row r="459" ht="22.5" customHeight="1">
      <c r="A459" s="5" t="s">
        <v>607</v>
      </c>
      <c r="B459" s="16" t="s">
        <v>127</v>
      </c>
      <c r="C459" s="6" t="str">
        <f t="shared" si="1"/>
        <v>Hem Bihag_5</v>
      </c>
      <c r="D459" s="12" t="s">
        <v>614</v>
      </c>
      <c r="E459" s="2" t="s">
        <v>91</v>
      </c>
      <c r="F459" s="2" t="s">
        <v>92</v>
      </c>
      <c r="H459" s="6" t="str">
        <f>VLOOKUP(F459, ArtistCount!$A$1:$C$286, 3, FALSE)</f>
        <v>#N/A</v>
      </c>
    </row>
    <row r="460" ht="22.5" customHeight="1">
      <c r="A460" s="5" t="s">
        <v>615</v>
      </c>
      <c r="B460" s="2" t="s">
        <v>29</v>
      </c>
      <c r="C460" s="6" t="str">
        <f t="shared" si="1"/>
        <v>Hemant_1</v>
      </c>
      <c r="D460" s="12" t="s">
        <v>616</v>
      </c>
      <c r="E460" s="2" t="s">
        <v>25</v>
      </c>
      <c r="F460" s="2" t="s">
        <v>617</v>
      </c>
      <c r="H460" s="6" t="str">
        <f>VLOOKUP(F460, ArtistCount!$A$1:$C$286, 3, FALSE)</f>
        <v>#N/A</v>
      </c>
    </row>
    <row r="461" ht="22.5" customHeight="1">
      <c r="A461" s="5" t="s">
        <v>615</v>
      </c>
      <c r="B461" s="2" t="s">
        <v>38</v>
      </c>
      <c r="C461" s="6" t="str">
        <f t="shared" si="1"/>
        <v>Hemant_2</v>
      </c>
      <c r="D461" s="12" t="s">
        <v>618</v>
      </c>
      <c r="E461" s="2" t="s">
        <v>25</v>
      </c>
      <c r="F461" s="2" t="s">
        <v>412</v>
      </c>
      <c r="H461" s="6" t="str">
        <f>VLOOKUP(F461, ArtistCount!$A$1:$C$286, 3, FALSE)</f>
        <v>#N/A</v>
      </c>
    </row>
    <row r="462" ht="22.5" customHeight="1">
      <c r="A462" s="5" t="s">
        <v>615</v>
      </c>
      <c r="B462" s="2" t="s">
        <v>62</v>
      </c>
      <c r="C462" s="6" t="str">
        <f t="shared" si="1"/>
        <v>Hemant_3</v>
      </c>
      <c r="D462" s="12" t="s">
        <v>619</v>
      </c>
      <c r="E462" s="2" t="s">
        <v>25</v>
      </c>
      <c r="F462" s="2" t="s">
        <v>64</v>
      </c>
      <c r="H462" s="6" t="str">
        <f>VLOOKUP(F462, ArtistCount!$A$1:$C$286, 3, FALSE)</f>
        <v>#N/A</v>
      </c>
    </row>
    <row r="463" ht="22.5" customHeight="1">
      <c r="A463" s="5" t="s">
        <v>615</v>
      </c>
      <c r="B463" s="2" t="s">
        <v>38</v>
      </c>
      <c r="C463" s="6" t="str">
        <f t="shared" si="1"/>
        <v>Hemant_4</v>
      </c>
      <c r="D463" s="12" t="s">
        <v>620</v>
      </c>
      <c r="E463" s="2" t="s">
        <v>25</v>
      </c>
      <c r="F463" s="2" t="s">
        <v>134</v>
      </c>
      <c r="H463" s="6" t="str">
        <f>VLOOKUP(F463, ArtistCount!$A$1:$C$286, 3, FALSE)</f>
        <v>#N/A</v>
      </c>
    </row>
    <row r="464" ht="22.5" customHeight="1">
      <c r="A464" s="5" t="s">
        <v>615</v>
      </c>
      <c r="B464" s="2" t="s">
        <v>28</v>
      </c>
      <c r="C464" s="6" t="str">
        <f t="shared" si="1"/>
        <v>Hemant_5</v>
      </c>
      <c r="D464" s="12" t="s">
        <v>621</v>
      </c>
      <c r="E464" s="2" t="s">
        <v>91</v>
      </c>
      <c r="F464" s="2" t="s">
        <v>622</v>
      </c>
      <c r="H464" s="6" t="str">
        <f>VLOOKUP(F464, ArtistCount!$A$1:$C$286, 3, FALSE)</f>
        <v>#N/A</v>
      </c>
    </row>
    <row r="465" ht="22.5" customHeight="1">
      <c r="A465" s="5" t="s">
        <v>615</v>
      </c>
      <c r="B465" s="2" t="s">
        <v>38</v>
      </c>
      <c r="C465" s="6" t="str">
        <f t="shared" si="1"/>
        <v>Hemant_6</v>
      </c>
      <c r="D465" s="12" t="s">
        <v>623</v>
      </c>
      <c r="E465" s="2" t="s">
        <v>25</v>
      </c>
      <c r="F465" s="2" t="s">
        <v>412</v>
      </c>
      <c r="H465" s="6" t="str">
        <f>VLOOKUP(F465, ArtistCount!$A$1:$C$286, 3, FALSE)</f>
        <v>#N/A</v>
      </c>
    </row>
    <row r="466" ht="22.5" customHeight="1">
      <c r="A466" s="5" t="s">
        <v>615</v>
      </c>
      <c r="B466" s="2" t="s">
        <v>32</v>
      </c>
      <c r="C466" s="6" t="str">
        <f t="shared" si="1"/>
        <v>Hemant_7</v>
      </c>
      <c r="D466" s="13" t="s">
        <v>624</v>
      </c>
      <c r="E466" s="2" t="s">
        <v>25</v>
      </c>
      <c r="F466" s="2" t="s">
        <v>222</v>
      </c>
      <c r="H466" s="6" t="str">
        <f>VLOOKUP(F466, ArtistCount!$A$1:$C$286, 3, FALSE)</f>
        <v>#N/A</v>
      </c>
    </row>
    <row r="467" ht="22.5" customHeight="1">
      <c r="A467" s="5" t="s">
        <v>615</v>
      </c>
      <c r="B467" s="2" t="s">
        <v>38</v>
      </c>
      <c r="C467" s="6" t="str">
        <f t="shared" si="1"/>
        <v>Hemant_8</v>
      </c>
      <c r="D467" s="15" t="s">
        <v>625</v>
      </c>
      <c r="E467" s="2" t="s">
        <v>25</v>
      </c>
      <c r="F467" s="2" t="s">
        <v>157</v>
      </c>
      <c r="H467" s="6" t="str">
        <f>VLOOKUP(F467, ArtistCount!$A$1:$C$286, 3, FALSE)</f>
        <v>#N/A</v>
      </c>
    </row>
    <row r="468" ht="22.5" customHeight="1">
      <c r="A468" s="5" t="s">
        <v>615</v>
      </c>
      <c r="B468" s="2" t="s">
        <v>43</v>
      </c>
      <c r="C468" s="6" t="str">
        <f t="shared" si="1"/>
        <v>Hemant_9</v>
      </c>
      <c r="D468" s="12" t="s">
        <v>626</v>
      </c>
      <c r="E468" s="2" t="s">
        <v>25</v>
      </c>
      <c r="F468" s="2" t="s">
        <v>233</v>
      </c>
      <c r="H468" s="6" t="str">
        <f>VLOOKUP(F468, ArtistCount!$A$1:$C$286, 3, FALSE)</f>
        <v>#N/A</v>
      </c>
    </row>
    <row r="469" ht="22.5" customHeight="1">
      <c r="A469" s="5" t="s">
        <v>615</v>
      </c>
      <c r="B469" s="2" t="s">
        <v>28</v>
      </c>
      <c r="C469" s="6" t="str">
        <f t="shared" si="1"/>
        <v>Hemant_10</v>
      </c>
      <c r="D469" s="12" t="s">
        <v>627</v>
      </c>
      <c r="E469" s="2" t="s">
        <v>167</v>
      </c>
      <c r="F469" s="2" t="s">
        <v>628</v>
      </c>
      <c r="H469" s="6" t="str">
        <f>VLOOKUP(F469, ArtistCount!$A$1:$C$286, 3, FALSE)</f>
        <v>#N/A</v>
      </c>
    </row>
    <row r="470" ht="22.5" customHeight="1">
      <c r="A470" s="5" t="s">
        <v>629</v>
      </c>
      <c r="B470" s="2" t="s">
        <v>24</v>
      </c>
      <c r="C470" s="6" t="str">
        <f t="shared" si="1"/>
        <v>Hemshri_1</v>
      </c>
      <c r="D470" s="12" t="s">
        <v>630</v>
      </c>
      <c r="E470" s="2" t="s">
        <v>25</v>
      </c>
      <c r="F470" s="2" t="s">
        <v>631</v>
      </c>
      <c r="H470" s="6" t="str">
        <f>VLOOKUP(F470, ArtistCount!$A$1:$C$286, 3, FALSE)</f>
        <v>#N/A</v>
      </c>
    </row>
    <row r="471" ht="22.5" customHeight="1">
      <c r="A471" s="5" t="s">
        <v>629</v>
      </c>
      <c r="B471" s="2" t="s">
        <v>32</v>
      </c>
      <c r="C471" s="6" t="str">
        <f t="shared" si="1"/>
        <v>Hemshri_2</v>
      </c>
      <c r="D471" s="12" t="s">
        <v>632</v>
      </c>
      <c r="E471" s="2" t="s">
        <v>25</v>
      </c>
      <c r="F471" s="2" t="s">
        <v>633</v>
      </c>
      <c r="H471" s="6" t="str">
        <f>VLOOKUP(F471, ArtistCount!$A$1:$C$286, 3, FALSE)</f>
        <v>#N/A</v>
      </c>
    </row>
    <row r="472" ht="22.5" customHeight="1">
      <c r="A472" s="5" t="s">
        <v>629</v>
      </c>
      <c r="B472" s="2" t="s">
        <v>24</v>
      </c>
      <c r="C472" s="6" t="str">
        <f t="shared" si="1"/>
        <v>Hemshri_3</v>
      </c>
      <c r="D472" s="12" t="s">
        <v>634</v>
      </c>
      <c r="E472" s="2" t="s">
        <v>25</v>
      </c>
      <c r="F472" s="2" t="s">
        <v>631</v>
      </c>
      <c r="H472" s="6" t="str">
        <f>VLOOKUP(F472, ArtistCount!$A$1:$C$286, 3, FALSE)</f>
        <v>#N/A</v>
      </c>
    </row>
    <row r="473" ht="22.5" customHeight="1">
      <c r="A473" s="5" t="s">
        <v>635</v>
      </c>
      <c r="B473" s="2" t="s">
        <v>32</v>
      </c>
      <c r="C473" s="6" t="str">
        <f t="shared" si="1"/>
        <v>Hindol_1</v>
      </c>
      <c r="D473" s="12" t="s">
        <v>636</v>
      </c>
      <c r="E473" s="2" t="s">
        <v>25</v>
      </c>
      <c r="F473" s="2" t="s">
        <v>34</v>
      </c>
      <c r="H473" s="6" t="str">
        <f>VLOOKUP(F473, ArtistCount!$A$1:$C$286, 3, FALSE)</f>
        <v>#N/A</v>
      </c>
    </row>
    <row r="474" ht="22.5" customHeight="1">
      <c r="A474" s="5" t="s">
        <v>635</v>
      </c>
      <c r="B474" s="2" t="s">
        <v>24</v>
      </c>
      <c r="C474" s="6" t="str">
        <f t="shared" si="1"/>
        <v>Hindol_2</v>
      </c>
      <c r="D474" s="12" t="s">
        <v>637</v>
      </c>
      <c r="E474" s="2" t="s">
        <v>25</v>
      </c>
      <c r="F474" s="2" t="s">
        <v>50</v>
      </c>
      <c r="H474" s="6" t="str">
        <f>VLOOKUP(F474, ArtistCount!$A$1:$C$286, 3, FALSE)</f>
        <v>#N/A</v>
      </c>
    </row>
    <row r="475" ht="22.5" customHeight="1">
      <c r="A475" s="5" t="s">
        <v>635</v>
      </c>
      <c r="B475" s="2" t="s">
        <v>62</v>
      </c>
      <c r="C475" s="6" t="str">
        <f t="shared" si="1"/>
        <v>Hindol_3</v>
      </c>
      <c r="D475" s="12" t="s">
        <v>638</v>
      </c>
      <c r="E475" s="2" t="s">
        <v>25</v>
      </c>
      <c r="F475" s="2" t="s">
        <v>64</v>
      </c>
      <c r="H475" s="6" t="str">
        <f>VLOOKUP(F475, ArtistCount!$A$1:$C$286, 3, FALSE)</f>
        <v>#N/A</v>
      </c>
    </row>
    <row r="476" ht="22.5" customHeight="1">
      <c r="A476" s="5" t="s">
        <v>635</v>
      </c>
      <c r="B476" s="2" t="s">
        <v>38</v>
      </c>
      <c r="C476" s="6" t="str">
        <f t="shared" si="1"/>
        <v>Hindol_4</v>
      </c>
      <c r="D476" s="12" t="s">
        <v>639</v>
      </c>
      <c r="E476" s="2" t="s">
        <v>25</v>
      </c>
      <c r="F476" s="2" t="s">
        <v>75</v>
      </c>
      <c r="H476" s="6" t="str">
        <f>VLOOKUP(F476, ArtistCount!$A$1:$C$286, 3, FALSE)</f>
        <v>#N/A</v>
      </c>
    </row>
    <row r="477" ht="22.5" customHeight="1">
      <c r="A477" s="5" t="s">
        <v>635</v>
      </c>
      <c r="B477" s="2" t="s">
        <v>127</v>
      </c>
      <c r="C477" s="6" t="str">
        <f t="shared" si="1"/>
        <v>Hindol_5</v>
      </c>
      <c r="D477" s="12" t="s">
        <v>640</v>
      </c>
      <c r="E477" s="2" t="s">
        <v>25</v>
      </c>
      <c r="F477" s="2" t="s">
        <v>198</v>
      </c>
      <c r="H477" s="6" t="str">
        <f>VLOOKUP(F477, ArtistCount!$A$1:$C$286, 3, FALSE)</f>
        <v>#N/A</v>
      </c>
    </row>
    <row r="478" ht="22.5" customHeight="1">
      <c r="A478" s="5" t="s">
        <v>635</v>
      </c>
      <c r="B478" s="2" t="s">
        <v>28</v>
      </c>
      <c r="C478" s="6" t="str">
        <f t="shared" si="1"/>
        <v>Hindol_6</v>
      </c>
      <c r="D478" s="12" t="s">
        <v>641</v>
      </c>
      <c r="E478" s="2" t="s">
        <v>91</v>
      </c>
      <c r="F478" s="2" t="s">
        <v>622</v>
      </c>
      <c r="H478" s="6" t="str">
        <f>VLOOKUP(F478, ArtistCount!$A$1:$C$286, 3, FALSE)</f>
        <v>#N/A</v>
      </c>
    </row>
    <row r="479" ht="22.5" customHeight="1">
      <c r="A479" s="5" t="s">
        <v>635</v>
      </c>
      <c r="B479" s="9" t="s">
        <v>67</v>
      </c>
      <c r="C479" s="6" t="str">
        <f t="shared" si="1"/>
        <v>Hindol_7</v>
      </c>
      <c r="D479" s="12" t="s">
        <v>642</v>
      </c>
      <c r="E479" s="2" t="s">
        <v>25</v>
      </c>
      <c r="F479" s="2" t="s">
        <v>68</v>
      </c>
      <c r="H479" s="6" t="str">
        <f>VLOOKUP(F479, ArtistCount!$A$1:$C$286, 3, FALSE)</f>
        <v>#N/A</v>
      </c>
    </row>
    <row r="480" ht="22.5" customHeight="1">
      <c r="A480" s="5" t="s">
        <v>635</v>
      </c>
      <c r="B480" s="2" t="s">
        <v>24</v>
      </c>
      <c r="C480" s="6" t="str">
        <f t="shared" si="1"/>
        <v>Hindol_8</v>
      </c>
      <c r="D480" s="12" t="s">
        <v>643</v>
      </c>
      <c r="E480" s="2" t="s">
        <v>25</v>
      </c>
      <c r="F480" s="2" t="s">
        <v>56</v>
      </c>
      <c r="H480" s="6" t="str">
        <f>VLOOKUP(F480, ArtistCount!$A$1:$C$286, 3, FALSE)</f>
        <v>#N/A</v>
      </c>
    </row>
    <row r="481" ht="22.5" customHeight="1">
      <c r="A481" s="5" t="s">
        <v>635</v>
      </c>
      <c r="B481" s="2" t="s">
        <v>32</v>
      </c>
      <c r="C481" s="6" t="str">
        <f t="shared" si="1"/>
        <v>Hindol_9</v>
      </c>
      <c r="D481" s="12" t="s">
        <v>644</v>
      </c>
      <c r="E481" s="2" t="s">
        <v>25</v>
      </c>
      <c r="F481" s="2" t="s">
        <v>34</v>
      </c>
      <c r="H481" s="6" t="str">
        <f>VLOOKUP(F481, ArtistCount!$A$1:$C$286, 3, FALSE)</f>
        <v>#N/A</v>
      </c>
    </row>
    <row r="482" ht="22.5" customHeight="1">
      <c r="A482" s="5" t="s">
        <v>645</v>
      </c>
      <c r="B482" s="2" t="s">
        <v>28</v>
      </c>
      <c r="C482" s="6" t="str">
        <f t="shared" si="1"/>
        <v>Jaijaiwanti_1</v>
      </c>
      <c r="D482" s="12" t="s">
        <v>646</v>
      </c>
      <c r="E482" s="2" t="s">
        <v>25</v>
      </c>
      <c r="F482" s="2" t="s">
        <v>52</v>
      </c>
      <c r="H482" s="6" t="str">
        <f>VLOOKUP(F482, ArtistCount!$A$1:$C$286, 3, FALSE)</f>
        <v>#N/A</v>
      </c>
    </row>
    <row r="483" ht="22.5" customHeight="1">
      <c r="A483" s="5" t="s">
        <v>645</v>
      </c>
      <c r="B483" s="2" t="s">
        <v>28</v>
      </c>
      <c r="C483" s="6" t="str">
        <f t="shared" si="1"/>
        <v>Jaijaiwanti_2</v>
      </c>
      <c r="D483" s="12" t="s">
        <v>647</v>
      </c>
      <c r="E483" s="2" t="s">
        <v>167</v>
      </c>
      <c r="F483" s="2" t="s">
        <v>168</v>
      </c>
      <c r="H483" s="6" t="str">
        <f>VLOOKUP(F483, ArtistCount!$A$1:$C$286, 3, FALSE)</f>
        <v>#N/A</v>
      </c>
    </row>
    <row r="484" ht="22.5" customHeight="1">
      <c r="A484" s="5" t="s">
        <v>645</v>
      </c>
      <c r="B484" s="2" t="s">
        <v>36</v>
      </c>
      <c r="C484" s="6" t="str">
        <f t="shared" si="1"/>
        <v>Jaijaiwanti_3</v>
      </c>
      <c r="D484" s="12" t="s">
        <v>648</v>
      </c>
      <c r="E484" s="2" t="s">
        <v>328</v>
      </c>
      <c r="F484" s="2" t="s">
        <v>297</v>
      </c>
      <c r="H484" s="6" t="str">
        <f>VLOOKUP(F484, ArtistCount!$A$1:$C$286, 3, FALSE)</f>
        <v>#N/A</v>
      </c>
    </row>
    <row r="485" ht="22.5" customHeight="1">
      <c r="A485" s="5" t="s">
        <v>645</v>
      </c>
      <c r="B485" s="2" t="s">
        <v>29</v>
      </c>
      <c r="C485" s="6" t="str">
        <f t="shared" si="1"/>
        <v>Jaijaiwanti_4</v>
      </c>
      <c r="D485" s="12" t="s">
        <v>649</v>
      </c>
      <c r="E485" s="2" t="s">
        <v>25</v>
      </c>
      <c r="F485" s="2" t="s">
        <v>142</v>
      </c>
      <c r="H485" s="6" t="str">
        <f>VLOOKUP(F485, ArtistCount!$A$1:$C$286, 3, FALSE)</f>
        <v>#N/A</v>
      </c>
    </row>
    <row r="486" ht="22.5" customHeight="1">
      <c r="A486" s="5" t="s">
        <v>645</v>
      </c>
      <c r="B486" s="2" t="s">
        <v>38</v>
      </c>
      <c r="C486" s="6" t="str">
        <f t="shared" si="1"/>
        <v>Jaijaiwanti_5</v>
      </c>
      <c r="D486" s="12" t="s">
        <v>650</v>
      </c>
      <c r="E486" s="2" t="s">
        <v>25</v>
      </c>
      <c r="F486" s="2" t="s">
        <v>134</v>
      </c>
      <c r="H486" s="6" t="str">
        <f>VLOOKUP(F486, ArtistCount!$A$1:$C$286, 3, FALSE)</f>
        <v>#N/A</v>
      </c>
    </row>
    <row r="487" ht="22.5" customHeight="1">
      <c r="A487" s="5" t="s">
        <v>645</v>
      </c>
      <c r="B487" s="2" t="s">
        <v>38</v>
      </c>
      <c r="C487" s="6" t="str">
        <f t="shared" si="1"/>
        <v>Jaijaiwanti_6</v>
      </c>
      <c r="D487" s="15" t="s">
        <v>651</v>
      </c>
      <c r="E487" s="2" t="s">
        <v>25</v>
      </c>
      <c r="F487" s="2" t="s">
        <v>157</v>
      </c>
      <c r="H487" s="6" t="str">
        <f>VLOOKUP(F487, ArtistCount!$A$1:$C$286, 3, FALSE)</f>
        <v>#N/A</v>
      </c>
    </row>
    <row r="488" ht="22.5" customHeight="1">
      <c r="A488" s="5" t="s">
        <v>645</v>
      </c>
      <c r="B488" s="2" t="s">
        <v>32</v>
      </c>
      <c r="C488" s="6" t="str">
        <f t="shared" si="1"/>
        <v>Jaijaiwanti_7</v>
      </c>
      <c r="D488" s="12" t="s">
        <v>652</v>
      </c>
      <c r="E488" s="2" t="s">
        <v>114</v>
      </c>
      <c r="F488" s="2" t="s">
        <v>211</v>
      </c>
      <c r="H488" s="6" t="str">
        <f>VLOOKUP(F488, ArtistCount!$A$1:$C$286, 3, FALSE)</f>
        <v>#N/A</v>
      </c>
    </row>
    <row r="489" ht="22.5" customHeight="1">
      <c r="A489" s="5" t="s">
        <v>645</v>
      </c>
      <c r="B489" s="2" t="s">
        <v>36</v>
      </c>
      <c r="C489" s="6" t="str">
        <f t="shared" si="1"/>
        <v>Jaijaiwanti_8</v>
      </c>
      <c r="D489" s="12" t="s">
        <v>653</v>
      </c>
      <c r="E489" s="2" t="s">
        <v>25</v>
      </c>
      <c r="F489" s="2" t="s">
        <v>56</v>
      </c>
      <c r="H489" s="6" t="str">
        <f>VLOOKUP(F489, ArtistCount!$A$1:$C$286, 3, FALSE)</f>
        <v>#N/A</v>
      </c>
    </row>
    <row r="490" ht="22.5" customHeight="1">
      <c r="A490" s="5" t="s">
        <v>645</v>
      </c>
      <c r="B490" s="2" t="s">
        <v>43</v>
      </c>
      <c r="C490" s="6" t="str">
        <f t="shared" si="1"/>
        <v>Jaijaiwanti_9</v>
      </c>
      <c r="D490" s="12" t="s">
        <v>654</v>
      </c>
      <c r="E490" s="2" t="s">
        <v>25</v>
      </c>
      <c r="F490" s="2" t="s">
        <v>112</v>
      </c>
      <c r="H490" s="6" t="str">
        <f>VLOOKUP(F490, ArtistCount!$A$1:$C$286, 3, FALSE)</f>
        <v>#N/A</v>
      </c>
    </row>
    <row r="491" ht="22.5" customHeight="1">
      <c r="A491" s="5" t="s">
        <v>645</v>
      </c>
      <c r="B491" s="2" t="s">
        <v>32</v>
      </c>
      <c r="C491" s="6" t="str">
        <f t="shared" si="1"/>
        <v>Jaijaiwanti_10</v>
      </c>
      <c r="D491" s="15" t="s">
        <v>655</v>
      </c>
      <c r="E491" s="2" t="s">
        <v>25</v>
      </c>
      <c r="F491" s="2" t="s">
        <v>37</v>
      </c>
      <c r="H491" s="6" t="str">
        <f>VLOOKUP(F491, ArtistCount!$A$1:$C$286, 3, FALSE)</f>
        <v>#N/A</v>
      </c>
    </row>
    <row r="492" ht="22.5" customHeight="1">
      <c r="A492" s="5" t="s">
        <v>656</v>
      </c>
      <c r="B492" s="16" t="s">
        <v>32</v>
      </c>
      <c r="C492" s="6" t="str">
        <f t="shared" si="1"/>
        <v>Jaldhar Kedar_1</v>
      </c>
      <c r="D492" s="12" t="s">
        <v>657</v>
      </c>
      <c r="E492" s="2" t="s">
        <v>25</v>
      </c>
      <c r="F492" s="2" t="s">
        <v>239</v>
      </c>
      <c r="H492" s="6" t="str">
        <f>VLOOKUP(F492, ArtistCount!$A$1:$C$286, 3, FALSE)</f>
        <v>#N/A</v>
      </c>
    </row>
    <row r="493" ht="22.5" customHeight="1">
      <c r="A493" s="5" t="s">
        <v>656</v>
      </c>
      <c r="B493" s="2" t="s">
        <v>127</v>
      </c>
      <c r="C493" s="6" t="str">
        <f t="shared" si="1"/>
        <v>Jaldhar Kedar_2</v>
      </c>
      <c r="D493" s="12" t="s">
        <v>658</v>
      </c>
      <c r="E493" s="2" t="s">
        <v>25</v>
      </c>
      <c r="F493" s="2" t="s">
        <v>659</v>
      </c>
      <c r="H493" s="6" t="str">
        <f>VLOOKUP(F493, ArtistCount!$A$1:$C$286, 3, FALSE)</f>
        <v>#N/A</v>
      </c>
    </row>
    <row r="494" ht="22.5" customHeight="1">
      <c r="A494" s="5" t="s">
        <v>656</v>
      </c>
      <c r="B494" s="2" t="s">
        <v>127</v>
      </c>
      <c r="C494" s="6" t="str">
        <f t="shared" si="1"/>
        <v>Jaldhar Kedar_3</v>
      </c>
      <c r="D494" s="12" t="s">
        <v>660</v>
      </c>
      <c r="E494" s="2" t="s">
        <v>25</v>
      </c>
      <c r="F494" s="2" t="s">
        <v>136</v>
      </c>
      <c r="H494" s="6" t="str">
        <f>VLOOKUP(F494, ArtistCount!$A$1:$C$286, 3, FALSE)</f>
        <v>#N/A</v>
      </c>
    </row>
    <row r="495" ht="22.5" customHeight="1">
      <c r="A495" s="5" t="s">
        <v>661</v>
      </c>
      <c r="B495" s="2" t="s">
        <v>28</v>
      </c>
      <c r="C495" s="6" t="str">
        <f t="shared" si="1"/>
        <v>Jaldhar Basanti_1</v>
      </c>
      <c r="D495" s="12" t="s">
        <v>662</v>
      </c>
      <c r="E495" s="2" t="s">
        <v>25</v>
      </c>
      <c r="F495" s="2" t="s">
        <v>663</v>
      </c>
      <c r="H495" s="6" t="str">
        <f>VLOOKUP(F495, ArtistCount!$A$1:$C$286, 3, FALSE)</f>
        <v>#N/A</v>
      </c>
    </row>
    <row r="496" ht="22.5" customHeight="1">
      <c r="A496" s="5" t="s">
        <v>656</v>
      </c>
      <c r="B496" s="2" t="s">
        <v>24</v>
      </c>
      <c r="C496" s="6" t="str">
        <f t="shared" si="1"/>
        <v>Jaldhar Kedar_4</v>
      </c>
      <c r="D496" s="12" t="s">
        <v>664</v>
      </c>
      <c r="E496" s="2" t="s">
        <v>25</v>
      </c>
      <c r="F496" s="2" t="s">
        <v>665</v>
      </c>
      <c r="H496" s="6" t="str">
        <f>VLOOKUP(F496, ArtistCount!$A$1:$C$286, 3, FALSE)</f>
        <v>#N/A</v>
      </c>
    </row>
    <row r="497" ht="22.5" customHeight="1">
      <c r="A497" s="5" t="s">
        <v>656</v>
      </c>
      <c r="B497" s="2" t="s">
        <v>24</v>
      </c>
      <c r="C497" s="6" t="str">
        <f t="shared" si="1"/>
        <v>Jaldhar Kedar_5</v>
      </c>
      <c r="D497" s="12" t="s">
        <v>666</v>
      </c>
      <c r="E497" s="2" t="s">
        <v>25</v>
      </c>
      <c r="F497" s="2" t="s">
        <v>667</v>
      </c>
      <c r="H497" s="6" t="str">
        <f>VLOOKUP(F497, ArtistCount!$A$1:$C$286, 3, FALSE)</f>
        <v>#N/A</v>
      </c>
    </row>
    <row r="498" ht="22.5" customHeight="1">
      <c r="A498" s="5" t="s">
        <v>656</v>
      </c>
      <c r="B498" s="2" t="s">
        <v>32</v>
      </c>
      <c r="C498" s="6" t="str">
        <f t="shared" si="1"/>
        <v>Jaldhar Kedar_6</v>
      </c>
      <c r="D498" s="12" t="s">
        <v>668</v>
      </c>
      <c r="E498" s="2" t="s">
        <v>25</v>
      </c>
      <c r="F498" s="2" t="s">
        <v>669</v>
      </c>
      <c r="H498" s="6" t="str">
        <f>VLOOKUP(F498, ArtistCount!$A$1:$C$286, 3, FALSE)</f>
        <v>#N/A</v>
      </c>
    </row>
    <row r="499" ht="22.5" customHeight="1">
      <c r="A499" s="5" t="s">
        <v>656</v>
      </c>
      <c r="B499" s="2" t="s">
        <v>28</v>
      </c>
      <c r="C499" s="6" t="str">
        <f t="shared" si="1"/>
        <v>Jaldhar Kedar_7</v>
      </c>
      <c r="D499" s="12" t="s">
        <v>670</v>
      </c>
      <c r="E499" s="2" t="s">
        <v>25</v>
      </c>
      <c r="F499" s="2" t="s">
        <v>671</v>
      </c>
      <c r="H499" s="6" t="str">
        <f>VLOOKUP(F499, ArtistCount!$A$1:$C$286, 3, FALSE)</f>
        <v>#N/A</v>
      </c>
    </row>
    <row r="500" ht="22.5" customHeight="1">
      <c r="A500" s="5" t="s">
        <v>672</v>
      </c>
      <c r="B500" s="2" t="s">
        <v>43</v>
      </c>
      <c r="C500" s="6" t="str">
        <f t="shared" si="1"/>
        <v>Jaunpuri_1</v>
      </c>
      <c r="D500" s="12" t="s">
        <v>673</v>
      </c>
      <c r="E500" s="2" t="s">
        <v>25</v>
      </c>
      <c r="F500" s="2" t="s">
        <v>52</v>
      </c>
      <c r="H500" s="6" t="str">
        <f>VLOOKUP(F500, ArtistCount!$A$1:$C$286, 3, FALSE)</f>
        <v>#N/A</v>
      </c>
    </row>
    <row r="501" ht="22.5" customHeight="1">
      <c r="A501" s="5" t="s">
        <v>672</v>
      </c>
      <c r="B501" s="2" t="s">
        <v>38</v>
      </c>
      <c r="C501" s="6" t="str">
        <f t="shared" si="1"/>
        <v>Jaunpuri_2</v>
      </c>
      <c r="D501" s="12" t="s">
        <v>674</v>
      </c>
      <c r="E501" s="2" t="s">
        <v>25</v>
      </c>
      <c r="F501" s="2" t="s">
        <v>134</v>
      </c>
      <c r="H501" s="6" t="str">
        <f>VLOOKUP(F501, ArtistCount!$A$1:$C$286, 3, FALSE)</f>
        <v>#N/A</v>
      </c>
    </row>
    <row r="502" ht="22.5" customHeight="1">
      <c r="A502" s="5" t="s">
        <v>672</v>
      </c>
      <c r="B502" s="2" t="s">
        <v>24</v>
      </c>
      <c r="C502" s="6" t="str">
        <f t="shared" si="1"/>
        <v>Jaunpuri_3</v>
      </c>
      <c r="D502" s="12" t="s">
        <v>675</v>
      </c>
      <c r="E502" s="2" t="s">
        <v>25</v>
      </c>
      <c r="F502" s="2" t="s">
        <v>30</v>
      </c>
      <c r="H502" s="6" t="str">
        <f>VLOOKUP(F502, ArtistCount!$A$1:$C$286, 3, FALSE)</f>
        <v>#N/A</v>
      </c>
    </row>
    <row r="503" ht="22.5" customHeight="1">
      <c r="A503" s="5" t="s">
        <v>672</v>
      </c>
      <c r="B503" s="2" t="s">
        <v>38</v>
      </c>
      <c r="C503" s="6" t="str">
        <f t="shared" si="1"/>
        <v>Jaunpuri_4</v>
      </c>
      <c r="D503" s="12" t="s">
        <v>676</v>
      </c>
      <c r="E503" s="2" t="s">
        <v>25</v>
      </c>
      <c r="F503" s="2" t="s">
        <v>75</v>
      </c>
      <c r="H503" s="6" t="str">
        <f>VLOOKUP(F503, ArtistCount!$A$1:$C$286, 3, FALSE)</f>
        <v>#N/A</v>
      </c>
    </row>
    <row r="504" ht="22.5" customHeight="1">
      <c r="A504" s="5" t="s">
        <v>672</v>
      </c>
      <c r="B504" s="2" t="s">
        <v>32</v>
      </c>
      <c r="C504" s="6" t="str">
        <f t="shared" si="1"/>
        <v>Jaunpuri_5</v>
      </c>
      <c r="D504" s="12" t="s">
        <v>677</v>
      </c>
      <c r="E504" s="2" t="s">
        <v>25</v>
      </c>
      <c r="F504" s="2" t="s">
        <v>26</v>
      </c>
      <c r="H504" s="6" t="str">
        <f>VLOOKUP(F504, ArtistCount!$A$1:$C$286, 3, FALSE)</f>
        <v>#N/A</v>
      </c>
    </row>
    <row r="505" ht="22.5" customHeight="1">
      <c r="A505" s="5" t="s">
        <v>672</v>
      </c>
      <c r="B505" s="2" t="s">
        <v>43</v>
      </c>
      <c r="C505" s="6" t="str">
        <f t="shared" si="1"/>
        <v>Jaunpuri_6</v>
      </c>
      <c r="D505" s="12" t="s">
        <v>678</v>
      </c>
      <c r="E505" s="2" t="s">
        <v>25</v>
      </c>
      <c r="F505" s="2" t="s">
        <v>679</v>
      </c>
      <c r="H505" s="6" t="str">
        <f>VLOOKUP(F505, ArtistCount!$A$1:$C$286, 3, FALSE)</f>
        <v>#N/A</v>
      </c>
    </row>
    <row r="506" ht="22.5" customHeight="1">
      <c r="A506" s="5" t="s">
        <v>672</v>
      </c>
      <c r="B506" s="2" t="s">
        <v>32</v>
      </c>
      <c r="C506" s="6" t="str">
        <f t="shared" si="1"/>
        <v>Jaunpuri_7</v>
      </c>
      <c r="D506" s="12" t="s">
        <v>680</v>
      </c>
      <c r="E506" s="2" t="s">
        <v>565</v>
      </c>
      <c r="F506" s="2" t="s">
        <v>178</v>
      </c>
      <c r="H506" s="6" t="str">
        <f>VLOOKUP(F506, ArtistCount!$A$1:$C$286, 3, FALSE)</f>
        <v>#N/A</v>
      </c>
    </row>
    <row r="507" ht="22.5" customHeight="1">
      <c r="A507" s="5" t="s">
        <v>672</v>
      </c>
      <c r="B507" s="2" t="s">
        <v>127</v>
      </c>
      <c r="C507" s="6" t="str">
        <f t="shared" si="1"/>
        <v>Jaunpuri_8</v>
      </c>
      <c r="D507" s="12" t="s">
        <v>681</v>
      </c>
      <c r="E507" s="2" t="s">
        <v>25</v>
      </c>
      <c r="F507" s="2" t="s">
        <v>206</v>
      </c>
      <c r="H507" s="6" t="str">
        <f>VLOOKUP(F507, ArtistCount!$A$1:$C$286, 3, FALSE)</f>
        <v>#N/A</v>
      </c>
    </row>
    <row r="508" ht="22.5" customHeight="1">
      <c r="A508" s="5" t="s">
        <v>672</v>
      </c>
      <c r="B508" s="2" t="s">
        <v>28</v>
      </c>
      <c r="C508" s="6" t="str">
        <f t="shared" si="1"/>
        <v>Jaunpuri_9</v>
      </c>
      <c r="D508" s="12" t="s">
        <v>682</v>
      </c>
      <c r="E508" s="2" t="s">
        <v>25</v>
      </c>
      <c r="F508" s="2" t="s">
        <v>193</v>
      </c>
      <c r="H508" s="6" t="str">
        <f>VLOOKUP(F508, ArtistCount!$A$1:$C$286, 3, FALSE)</f>
        <v>#N/A</v>
      </c>
    </row>
    <row r="509" ht="22.5" customHeight="1">
      <c r="A509" s="5" t="s">
        <v>683</v>
      </c>
      <c r="B509" s="2" t="s">
        <v>67</v>
      </c>
      <c r="C509" s="6" t="str">
        <f t="shared" si="1"/>
        <v>Jayat_1</v>
      </c>
      <c r="D509" s="12" t="s">
        <v>684</v>
      </c>
      <c r="E509" s="2" t="s">
        <v>25</v>
      </c>
      <c r="F509" s="2" t="s">
        <v>671</v>
      </c>
      <c r="H509" s="6" t="str">
        <f>VLOOKUP(F509, ArtistCount!$A$1:$C$286, 3, FALSE)</f>
        <v>#N/A</v>
      </c>
    </row>
    <row r="510" ht="22.5" customHeight="1">
      <c r="A510" s="5" t="s">
        <v>683</v>
      </c>
      <c r="B510" s="2" t="s">
        <v>28</v>
      </c>
      <c r="C510" s="6" t="str">
        <f t="shared" si="1"/>
        <v>Jayat_2</v>
      </c>
      <c r="D510" s="12" t="s">
        <v>685</v>
      </c>
      <c r="E510" s="2" t="s">
        <v>25</v>
      </c>
      <c r="F510" s="2" t="s">
        <v>193</v>
      </c>
      <c r="H510" s="6" t="str">
        <f>VLOOKUP(F510, ArtistCount!$A$1:$C$286, 3, FALSE)</f>
        <v>#N/A</v>
      </c>
    </row>
    <row r="511" ht="22.5" customHeight="1">
      <c r="A511" s="5" t="s">
        <v>683</v>
      </c>
      <c r="B511" s="2" t="s">
        <v>43</v>
      </c>
      <c r="C511" s="6" t="str">
        <f t="shared" si="1"/>
        <v>Jayat_3</v>
      </c>
      <c r="D511" s="12" t="s">
        <v>686</v>
      </c>
      <c r="E511" s="2" t="s">
        <v>167</v>
      </c>
      <c r="F511" s="2" t="s">
        <v>687</v>
      </c>
      <c r="H511" s="6" t="str">
        <f>VLOOKUP(F511, ArtistCount!$A$1:$C$286, 3, FALSE)</f>
        <v>#N/A</v>
      </c>
    </row>
    <row r="512" ht="22.5" customHeight="1">
      <c r="A512" s="5" t="s">
        <v>683</v>
      </c>
      <c r="B512" s="2" t="s">
        <v>67</v>
      </c>
      <c r="C512" s="6" t="str">
        <f t="shared" si="1"/>
        <v>Jayat_4</v>
      </c>
      <c r="D512" s="12" t="s">
        <v>688</v>
      </c>
      <c r="E512" s="2" t="s">
        <v>25</v>
      </c>
      <c r="F512" s="2" t="s">
        <v>689</v>
      </c>
      <c r="H512" s="6" t="str">
        <f>VLOOKUP(F512, ArtistCount!$A$1:$C$286, 3, FALSE)</f>
        <v>#N/A</v>
      </c>
    </row>
    <row r="513" ht="22.5" customHeight="1">
      <c r="A513" s="5" t="s">
        <v>683</v>
      </c>
      <c r="B513" s="2" t="s">
        <v>28</v>
      </c>
      <c r="C513" s="6" t="str">
        <f t="shared" si="1"/>
        <v>Jayat_5</v>
      </c>
      <c r="D513" s="12" t="s">
        <v>690</v>
      </c>
      <c r="E513" s="2" t="s">
        <v>167</v>
      </c>
      <c r="F513" s="2" t="s">
        <v>168</v>
      </c>
      <c r="H513" s="6" t="str">
        <f>VLOOKUP(F513, ArtistCount!$A$1:$C$286, 3, FALSE)</f>
        <v>#N/A</v>
      </c>
    </row>
    <row r="514" ht="22.5" customHeight="1">
      <c r="A514" s="5" t="s">
        <v>683</v>
      </c>
      <c r="B514" s="2" t="s">
        <v>29</v>
      </c>
      <c r="C514" s="6" t="str">
        <f t="shared" si="1"/>
        <v>Jayat_6</v>
      </c>
      <c r="D514" s="12" t="s">
        <v>691</v>
      </c>
      <c r="E514" s="2" t="s">
        <v>25</v>
      </c>
      <c r="F514" s="2" t="s">
        <v>692</v>
      </c>
      <c r="H514" s="6" t="str">
        <f>VLOOKUP(F514, ArtistCount!$A$1:$C$286, 3, FALSE)</f>
        <v>#N/A</v>
      </c>
    </row>
    <row r="515" ht="22.5" customHeight="1">
      <c r="A515" s="5" t="s">
        <v>683</v>
      </c>
      <c r="B515" s="2" t="s">
        <v>24</v>
      </c>
      <c r="C515" s="6" t="str">
        <f t="shared" si="1"/>
        <v>Jayat_7</v>
      </c>
      <c r="D515" s="12" t="s">
        <v>693</v>
      </c>
      <c r="E515" s="2" t="s">
        <v>25</v>
      </c>
      <c r="F515" s="8" t="s">
        <v>35</v>
      </c>
      <c r="H515" s="6" t="str">
        <f>VLOOKUP(F515, ArtistCount!$A$1:$C$286, 3, FALSE)</f>
        <v>#N/A</v>
      </c>
    </row>
    <row r="516" ht="22.5" customHeight="1">
      <c r="A516" s="5" t="s">
        <v>694</v>
      </c>
      <c r="B516" s="2" t="s">
        <v>43</v>
      </c>
      <c r="C516" s="6" t="str">
        <f t="shared" si="1"/>
        <v>Jhinjoti_1</v>
      </c>
      <c r="D516" s="12" t="s">
        <v>695</v>
      </c>
      <c r="E516" s="2" t="s">
        <v>25</v>
      </c>
      <c r="F516" s="2" t="s">
        <v>34</v>
      </c>
      <c r="H516" s="6" t="str">
        <f>VLOOKUP(F516, ArtistCount!$A$1:$C$286, 3, FALSE)</f>
        <v>#N/A</v>
      </c>
    </row>
    <row r="517" ht="22.5" customHeight="1">
      <c r="A517" s="5" t="s">
        <v>694</v>
      </c>
      <c r="B517" s="2" t="s">
        <v>43</v>
      </c>
      <c r="C517" s="6" t="str">
        <f t="shared" si="1"/>
        <v>Jhinjoti_2</v>
      </c>
      <c r="D517" s="12" t="s">
        <v>696</v>
      </c>
      <c r="E517" s="2" t="s">
        <v>25</v>
      </c>
      <c r="F517" s="2" t="s">
        <v>94</v>
      </c>
      <c r="H517" s="6" t="str">
        <f>VLOOKUP(F517, ArtistCount!$A$1:$C$286, 3, FALSE)</f>
        <v>#N/A</v>
      </c>
    </row>
    <row r="518" ht="22.5" customHeight="1">
      <c r="A518" s="5" t="s">
        <v>694</v>
      </c>
      <c r="B518" s="2" t="s">
        <v>38</v>
      </c>
      <c r="C518" s="6" t="str">
        <f t="shared" si="1"/>
        <v>Jhinjoti_3</v>
      </c>
      <c r="D518" s="12" t="s">
        <v>697</v>
      </c>
      <c r="E518" s="2" t="s">
        <v>25</v>
      </c>
      <c r="F518" s="2" t="s">
        <v>134</v>
      </c>
      <c r="H518" s="6" t="str">
        <f>VLOOKUP(F518, ArtistCount!$A$1:$C$286, 3, FALSE)</f>
        <v>#N/A</v>
      </c>
    </row>
    <row r="519" ht="22.5" customHeight="1">
      <c r="A519" s="5" t="s">
        <v>694</v>
      </c>
      <c r="B519" s="2" t="s">
        <v>43</v>
      </c>
      <c r="C519" s="6" t="str">
        <f t="shared" si="1"/>
        <v>Jhinjoti_4</v>
      </c>
      <c r="D519" s="12" t="s">
        <v>698</v>
      </c>
      <c r="E519" s="2" t="s">
        <v>25</v>
      </c>
      <c r="F519" s="2" t="s">
        <v>26</v>
      </c>
      <c r="H519" s="6" t="str">
        <f>VLOOKUP(F519, ArtistCount!$A$1:$C$286, 3, FALSE)</f>
        <v>#N/A</v>
      </c>
    </row>
    <row r="520" ht="22.5" customHeight="1">
      <c r="A520" s="5" t="s">
        <v>694</v>
      </c>
      <c r="B520" s="2" t="s">
        <v>29</v>
      </c>
      <c r="C520" s="6" t="str">
        <f t="shared" si="1"/>
        <v>Jhinjoti_5</v>
      </c>
      <c r="D520" s="12" t="s">
        <v>699</v>
      </c>
      <c r="E520" s="2" t="s">
        <v>25</v>
      </c>
      <c r="F520" s="2" t="s">
        <v>426</v>
      </c>
      <c r="H520" s="6" t="str">
        <f>VLOOKUP(F520, ArtistCount!$A$1:$C$286, 3, FALSE)</f>
        <v>#N/A</v>
      </c>
    </row>
    <row r="521" ht="22.5" customHeight="1">
      <c r="A521" s="5" t="s">
        <v>694</v>
      </c>
      <c r="B521" s="2" t="s">
        <v>43</v>
      </c>
      <c r="C521" s="6" t="str">
        <f t="shared" si="1"/>
        <v>Jhinjoti_6</v>
      </c>
      <c r="D521" s="12" t="s">
        <v>700</v>
      </c>
      <c r="E521" s="2" t="s">
        <v>25</v>
      </c>
      <c r="F521" s="2" t="s">
        <v>701</v>
      </c>
      <c r="H521" s="6" t="str">
        <f>VLOOKUP(F521, ArtistCount!$A$1:$C$286, 3, FALSE)</f>
        <v>#N/A</v>
      </c>
    </row>
    <row r="522" ht="22.5" customHeight="1">
      <c r="A522" s="5" t="s">
        <v>694</v>
      </c>
      <c r="B522" s="2" t="s">
        <v>28</v>
      </c>
      <c r="C522" s="6" t="str">
        <f t="shared" si="1"/>
        <v>Jhinjoti_7</v>
      </c>
      <c r="D522" s="12" t="s">
        <v>702</v>
      </c>
      <c r="E522" s="2" t="s">
        <v>25</v>
      </c>
      <c r="F522" s="2" t="s">
        <v>193</v>
      </c>
      <c r="H522" s="6" t="str">
        <f>VLOOKUP(F522, ArtistCount!$A$1:$C$286, 3, FALSE)</f>
        <v>#N/A</v>
      </c>
    </row>
    <row r="523" ht="22.5" customHeight="1">
      <c r="A523" s="5" t="s">
        <v>694</v>
      </c>
      <c r="B523" s="2" t="s">
        <v>62</v>
      </c>
      <c r="C523" s="6" t="str">
        <f t="shared" si="1"/>
        <v>Jhinjoti_8</v>
      </c>
      <c r="D523" s="12" t="s">
        <v>703</v>
      </c>
      <c r="E523" s="2" t="s">
        <v>25</v>
      </c>
      <c r="F523" s="2" t="s">
        <v>153</v>
      </c>
      <c r="H523" s="2" t="str">
        <f>VLOOKUP(F523, ArtistCount!$A$1:$C$286, 3, FALSE)</f>
        <v>#N/A</v>
      </c>
      <c r="I523" s="2" t="s">
        <v>154</v>
      </c>
    </row>
    <row r="524" ht="22.5" customHeight="1">
      <c r="A524" s="5" t="s">
        <v>694</v>
      </c>
      <c r="B524" s="2" t="s">
        <v>28</v>
      </c>
      <c r="C524" s="6" t="str">
        <f t="shared" si="1"/>
        <v>Jhinjoti_9</v>
      </c>
      <c r="D524" s="12" t="s">
        <v>704</v>
      </c>
      <c r="E524" s="2" t="s">
        <v>25</v>
      </c>
      <c r="F524" s="2" t="s">
        <v>705</v>
      </c>
      <c r="H524" s="6" t="str">
        <f>VLOOKUP(F524, ArtistCount!$A$1:$C$286, 3, FALSE)</f>
        <v>#N/A</v>
      </c>
    </row>
    <row r="525" ht="22.5" customHeight="1">
      <c r="A525" s="5" t="s">
        <v>694</v>
      </c>
      <c r="B525" s="2" t="s">
        <v>28</v>
      </c>
      <c r="C525" s="6" t="str">
        <f t="shared" si="1"/>
        <v>Jhinjoti_10</v>
      </c>
      <c r="D525" s="12" t="s">
        <v>706</v>
      </c>
      <c r="E525" s="2" t="s">
        <v>25</v>
      </c>
      <c r="F525" s="2" t="s">
        <v>707</v>
      </c>
      <c r="H525" s="6" t="str">
        <f>VLOOKUP(F525, ArtistCount!$A$1:$C$286, 3, FALSE)</f>
        <v>#N/A</v>
      </c>
    </row>
    <row r="526" ht="22.5" customHeight="1">
      <c r="A526" s="5" t="s">
        <v>708</v>
      </c>
      <c r="B526" s="8"/>
      <c r="C526" s="6" t="str">
        <f t="shared" si="1"/>
        <v>Jog_1</v>
      </c>
      <c r="D526" s="18"/>
      <c r="E526" s="8" t="s">
        <v>25</v>
      </c>
      <c r="F526" s="8" t="s">
        <v>69</v>
      </c>
      <c r="H526" s="2" t="str">
        <f>VLOOKUP(F526, ArtistCount!$A$1:$C$286, 3, FALSE)</f>
        <v>#N/A</v>
      </c>
      <c r="I526" s="2" t="s">
        <v>27</v>
      </c>
    </row>
    <row r="527" ht="22.5" customHeight="1">
      <c r="A527" s="5" t="s">
        <v>708</v>
      </c>
      <c r="B527" s="2" t="s">
        <v>36</v>
      </c>
      <c r="C527" s="6" t="str">
        <f t="shared" si="1"/>
        <v>Jog_2</v>
      </c>
      <c r="D527" s="18"/>
      <c r="E527" s="8" t="s">
        <v>25</v>
      </c>
      <c r="F527" s="8" t="s">
        <v>56</v>
      </c>
      <c r="H527" s="2" t="str">
        <f>VLOOKUP(F527, ArtistCount!$A$1:$C$286, 3, FALSE)</f>
        <v>#N/A</v>
      </c>
      <c r="I527" s="2" t="s">
        <v>27</v>
      </c>
    </row>
    <row r="528" ht="22.5" customHeight="1">
      <c r="A528" s="5" t="s">
        <v>708</v>
      </c>
      <c r="B528" s="2" t="s">
        <v>36</v>
      </c>
      <c r="C528" s="6" t="str">
        <f t="shared" si="1"/>
        <v>Jog_3</v>
      </c>
      <c r="D528" s="18"/>
      <c r="E528" s="8" t="s">
        <v>25</v>
      </c>
      <c r="F528" s="8" t="s">
        <v>56</v>
      </c>
      <c r="H528" s="2" t="str">
        <f>VLOOKUP(F528, ArtistCount!$A$1:$C$286, 3, FALSE)</f>
        <v>#N/A</v>
      </c>
      <c r="I528" s="2" t="s">
        <v>27</v>
      </c>
    </row>
    <row r="529" ht="22.5" customHeight="1">
      <c r="A529" s="5" t="s">
        <v>708</v>
      </c>
      <c r="B529" s="2" t="s">
        <v>36</v>
      </c>
      <c r="C529" s="6" t="str">
        <f t="shared" si="1"/>
        <v>Jog_4</v>
      </c>
      <c r="D529" s="18"/>
      <c r="E529" s="8" t="s">
        <v>25</v>
      </c>
      <c r="F529" s="8" t="s">
        <v>56</v>
      </c>
      <c r="H529" s="2" t="str">
        <f>VLOOKUP(F529, ArtistCount!$A$1:$C$286, 3, FALSE)</f>
        <v>#N/A</v>
      </c>
      <c r="I529" s="2" t="s">
        <v>27</v>
      </c>
    </row>
    <row r="530" ht="22.5" customHeight="1">
      <c r="A530" s="5" t="s">
        <v>708</v>
      </c>
      <c r="B530" s="2" t="s">
        <v>32</v>
      </c>
      <c r="C530" s="6" t="str">
        <f t="shared" si="1"/>
        <v>Jog_5</v>
      </c>
      <c r="D530" s="18"/>
      <c r="E530" s="8" t="s">
        <v>25</v>
      </c>
      <c r="F530" s="8" t="s">
        <v>123</v>
      </c>
      <c r="H530" s="2" t="str">
        <f>VLOOKUP(F530, ArtistCount!$A$1:$C$286, 3, FALSE)</f>
        <v>#N/A</v>
      </c>
      <c r="I530" s="2" t="s">
        <v>27</v>
      </c>
    </row>
    <row r="531" ht="22.5" customHeight="1">
      <c r="A531" s="5" t="s">
        <v>708</v>
      </c>
      <c r="B531" s="2" t="s">
        <v>43</v>
      </c>
      <c r="C531" s="6" t="str">
        <f t="shared" si="1"/>
        <v>Jog_6</v>
      </c>
      <c r="D531" s="18"/>
      <c r="E531" s="8" t="s">
        <v>25</v>
      </c>
      <c r="F531" s="8" t="s">
        <v>709</v>
      </c>
      <c r="H531" s="2" t="str">
        <f>VLOOKUP(F531, ArtistCount!$A$1:$C$286, 3, FALSE)</f>
        <v>#N/A</v>
      </c>
      <c r="I531" s="2" t="s">
        <v>27</v>
      </c>
    </row>
    <row r="532" ht="22.5" customHeight="1">
      <c r="A532" s="5" t="s">
        <v>708</v>
      </c>
      <c r="B532" s="2" t="s">
        <v>32</v>
      </c>
      <c r="C532" s="6" t="str">
        <f t="shared" si="1"/>
        <v>Jog_7</v>
      </c>
      <c r="D532" s="18"/>
      <c r="E532" s="8" t="s">
        <v>25</v>
      </c>
      <c r="F532" s="8" t="s">
        <v>710</v>
      </c>
      <c r="H532" s="2" t="str">
        <f>VLOOKUP(F532, ArtistCount!$A$1:$C$286, 3, FALSE)</f>
        <v>#N/A</v>
      </c>
      <c r="I532" s="2" t="s">
        <v>27</v>
      </c>
    </row>
    <row r="533" ht="22.5" customHeight="1">
      <c r="A533" s="5" t="s">
        <v>708</v>
      </c>
      <c r="B533" s="2" t="s">
        <v>32</v>
      </c>
      <c r="C533" s="6" t="str">
        <f t="shared" si="1"/>
        <v>Jog_8</v>
      </c>
      <c r="D533" s="18"/>
      <c r="E533" s="8" t="s">
        <v>25</v>
      </c>
      <c r="F533" s="8" t="s">
        <v>37</v>
      </c>
      <c r="H533" s="2" t="str">
        <f>VLOOKUP(F533, ArtistCount!$A$1:$C$286, 3, FALSE)</f>
        <v>#N/A</v>
      </c>
      <c r="I533" s="2" t="s">
        <v>27</v>
      </c>
    </row>
    <row r="534" ht="22.5" customHeight="1">
      <c r="A534" s="5" t="s">
        <v>708</v>
      </c>
      <c r="B534" s="2" t="s">
        <v>32</v>
      </c>
      <c r="C534" s="6" t="str">
        <f t="shared" si="1"/>
        <v>Jog_9</v>
      </c>
      <c r="D534" s="18"/>
      <c r="E534" s="8" t="s">
        <v>25</v>
      </c>
      <c r="F534" s="8" t="s">
        <v>380</v>
      </c>
      <c r="H534" s="2" t="str">
        <f>VLOOKUP(F534, ArtistCount!$A$1:$C$286, 3, FALSE)</f>
        <v>#N/A</v>
      </c>
      <c r="I534" s="2" t="s">
        <v>27</v>
      </c>
    </row>
    <row r="535" ht="22.5" customHeight="1">
      <c r="A535" s="5" t="s">
        <v>708</v>
      </c>
      <c r="B535" s="2" t="s">
        <v>127</v>
      </c>
      <c r="C535" s="6" t="str">
        <f t="shared" si="1"/>
        <v>Jog_10</v>
      </c>
      <c r="D535" s="18"/>
      <c r="E535" s="8" t="s">
        <v>25</v>
      </c>
      <c r="F535" s="8" t="s">
        <v>39</v>
      </c>
      <c r="H535" s="2" t="str">
        <f>VLOOKUP(F535, ArtistCount!$A$1:$C$286, 3, FALSE)</f>
        <v>#N/A</v>
      </c>
      <c r="I535" s="2" t="s">
        <v>27</v>
      </c>
    </row>
    <row r="536" ht="22.5" customHeight="1">
      <c r="A536" s="5" t="s">
        <v>711</v>
      </c>
      <c r="B536" s="2" t="s">
        <v>43</v>
      </c>
      <c r="C536" s="6" t="str">
        <f t="shared" si="1"/>
        <v>Jogkauns_1</v>
      </c>
      <c r="D536" s="12" t="s">
        <v>712</v>
      </c>
      <c r="E536" s="2" t="s">
        <v>25</v>
      </c>
      <c r="F536" s="2" t="s">
        <v>222</v>
      </c>
      <c r="H536" s="6" t="str">
        <f>VLOOKUP(F536, ArtistCount!$A$1:$C$286, 3, FALSE)</f>
        <v>#N/A</v>
      </c>
    </row>
    <row r="537" ht="22.5" customHeight="1">
      <c r="A537" s="5" t="s">
        <v>711</v>
      </c>
      <c r="B537" s="2" t="s">
        <v>43</v>
      </c>
      <c r="C537" s="6" t="str">
        <f t="shared" si="1"/>
        <v>Jogkauns_2</v>
      </c>
      <c r="D537" s="12" t="s">
        <v>713</v>
      </c>
      <c r="E537" s="2" t="s">
        <v>25</v>
      </c>
      <c r="F537" s="2" t="s">
        <v>52</v>
      </c>
      <c r="H537" s="6" t="str">
        <f>VLOOKUP(F537, ArtistCount!$A$1:$C$286, 3, FALSE)</f>
        <v>#N/A</v>
      </c>
    </row>
    <row r="538" ht="22.5" customHeight="1">
      <c r="A538" s="5" t="s">
        <v>711</v>
      </c>
      <c r="B538" s="2" t="s">
        <v>127</v>
      </c>
      <c r="C538" s="6" t="str">
        <f t="shared" si="1"/>
        <v>Jogkauns_3</v>
      </c>
      <c r="D538" s="12" t="s">
        <v>714</v>
      </c>
      <c r="E538" s="2" t="s">
        <v>25</v>
      </c>
      <c r="F538" s="2" t="s">
        <v>83</v>
      </c>
      <c r="H538" s="6" t="str">
        <f>VLOOKUP(F538, ArtistCount!$A$1:$C$286, 3, FALSE)</f>
        <v>#N/A</v>
      </c>
    </row>
    <row r="539" ht="22.5" customHeight="1">
      <c r="A539" s="5" t="s">
        <v>711</v>
      </c>
      <c r="B539" s="2" t="s">
        <v>32</v>
      </c>
      <c r="C539" s="6" t="str">
        <f t="shared" si="1"/>
        <v>Jogkauns_4</v>
      </c>
      <c r="D539" s="12" t="s">
        <v>715</v>
      </c>
      <c r="E539" s="2" t="s">
        <v>25</v>
      </c>
      <c r="F539" s="2" t="s">
        <v>34</v>
      </c>
      <c r="H539" s="6" t="str">
        <f>VLOOKUP(F539, ArtistCount!$A$1:$C$286, 3, FALSE)</f>
        <v>#N/A</v>
      </c>
    </row>
    <row r="540" ht="22.5" customHeight="1">
      <c r="A540" s="5" t="s">
        <v>711</v>
      </c>
      <c r="B540" s="2" t="s">
        <v>43</v>
      </c>
      <c r="C540" s="6" t="str">
        <f t="shared" si="1"/>
        <v>Jogkauns_5</v>
      </c>
      <c r="D540" s="12" t="s">
        <v>716</v>
      </c>
      <c r="E540" s="2" t="s">
        <v>25</v>
      </c>
      <c r="F540" s="2" t="s">
        <v>160</v>
      </c>
      <c r="H540" s="6" t="str">
        <f>VLOOKUP(F540, ArtistCount!$A$1:$C$286, 3, FALSE)</f>
        <v>#N/A</v>
      </c>
    </row>
    <row r="541" ht="22.5" customHeight="1">
      <c r="A541" s="5" t="s">
        <v>711</v>
      </c>
      <c r="B541" s="2" t="s">
        <v>29</v>
      </c>
      <c r="C541" s="6" t="str">
        <f t="shared" si="1"/>
        <v>Jogkauns_6</v>
      </c>
      <c r="D541" s="12" t="s">
        <v>717</v>
      </c>
      <c r="E541" s="2" t="s">
        <v>25</v>
      </c>
      <c r="F541" s="2" t="s">
        <v>142</v>
      </c>
      <c r="H541" s="6" t="str">
        <f>VLOOKUP(F541, ArtistCount!$A$1:$C$286, 3, FALSE)</f>
        <v>#N/A</v>
      </c>
    </row>
    <row r="542" ht="22.5" customHeight="1">
      <c r="A542" s="5" t="s">
        <v>711</v>
      </c>
      <c r="B542" s="2" t="s">
        <v>62</v>
      </c>
      <c r="C542" s="6" t="str">
        <f t="shared" si="1"/>
        <v>Jogkauns_7</v>
      </c>
      <c r="D542" s="12" t="s">
        <v>718</v>
      </c>
      <c r="E542" s="2" t="s">
        <v>25</v>
      </c>
      <c r="F542" s="2" t="s">
        <v>153</v>
      </c>
      <c r="H542" s="2" t="str">
        <f>VLOOKUP(F542, ArtistCount!$A$1:$C$286, 3, FALSE)</f>
        <v>#N/A</v>
      </c>
      <c r="I542" s="2" t="s">
        <v>154</v>
      </c>
    </row>
    <row r="543" ht="22.5" customHeight="1">
      <c r="A543" s="5" t="s">
        <v>711</v>
      </c>
      <c r="B543" s="2" t="s">
        <v>43</v>
      </c>
      <c r="C543" s="6" t="str">
        <f t="shared" si="1"/>
        <v>Jogkauns_8</v>
      </c>
      <c r="D543" s="12" t="s">
        <v>719</v>
      </c>
      <c r="E543" s="2" t="s">
        <v>25</v>
      </c>
      <c r="F543" s="2" t="s">
        <v>720</v>
      </c>
      <c r="H543" s="6" t="str">
        <f>VLOOKUP(F543, ArtistCount!$A$1:$C$286, 3, FALSE)</f>
        <v>#N/A</v>
      </c>
    </row>
    <row r="544" ht="22.5" customHeight="1">
      <c r="A544" s="5" t="s">
        <v>711</v>
      </c>
      <c r="B544" s="2" t="s">
        <v>127</v>
      </c>
      <c r="C544" s="6" t="str">
        <f t="shared" si="1"/>
        <v>Jogkauns_9</v>
      </c>
      <c r="D544" s="12" t="s">
        <v>721</v>
      </c>
      <c r="E544" s="2" t="s">
        <v>25</v>
      </c>
      <c r="F544" s="2" t="s">
        <v>244</v>
      </c>
      <c r="H544" s="6" t="str">
        <f>VLOOKUP(F544, ArtistCount!$A$1:$C$286, 3, FALSE)</f>
        <v>#N/A</v>
      </c>
    </row>
    <row r="545" ht="22.5" customHeight="1">
      <c r="A545" s="5" t="s">
        <v>711</v>
      </c>
      <c r="B545" s="2" t="s">
        <v>32</v>
      </c>
      <c r="C545" s="6" t="str">
        <f t="shared" si="1"/>
        <v>Jogkauns_10</v>
      </c>
      <c r="D545" s="12" t="s">
        <v>722</v>
      </c>
      <c r="E545" s="2" t="s">
        <v>25</v>
      </c>
      <c r="F545" s="2" t="s">
        <v>379</v>
      </c>
      <c r="H545" s="6" t="str">
        <f>VLOOKUP(F545, ArtistCount!$A$1:$C$286, 3, FALSE)</f>
        <v>#N/A</v>
      </c>
    </row>
    <row r="546" ht="22.5" customHeight="1">
      <c r="A546" s="5" t="s">
        <v>723</v>
      </c>
      <c r="B546" s="2" t="s">
        <v>43</v>
      </c>
      <c r="C546" s="6" t="str">
        <f t="shared" si="1"/>
        <v>Kafi_1</v>
      </c>
      <c r="D546" s="12" t="s">
        <v>724</v>
      </c>
      <c r="E546" s="2" t="s">
        <v>25</v>
      </c>
      <c r="F546" s="2" t="s">
        <v>52</v>
      </c>
      <c r="H546" s="6" t="str">
        <f>VLOOKUP(F546, ArtistCount!$A$1:$C$286, 3, FALSE)</f>
        <v>#N/A</v>
      </c>
    </row>
    <row r="547" ht="22.5" customHeight="1">
      <c r="A547" s="5" t="s">
        <v>723</v>
      </c>
      <c r="B547" s="2" t="s">
        <v>24</v>
      </c>
      <c r="C547" s="6" t="str">
        <f t="shared" si="1"/>
        <v>Kafi_2</v>
      </c>
      <c r="D547" s="12" t="s">
        <v>725</v>
      </c>
      <c r="E547" s="2" t="s">
        <v>162</v>
      </c>
      <c r="F547" s="2" t="s">
        <v>726</v>
      </c>
      <c r="H547" s="6" t="str">
        <f>VLOOKUP(F547, ArtistCount!$A$1:$C$286, 3, FALSE)</f>
        <v>#N/A</v>
      </c>
    </row>
    <row r="548" ht="22.5" customHeight="1">
      <c r="A548" s="5" t="s">
        <v>723</v>
      </c>
      <c r="B548" s="2" t="s">
        <v>32</v>
      </c>
      <c r="C548" s="6" t="str">
        <f t="shared" si="1"/>
        <v>Kafi_3</v>
      </c>
      <c r="D548" s="12" t="s">
        <v>727</v>
      </c>
      <c r="E548" s="2" t="s">
        <v>236</v>
      </c>
      <c r="F548" s="2" t="s">
        <v>728</v>
      </c>
      <c r="H548" s="6" t="str">
        <f>VLOOKUP(F548, ArtistCount!$A$1:$C$286, 3, FALSE)</f>
        <v>#N/A</v>
      </c>
    </row>
    <row r="549" ht="22.5" customHeight="1">
      <c r="A549" s="5" t="s">
        <v>723</v>
      </c>
      <c r="B549" s="2" t="s">
        <v>28</v>
      </c>
      <c r="C549" s="6" t="str">
        <f t="shared" si="1"/>
        <v>Kafi_4</v>
      </c>
      <c r="D549" s="12" t="s">
        <v>729</v>
      </c>
      <c r="E549" s="2" t="s">
        <v>167</v>
      </c>
      <c r="F549" s="2" t="s">
        <v>168</v>
      </c>
      <c r="H549" s="6" t="str">
        <f>VLOOKUP(F549, ArtistCount!$A$1:$C$286, 3, FALSE)</f>
        <v>#N/A</v>
      </c>
    </row>
    <row r="550" ht="22.5" customHeight="1">
      <c r="A550" s="5" t="s">
        <v>723</v>
      </c>
      <c r="B550" s="2" t="s">
        <v>32</v>
      </c>
      <c r="C550" s="6" t="str">
        <f t="shared" si="1"/>
        <v>Kafi_5</v>
      </c>
      <c r="D550" s="12" t="s">
        <v>730</v>
      </c>
      <c r="E550" s="2" t="s">
        <v>114</v>
      </c>
      <c r="F550" s="2" t="s">
        <v>211</v>
      </c>
      <c r="H550" s="6" t="str">
        <f>VLOOKUP(F550, ArtistCount!$A$1:$C$286, 3, FALSE)</f>
        <v>#N/A</v>
      </c>
    </row>
    <row r="551" ht="22.5" customHeight="1">
      <c r="A551" s="5" t="s">
        <v>723</v>
      </c>
      <c r="B551" s="2" t="s">
        <v>38</v>
      </c>
      <c r="C551" s="6" t="str">
        <f t="shared" si="1"/>
        <v>Kafi_6</v>
      </c>
      <c r="D551" s="12" t="s">
        <v>731</v>
      </c>
      <c r="E551" s="2" t="s">
        <v>25</v>
      </c>
      <c r="F551" s="2" t="s">
        <v>153</v>
      </c>
      <c r="H551" s="2" t="str">
        <f>VLOOKUP(F551, ArtistCount!$A$1:$C$286, 3, FALSE)</f>
        <v>#N/A</v>
      </c>
      <c r="I551" s="2" t="s">
        <v>154</v>
      </c>
    </row>
    <row r="552" ht="22.5" customHeight="1">
      <c r="A552" s="5" t="s">
        <v>723</v>
      </c>
      <c r="B552" s="2" t="s">
        <v>24</v>
      </c>
      <c r="C552" s="6" t="str">
        <f t="shared" si="1"/>
        <v>Kafi_7</v>
      </c>
      <c r="D552" s="12" t="s">
        <v>732</v>
      </c>
      <c r="E552" s="2" t="s">
        <v>25</v>
      </c>
      <c r="F552" s="2" t="s">
        <v>56</v>
      </c>
      <c r="H552" s="6" t="str">
        <f>VLOOKUP(F552, ArtistCount!$A$1:$C$286, 3, FALSE)</f>
        <v>#N/A</v>
      </c>
    </row>
    <row r="553" ht="22.5" customHeight="1">
      <c r="A553" s="5" t="s">
        <v>723</v>
      </c>
      <c r="B553" s="2" t="s">
        <v>24</v>
      </c>
      <c r="C553" s="6" t="str">
        <f t="shared" si="1"/>
        <v>Kafi_8</v>
      </c>
      <c r="D553" s="15" t="s">
        <v>733</v>
      </c>
      <c r="E553" s="2" t="s">
        <v>25</v>
      </c>
      <c r="F553" s="2" t="s">
        <v>37</v>
      </c>
      <c r="H553" s="6" t="str">
        <f>VLOOKUP(F553, ArtistCount!$A$1:$C$286, 3, FALSE)</f>
        <v>#N/A</v>
      </c>
    </row>
    <row r="554" ht="22.5" customHeight="1">
      <c r="A554" s="5" t="s">
        <v>723</v>
      </c>
      <c r="B554" s="2" t="s">
        <v>28</v>
      </c>
      <c r="C554" s="6" t="str">
        <f t="shared" si="1"/>
        <v>Kafi_9</v>
      </c>
      <c r="D554" s="12" t="s">
        <v>734</v>
      </c>
      <c r="E554" s="2" t="s">
        <v>25</v>
      </c>
      <c r="F554" s="2" t="s">
        <v>26</v>
      </c>
      <c r="H554" s="6" t="str">
        <f>VLOOKUP(F554, ArtistCount!$A$1:$C$286, 3, FALSE)</f>
        <v>#N/A</v>
      </c>
    </row>
    <row r="555" ht="22.5" customHeight="1">
      <c r="A555" s="5" t="s">
        <v>723</v>
      </c>
      <c r="B555" s="2" t="s">
        <v>43</v>
      </c>
      <c r="C555" s="6" t="str">
        <f t="shared" si="1"/>
        <v>Kafi_10</v>
      </c>
      <c r="D555" s="12" t="s">
        <v>735</v>
      </c>
      <c r="E555" s="2" t="s">
        <v>25</v>
      </c>
      <c r="F555" s="2" t="s">
        <v>83</v>
      </c>
      <c r="H555" s="6" t="str">
        <f>VLOOKUP(F555, ArtistCount!$A$1:$C$286, 3, FALSE)</f>
        <v>#N/A</v>
      </c>
    </row>
    <row r="556" ht="22.5" customHeight="1">
      <c r="A556" s="5" t="s">
        <v>736</v>
      </c>
      <c r="B556" s="2" t="s">
        <v>43</v>
      </c>
      <c r="C556" s="6" t="str">
        <f t="shared" si="1"/>
        <v>Kamod_1</v>
      </c>
      <c r="D556" s="12" t="s">
        <v>737</v>
      </c>
      <c r="E556" s="2" t="s">
        <v>25</v>
      </c>
      <c r="F556" s="2" t="s">
        <v>94</v>
      </c>
      <c r="H556" s="6" t="str">
        <f>VLOOKUP(F556, ArtistCount!$A$1:$C$286, 3, FALSE)</f>
        <v>#N/A</v>
      </c>
    </row>
    <row r="557" ht="22.5" customHeight="1">
      <c r="A557" s="5" t="s">
        <v>736</v>
      </c>
      <c r="B557" s="2" t="s">
        <v>32</v>
      </c>
      <c r="C557" s="6" t="str">
        <f t="shared" si="1"/>
        <v>Kamod_2</v>
      </c>
      <c r="D557" s="12" t="s">
        <v>738</v>
      </c>
      <c r="E557" s="2" t="s">
        <v>25</v>
      </c>
      <c r="F557" s="2" t="s">
        <v>37</v>
      </c>
      <c r="H557" s="6" t="str">
        <f>VLOOKUP(F557, ArtistCount!$A$1:$C$286, 3, FALSE)</f>
        <v>#N/A</v>
      </c>
    </row>
    <row r="558" ht="22.5" customHeight="1">
      <c r="A558" s="5" t="s">
        <v>736</v>
      </c>
      <c r="B558" s="16" t="s">
        <v>32</v>
      </c>
      <c r="C558" s="6" t="str">
        <f t="shared" si="1"/>
        <v>Kamod_3</v>
      </c>
      <c r="D558" s="12" t="s">
        <v>739</v>
      </c>
      <c r="E558" s="2" t="s">
        <v>25</v>
      </c>
      <c r="F558" s="2" t="s">
        <v>233</v>
      </c>
      <c r="H558" s="6" t="str">
        <f>VLOOKUP(F558, ArtistCount!$A$1:$C$286, 3, FALSE)</f>
        <v>#N/A</v>
      </c>
    </row>
    <row r="559" ht="22.5" customHeight="1">
      <c r="A559" s="5" t="s">
        <v>736</v>
      </c>
      <c r="B559" s="2" t="s">
        <v>28</v>
      </c>
      <c r="C559" s="6" t="str">
        <f t="shared" si="1"/>
        <v>Kamod_4</v>
      </c>
      <c r="D559" s="12" t="s">
        <v>740</v>
      </c>
      <c r="E559" s="2" t="s">
        <v>25</v>
      </c>
      <c r="F559" s="2" t="s">
        <v>741</v>
      </c>
      <c r="H559" s="6" t="str">
        <f>VLOOKUP(F559, ArtistCount!$A$1:$C$286, 3, FALSE)</f>
        <v>#N/A</v>
      </c>
    </row>
    <row r="560" ht="22.5" customHeight="1">
      <c r="A560" s="5" t="s">
        <v>736</v>
      </c>
      <c r="B560" s="2" t="s">
        <v>32</v>
      </c>
      <c r="C560" s="6" t="str">
        <f t="shared" si="1"/>
        <v>Kamod_5</v>
      </c>
      <c r="D560" s="12" t="s">
        <v>742</v>
      </c>
      <c r="E560" s="2" t="s">
        <v>25</v>
      </c>
      <c r="F560" s="2" t="s">
        <v>233</v>
      </c>
      <c r="H560" s="6" t="str">
        <f>VLOOKUP(F560, ArtistCount!$A$1:$C$286, 3, FALSE)</f>
        <v>#N/A</v>
      </c>
    </row>
    <row r="561" ht="22.5" customHeight="1">
      <c r="A561" s="5" t="s">
        <v>736</v>
      </c>
      <c r="B561" s="2" t="s">
        <v>43</v>
      </c>
      <c r="C561" s="6" t="str">
        <f t="shared" si="1"/>
        <v>Kamod_6</v>
      </c>
      <c r="D561" s="12" t="s">
        <v>743</v>
      </c>
      <c r="E561" s="2" t="s">
        <v>25</v>
      </c>
      <c r="F561" s="2" t="s">
        <v>83</v>
      </c>
      <c r="H561" s="6" t="str">
        <f>VLOOKUP(F561, ArtistCount!$A$1:$C$286, 3, FALSE)</f>
        <v>#N/A</v>
      </c>
    </row>
    <row r="562" ht="22.5" customHeight="1">
      <c r="A562" s="5" t="s">
        <v>736</v>
      </c>
      <c r="B562" s="2" t="s">
        <v>28</v>
      </c>
      <c r="C562" s="6" t="str">
        <f t="shared" si="1"/>
        <v>Kamod_7</v>
      </c>
      <c r="D562" s="12" t="s">
        <v>744</v>
      </c>
      <c r="E562" s="2" t="s">
        <v>25</v>
      </c>
      <c r="F562" s="2" t="s">
        <v>34</v>
      </c>
      <c r="H562" s="6" t="str">
        <f>VLOOKUP(F562, ArtistCount!$A$1:$C$286, 3, FALSE)</f>
        <v>#N/A</v>
      </c>
    </row>
    <row r="563" ht="22.5" customHeight="1">
      <c r="A563" s="5" t="s">
        <v>736</v>
      </c>
      <c r="B563" s="2" t="s">
        <v>127</v>
      </c>
      <c r="C563" s="6" t="str">
        <f t="shared" si="1"/>
        <v>Kamod_8</v>
      </c>
      <c r="D563" s="12" t="s">
        <v>745</v>
      </c>
      <c r="E563" s="2" t="s">
        <v>25</v>
      </c>
      <c r="F563" s="2" t="s">
        <v>206</v>
      </c>
      <c r="H563" s="6" t="str">
        <f>VLOOKUP(F563, ArtistCount!$A$1:$C$286, 3, FALSE)</f>
        <v>#N/A</v>
      </c>
    </row>
    <row r="564" ht="22.5" customHeight="1">
      <c r="A564" s="5" t="s">
        <v>736</v>
      </c>
      <c r="B564" s="2" t="s">
        <v>67</v>
      </c>
      <c r="C564" s="6" t="str">
        <f t="shared" si="1"/>
        <v>Kamod_9</v>
      </c>
      <c r="D564" s="12" t="s">
        <v>746</v>
      </c>
      <c r="E564" s="2" t="s">
        <v>25</v>
      </c>
      <c r="F564" s="2" t="s">
        <v>68</v>
      </c>
      <c r="H564" s="6" t="str">
        <f>VLOOKUP(F564, ArtistCount!$A$1:$C$286, 3, FALSE)</f>
        <v>#N/A</v>
      </c>
    </row>
    <row r="565" ht="22.5" customHeight="1">
      <c r="A565" s="5" t="s">
        <v>736</v>
      </c>
      <c r="B565" s="2" t="s">
        <v>32</v>
      </c>
      <c r="C565" s="6" t="str">
        <f t="shared" si="1"/>
        <v>Kamod_10</v>
      </c>
      <c r="D565" s="12" t="s">
        <v>747</v>
      </c>
      <c r="E565" s="2" t="s">
        <v>25</v>
      </c>
      <c r="F565" s="2" t="s">
        <v>748</v>
      </c>
      <c r="H565" s="6" t="str">
        <f>VLOOKUP(F565, ArtistCount!$A$1:$C$286, 3, FALSE)</f>
        <v>#N/A</v>
      </c>
    </row>
    <row r="566" ht="22.5" customHeight="1">
      <c r="A566" s="5" t="s">
        <v>749</v>
      </c>
      <c r="B566" s="2" t="s">
        <v>32</v>
      </c>
      <c r="C566" s="6" t="str">
        <f t="shared" si="1"/>
        <v>Kaunsi Kanada_1</v>
      </c>
      <c r="D566" s="12" t="s">
        <v>750</v>
      </c>
      <c r="E566" s="2" t="s">
        <v>25</v>
      </c>
      <c r="F566" s="2" t="s">
        <v>34</v>
      </c>
      <c r="H566" s="2" t="str">
        <f>VLOOKUP(F566, ArtistCount!$A$1:$C$286, 3, FALSE)</f>
        <v>#N/A</v>
      </c>
      <c r="I566" s="2" t="s">
        <v>42</v>
      </c>
    </row>
    <row r="567" ht="22.5" customHeight="1">
      <c r="A567" s="5" t="s">
        <v>749</v>
      </c>
      <c r="B567" s="2" t="s">
        <v>43</v>
      </c>
      <c r="C567" s="6" t="str">
        <f t="shared" si="1"/>
        <v>Kaunsi Kanada_2</v>
      </c>
      <c r="D567" s="12" t="s">
        <v>751</v>
      </c>
      <c r="E567" s="2" t="s">
        <v>25</v>
      </c>
      <c r="F567" s="2" t="s">
        <v>52</v>
      </c>
      <c r="H567" s="2" t="str">
        <f>VLOOKUP(F567, ArtistCount!$A$1:$C$286, 3, FALSE)</f>
        <v>#N/A</v>
      </c>
      <c r="I567" s="2" t="s">
        <v>80</v>
      </c>
    </row>
    <row r="568" ht="22.5" customHeight="1">
      <c r="A568" s="5" t="s">
        <v>749</v>
      </c>
      <c r="B568" s="2" t="s">
        <v>127</v>
      </c>
      <c r="C568" s="6" t="str">
        <f t="shared" si="1"/>
        <v>Kaunsi Kanada_3</v>
      </c>
      <c r="D568" s="12" t="s">
        <v>752</v>
      </c>
      <c r="E568" s="2" t="s">
        <v>25</v>
      </c>
      <c r="F568" s="2" t="s">
        <v>248</v>
      </c>
      <c r="H568" s="2" t="str">
        <f>VLOOKUP(F568, ArtistCount!$A$1:$C$286, 3, FALSE)</f>
        <v>#N/A</v>
      </c>
      <c r="I568" s="2" t="s">
        <v>171</v>
      </c>
    </row>
    <row r="569" ht="22.5" customHeight="1">
      <c r="A569" s="5" t="s">
        <v>749</v>
      </c>
      <c r="B569" s="2" t="s">
        <v>24</v>
      </c>
      <c r="C569" s="6" t="str">
        <f t="shared" si="1"/>
        <v>Kaunsi Kanada_4</v>
      </c>
      <c r="D569" s="12" t="s">
        <v>753</v>
      </c>
      <c r="E569" s="2" t="s">
        <v>114</v>
      </c>
      <c r="F569" s="2" t="s">
        <v>180</v>
      </c>
      <c r="H569" s="6" t="str">
        <f>VLOOKUP(F569, ArtistCount!$A$1:$C$286, 3, FALSE)</f>
        <v>#N/A</v>
      </c>
    </row>
    <row r="570" ht="22.5" customHeight="1">
      <c r="A570" s="5" t="s">
        <v>749</v>
      </c>
      <c r="B570" s="2" t="s">
        <v>28</v>
      </c>
      <c r="C570" s="6" t="str">
        <f t="shared" si="1"/>
        <v>Kaunsi Kanada_5</v>
      </c>
      <c r="D570" s="12" t="s">
        <v>754</v>
      </c>
      <c r="E570" s="2" t="s">
        <v>91</v>
      </c>
      <c r="F570" s="2" t="s">
        <v>755</v>
      </c>
      <c r="H570" s="6" t="str">
        <f>VLOOKUP(F570, ArtistCount!$A$1:$C$286, 3, FALSE)</f>
        <v>#N/A</v>
      </c>
    </row>
    <row r="571" ht="22.5" customHeight="1">
      <c r="A571" s="5" t="s">
        <v>749</v>
      </c>
      <c r="B571" s="2" t="s">
        <v>43</v>
      </c>
      <c r="C571" s="6" t="str">
        <f t="shared" si="1"/>
        <v>Kaunsi Kanada_6</v>
      </c>
      <c r="D571" s="12" t="s">
        <v>756</v>
      </c>
      <c r="E571" s="2" t="s">
        <v>25</v>
      </c>
      <c r="F571" s="2" t="s">
        <v>94</v>
      </c>
      <c r="H571" s="2" t="str">
        <f>VLOOKUP(F571, ArtistCount!$A$1:$C$286, 3, FALSE)</f>
        <v>#N/A</v>
      </c>
      <c r="I571" s="2" t="s">
        <v>42</v>
      </c>
    </row>
    <row r="572" ht="22.5" customHeight="1">
      <c r="A572" s="5" t="s">
        <v>749</v>
      </c>
      <c r="B572" s="2" t="s">
        <v>127</v>
      </c>
      <c r="C572" s="6" t="str">
        <f t="shared" si="1"/>
        <v>Kaunsi Kanada_7</v>
      </c>
      <c r="D572" s="12" t="s">
        <v>757</v>
      </c>
      <c r="E572" s="2" t="s">
        <v>25</v>
      </c>
      <c r="F572" s="2" t="s">
        <v>575</v>
      </c>
      <c r="H572" s="6" t="str">
        <f>VLOOKUP(F572, ArtistCount!$A$1:$C$286, 3, FALSE)</f>
        <v>#N/A</v>
      </c>
    </row>
    <row r="573" ht="22.5" customHeight="1">
      <c r="A573" s="5" t="s">
        <v>749</v>
      </c>
      <c r="B573" s="2" t="s">
        <v>127</v>
      </c>
      <c r="C573" s="6" t="str">
        <f t="shared" si="1"/>
        <v>Kaunsi Kanada_8</v>
      </c>
      <c r="D573" s="12" t="s">
        <v>758</v>
      </c>
      <c r="E573" s="2" t="s">
        <v>313</v>
      </c>
      <c r="F573" s="2" t="s">
        <v>759</v>
      </c>
      <c r="H573" s="6" t="str">
        <f>VLOOKUP(F573, ArtistCount!$A$1:$C$286, 3, FALSE)</f>
        <v>#N/A</v>
      </c>
    </row>
    <row r="574" ht="22.5" customHeight="1">
      <c r="A574" s="5" t="s">
        <v>749</v>
      </c>
      <c r="B574" s="2" t="s">
        <v>24</v>
      </c>
      <c r="C574" s="6" t="str">
        <f t="shared" si="1"/>
        <v>Kaunsi Kanada_9</v>
      </c>
      <c r="D574" s="12" t="s">
        <v>760</v>
      </c>
      <c r="E574" s="2" t="s">
        <v>25</v>
      </c>
      <c r="F574" s="2" t="s">
        <v>30</v>
      </c>
      <c r="H574" s="6" t="str">
        <f>VLOOKUP(F574, ArtistCount!$A$1:$C$286, 3, FALSE)</f>
        <v>#N/A</v>
      </c>
    </row>
    <row r="575" ht="22.5" customHeight="1">
      <c r="A575" s="5" t="s">
        <v>749</v>
      </c>
      <c r="B575" s="2" t="s">
        <v>32</v>
      </c>
      <c r="C575" s="6" t="str">
        <f t="shared" si="1"/>
        <v>Kaunsi Kanada_10</v>
      </c>
      <c r="D575" s="12" t="s">
        <v>761</v>
      </c>
      <c r="E575" s="2" t="s">
        <v>762</v>
      </c>
      <c r="F575" s="2" t="s">
        <v>763</v>
      </c>
      <c r="H575" s="6" t="str">
        <f>VLOOKUP(F575, ArtistCount!$A$1:$C$286, 3, FALSE)</f>
        <v>#N/A</v>
      </c>
    </row>
    <row r="576" ht="22.5" customHeight="1">
      <c r="A576" s="5" t="s">
        <v>764</v>
      </c>
      <c r="B576" s="2" t="s">
        <v>43</v>
      </c>
      <c r="C576" s="6" t="str">
        <f t="shared" si="1"/>
        <v>Kaushik Dhwani_1</v>
      </c>
      <c r="D576" s="12" t="s">
        <v>765</v>
      </c>
      <c r="E576" s="2" t="s">
        <v>25</v>
      </c>
      <c r="F576" s="2" t="s">
        <v>34</v>
      </c>
      <c r="H576" s="6" t="str">
        <f>VLOOKUP(F576, ArtistCount!$A$1:$C$286, 3, FALSE)</f>
        <v>#N/A</v>
      </c>
    </row>
    <row r="577" ht="22.5" customHeight="1">
      <c r="A577" s="5" t="s">
        <v>764</v>
      </c>
      <c r="B577" s="2" t="s">
        <v>24</v>
      </c>
      <c r="C577" s="6" t="str">
        <f t="shared" si="1"/>
        <v>Kaushik Dhwani_2</v>
      </c>
      <c r="D577" s="12" t="s">
        <v>766</v>
      </c>
      <c r="E577" s="2" t="s">
        <v>25</v>
      </c>
      <c r="F577" s="2" t="s">
        <v>33</v>
      </c>
      <c r="H577" s="6" t="str">
        <f>VLOOKUP(F577, ArtistCount!$A$1:$C$286, 3, FALSE)</f>
        <v>#N/A</v>
      </c>
    </row>
    <row r="578" ht="22.5" customHeight="1">
      <c r="A578" s="5" t="s">
        <v>764</v>
      </c>
      <c r="B578" s="2" t="s">
        <v>38</v>
      </c>
      <c r="C578" s="6" t="str">
        <f t="shared" si="1"/>
        <v>Kaushik Dhwani_3</v>
      </c>
      <c r="D578" s="15" t="s">
        <v>767</v>
      </c>
      <c r="E578" s="2" t="s">
        <v>25</v>
      </c>
      <c r="F578" s="2" t="s">
        <v>157</v>
      </c>
      <c r="H578" s="6" t="str">
        <f>VLOOKUP(F578, ArtistCount!$A$1:$C$286, 3, FALSE)</f>
        <v>#N/A</v>
      </c>
    </row>
    <row r="579" ht="22.5" customHeight="1">
      <c r="A579" s="5" t="s">
        <v>764</v>
      </c>
      <c r="B579" s="2" t="s">
        <v>32</v>
      </c>
      <c r="C579" s="6" t="str">
        <f t="shared" si="1"/>
        <v>Kaushik Dhwani_4</v>
      </c>
      <c r="D579" s="12" t="s">
        <v>768</v>
      </c>
      <c r="E579" s="2" t="s">
        <v>25</v>
      </c>
      <c r="F579" s="2" t="s">
        <v>34</v>
      </c>
      <c r="H579" s="6" t="str">
        <f>VLOOKUP(F579, ArtistCount!$A$1:$C$286, 3, FALSE)</f>
        <v>#N/A</v>
      </c>
    </row>
    <row r="580" ht="22.5" customHeight="1">
      <c r="A580" s="5" t="s">
        <v>764</v>
      </c>
      <c r="B580" s="2" t="s">
        <v>24</v>
      </c>
      <c r="C580" s="6" t="str">
        <f t="shared" si="1"/>
        <v>Kaushik Dhwani_5</v>
      </c>
      <c r="D580" s="15" t="s">
        <v>769</v>
      </c>
      <c r="E580" s="2" t="s">
        <v>25</v>
      </c>
      <c r="F580" s="2" t="s">
        <v>37</v>
      </c>
      <c r="H580" s="6" t="str">
        <f>VLOOKUP(F580, ArtistCount!$A$1:$C$286, 3, FALSE)</f>
        <v>#N/A</v>
      </c>
    </row>
    <row r="581" ht="22.5" customHeight="1">
      <c r="A581" s="5" t="s">
        <v>764</v>
      </c>
      <c r="B581" s="2" t="s">
        <v>28</v>
      </c>
      <c r="C581" s="6" t="str">
        <f t="shared" si="1"/>
        <v>Kaushik Dhwani_6</v>
      </c>
      <c r="D581" s="12" t="s">
        <v>770</v>
      </c>
      <c r="E581" s="2" t="s">
        <v>167</v>
      </c>
      <c r="F581" s="2" t="s">
        <v>771</v>
      </c>
      <c r="H581" s="6" t="str">
        <f>VLOOKUP(F581, ArtistCount!$A$1:$C$286, 3, FALSE)</f>
        <v>#N/A</v>
      </c>
    </row>
    <row r="582" ht="22.5" customHeight="1">
      <c r="A582" s="5" t="s">
        <v>764</v>
      </c>
      <c r="B582" s="2" t="s">
        <v>32</v>
      </c>
      <c r="C582" s="6" t="str">
        <f t="shared" si="1"/>
        <v>Kaushik Dhwani_7</v>
      </c>
      <c r="D582" s="12" t="s">
        <v>772</v>
      </c>
      <c r="E582" s="2" t="s">
        <v>25</v>
      </c>
      <c r="F582" s="8" t="s">
        <v>54</v>
      </c>
      <c r="H582" s="6" t="str">
        <f>VLOOKUP(F582, ArtistCount!$A$1:$C$286, 3, FALSE)</f>
        <v>#N/A</v>
      </c>
    </row>
    <row r="583" ht="22.5" customHeight="1">
      <c r="A583" s="5" t="s">
        <v>764</v>
      </c>
      <c r="B583" s="2" t="s">
        <v>127</v>
      </c>
      <c r="C583" s="6" t="str">
        <f t="shared" si="1"/>
        <v>Kaushik Dhwani_8</v>
      </c>
      <c r="D583" s="12" t="s">
        <v>773</v>
      </c>
      <c r="E583" s="2" t="s">
        <v>25</v>
      </c>
      <c r="F583" s="2" t="s">
        <v>774</v>
      </c>
      <c r="H583" s="6" t="str">
        <f>VLOOKUP(F583, ArtistCount!$A$1:$C$286, 3, FALSE)</f>
        <v>#N/A</v>
      </c>
    </row>
    <row r="584" ht="22.5" customHeight="1">
      <c r="A584" s="5" t="s">
        <v>764</v>
      </c>
      <c r="B584" s="2" t="s">
        <v>24</v>
      </c>
      <c r="C584" s="6" t="str">
        <f t="shared" si="1"/>
        <v>Kaushik Dhwani_9</v>
      </c>
      <c r="D584" s="12" t="s">
        <v>775</v>
      </c>
      <c r="E584" s="2" t="s">
        <v>25</v>
      </c>
      <c r="F584" s="2" t="s">
        <v>233</v>
      </c>
      <c r="H584" s="6" t="str">
        <f>VLOOKUP(F584, ArtistCount!$A$1:$C$286, 3, FALSE)</f>
        <v>#N/A</v>
      </c>
    </row>
    <row r="585" ht="22.5" customHeight="1">
      <c r="A585" s="5" t="s">
        <v>764</v>
      </c>
      <c r="B585" s="2" t="s">
        <v>24</v>
      </c>
      <c r="C585" s="6" t="str">
        <f t="shared" si="1"/>
        <v>Kaushik Dhwani_10</v>
      </c>
      <c r="D585" s="12" t="s">
        <v>776</v>
      </c>
      <c r="E585" s="2" t="s">
        <v>25</v>
      </c>
      <c r="F585" s="2" t="s">
        <v>777</v>
      </c>
      <c r="H585" s="6" t="str">
        <f>VLOOKUP(F585, ArtistCount!$A$1:$C$286, 3, FALSE)</f>
        <v>#N/A</v>
      </c>
    </row>
    <row r="586" ht="22.5" customHeight="1">
      <c r="A586" s="5" t="s">
        <v>778</v>
      </c>
      <c r="B586" s="2" t="s">
        <v>32</v>
      </c>
      <c r="C586" s="6" t="str">
        <f t="shared" si="1"/>
        <v>Kedar_1</v>
      </c>
      <c r="D586" s="18"/>
      <c r="E586" s="8" t="s">
        <v>25</v>
      </c>
      <c r="F586" s="8" t="s">
        <v>26</v>
      </c>
      <c r="H586" s="2" t="str">
        <f>VLOOKUP(F586, ArtistCount!$A$1:$C$286, 3, FALSE)</f>
        <v>#N/A</v>
      </c>
      <c r="I586" s="2" t="s">
        <v>27</v>
      </c>
    </row>
    <row r="587" ht="22.5" customHeight="1">
      <c r="A587" s="5" t="s">
        <v>778</v>
      </c>
      <c r="B587" s="2" t="s">
        <v>28</v>
      </c>
      <c r="C587" s="6" t="str">
        <f t="shared" si="1"/>
        <v>Kedar_2</v>
      </c>
      <c r="D587" s="18"/>
      <c r="E587" s="8" t="s">
        <v>25</v>
      </c>
      <c r="F587" s="8" t="s">
        <v>48</v>
      </c>
      <c r="H587" s="2" t="str">
        <f>VLOOKUP(F587, ArtistCount!$A$1:$C$286, 3, FALSE)</f>
        <v>#N/A</v>
      </c>
      <c r="I587" s="2" t="s">
        <v>27</v>
      </c>
    </row>
    <row r="588" ht="22.5" customHeight="1">
      <c r="A588" s="5" t="s">
        <v>778</v>
      </c>
      <c r="B588" s="2" t="s">
        <v>24</v>
      </c>
      <c r="C588" s="6" t="str">
        <f t="shared" si="1"/>
        <v>Kedar_3</v>
      </c>
      <c r="D588" s="18"/>
      <c r="E588" s="8" t="s">
        <v>25</v>
      </c>
      <c r="F588" s="8" t="s">
        <v>76</v>
      </c>
      <c r="H588" s="2" t="str">
        <f>VLOOKUP(F588, ArtistCount!$A$1:$C$286, 3, FALSE)</f>
        <v>#N/A</v>
      </c>
      <c r="I588" s="2" t="s">
        <v>27</v>
      </c>
    </row>
    <row r="589" ht="22.5" customHeight="1">
      <c r="A589" s="5" t="s">
        <v>778</v>
      </c>
      <c r="B589" s="2" t="s">
        <v>24</v>
      </c>
      <c r="C589" s="6" t="str">
        <f t="shared" si="1"/>
        <v>Kedar_4</v>
      </c>
      <c r="D589" s="18"/>
      <c r="E589" s="8" t="s">
        <v>25</v>
      </c>
      <c r="F589" s="8" t="s">
        <v>76</v>
      </c>
      <c r="H589" s="2" t="str">
        <f>VLOOKUP(F589, ArtistCount!$A$1:$C$286, 3, FALSE)</f>
        <v>#N/A</v>
      </c>
      <c r="I589" s="2" t="s">
        <v>27</v>
      </c>
    </row>
    <row r="590" ht="22.5" customHeight="1">
      <c r="A590" s="5" t="s">
        <v>778</v>
      </c>
      <c r="B590" s="2" t="s">
        <v>24</v>
      </c>
      <c r="C590" s="6" t="str">
        <f t="shared" si="1"/>
        <v>Kedar_5</v>
      </c>
      <c r="D590" s="18"/>
      <c r="E590" s="8" t="s">
        <v>25</v>
      </c>
      <c r="F590" s="8" t="s">
        <v>76</v>
      </c>
      <c r="H590" s="2" t="str">
        <f>VLOOKUP(F590, ArtistCount!$A$1:$C$286, 3, FALSE)</f>
        <v>#N/A</v>
      </c>
      <c r="I590" s="2" t="s">
        <v>27</v>
      </c>
    </row>
    <row r="591" ht="22.5" customHeight="1">
      <c r="A591" s="5" t="s">
        <v>778</v>
      </c>
      <c r="B591" s="2" t="s">
        <v>24</v>
      </c>
      <c r="C591" s="6" t="str">
        <f t="shared" si="1"/>
        <v>Kedar_6</v>
      </c>
      <c r="D591" s="18"/>
      <c r="E591" s="8" t="s">
        <v>25</v>
      </c>
      <c r="F591" s="8" t="s">
        <v>76</v>
      </c>
      <c r="H591" s="2" t="str">
        <f>VLOOKUP(F591, ArtistCount!$A$1:$C$286, 3, FALSE)</f>
        <v>#N/A</v>
      </c>
      <c r="I591" s="2" t="s">
        <v>27</v>
      </c>
    </row>
    <row r="592" ht="22.5" customHeight="1">
      <c r="A592" s="5" t="s">
        <v>778</v>
      </c>
      <c r="B592" s="2" t="s">
        <v>24</v>
      </c>
      <c r="C592" s="6" t="str">
        <f t="shared" si="1"/>
        <v>Kedar_7</v>
      </c>
      <c r="D592" s="18"/>
      <c r="E592" s="8" t="s">
        <v>25</v>
      </c>
      <c r="F592" s="8" t="s">
        <v>76</v>
      </c>
      <c r="H592" s="2" t="str">
        <f>VLOOKUP(F592, ArtistCount!$A$1:$C$286, 3, FALSE)</f>
        <v>#N/A</v>
      </c>
      <c r="I592" s="2" t="s">
        <v>27</v>
      </c>
    </row>
    <row r="593" ht="22.5" customHeight="1">
      <c r="A593" s="5" t="s">
        <v>778</v>
      </c>
      <c r="B593" s="2" t="s">
        <v>24</v>
      </c>
      <c r="C593" s="6" t="str">
        <f t="shared" si="1"/>
        <v>Kedar_8</v>
      </c>
      <c r="D593" s="18"/>
      <c r="E593" s="8" t="s">
        <v>25</v>
      </c>
      <c r="F593" s="8" t="s">
        <v>56</v>
      </c>
      <c r="H593" s="2" t="str">
        <f>VLOOKUP(F593, ArtistCount!$A$1:$C$286, 3, FALSE)</f>
        <v>#N/A</v>
      </c>
      <c r="I593" s="2" t="s">
        <v>27</v>
      </c>
    </row>
    <row r="594" ht="22.5" customHeight="1">
      <c r="A594" s="5" t="s">
        <v>778</v>
      </c>
      <c r="B594" s="2" t="s">
        <v>32</v>
      </c>
      <c r="C594" s="6" t="str">
        <f t="shared" si="1"/>
        <v>Kedar_9</v>
      </c>
      <c r="D594" s="18"/>
      <c r="E594" s="8" t="s">
        <v>25</v>
      </c>
      <c r="F594" s="8" t="s">
        <v>34</v>
      </c>
      <c r="H594" s="2" t="str">
        <f>VLOOKUP(F594, ArtistCount!$A$1:$C$286, 3, FALSE)</f>
        <v>#N/A</v>
      </c>
      <c r="I594" s="2" t="s">
        <v>27</v>
      </c>
    </row>
    <row r="595" ht="22.5" customHeight="1">
      <c r="A595" s="5" t="s">
        <v>778</v>
      </c>
      <c r="B595" s="2" t="s">
        <v>24</v>
      </c>
      <c r="C595" s="6" t="str">
        <f t="shared" si="1"/>
        <v>Kedar_10</v>
      </c>
      <c r="D595" s="18"/>
      <c r="E595" s="8" t="s">
        <v>25</v>
      </c>
      <c r="F595" s="8" t="s">
        <v>37</v>
      </c>
      <c r="H595" s="2" t="str">
        <f>VLOOKUP(F595, ArtistCount!$A$1:$C$286, 3, FALSE)</f>
        <v>#N/A</v>
      </c>
      <c r="I595" s="2" t="s">
        <v>27</v>
      </c>
    </row>
    <row r="596" ht="22.5" customHeight="1">
      <c r="A596" s="5" t="s">
        <v>779</v>
      </c>
      <c r="B596" s="2" t="s">
        <v>24</v>
      </c>
      <c r="C596" s="6" t="str">
        <f t="shared" si="1"/>
        <v>Khamaj_1</v>
      </c>
      <c r="D596" s="18"/>
      <c r="E596" s="8" t="s">
        <v>25</v>
      </c>
      <c r="F596" s="8" t="s">
        <v>76</v>
      </c>
      <c r="H596" s="2" t="str">
        <f>VLOOKUP(F596, ArtistCount!$A$1:$C$286, 3, FALSE)</f>
        <v>#N/A</v>
      </c>
      <c r="I596" s="2" t="s">
        <v>27</v>
      </c>
    </row>
    <row r="597" ht="22.5" customHeight="1">
      <c r="A597" s="5" t="s">
        <v>779</v>
      </c>
      <c r="B597" s="2" t="s">
        <v>36</v>
      </c>
      <c r="C597" s="6" t="str">
        <f t="shared" si="1"/>
        <v>Khamaj_2</v>
      </c>
      <c r="D597" s="18"/>
      <c r="E597" s="8" t="s">
        <v>25</v>
      </c>
      <c r="F597" s="8" t="s">
        <v>76</v>
      </c>
      <c r="H597" s="2" t="str">
        <f>VLOOKUP(F597, ArtistCount!$A$1:$C$286, 3, FALSE)</f>
        <v>#N/A</v>
      </c>
      <c r="I597" s="2" t="s">
        <v>27</v>
      </c>
    </row>
    <row r="598" ht="22.5" customHeight="1">
      <c r="A598" s="5" t="s">
        <v>779</v>
      </c>
      <c r="B598" s="2" t="s">
        <v>36</v>
      </c>
      <c r="C598" s="6" t="str">
        <f t="shared" si="1"/>
        <v>Khamaj_3</v>
      </c>
      <c r="D598" s="18"/>
      <c r="E598" s="8" t="s">
        <v>25</v>
      </c>
      <c r="F598" s="8" t="s">
        <v>76</v>
      </c>
      <c r="H598" s="2" t="str">
        <f>VLOOKUP(F598, ArtistCount!$A$1:$C$286, 3, FALSE)</f>
        <v>#N/A</v>
      </c>
      <c r="I598" s="2" t="s">
        <v>27</v>
      </c>
    </row>
    <row r="599" ht="22.5" customHeight="1">
      <c r="A599" s="5" t="s">
        <v>779</v>
      </c>
      <c r="B599" s="2" t="s">
        <v>36</v>
      </c>
      <c r="C599" s="6" t="str">
        <f t="shared" si="1"/>
        <v>Khamaj_4</v>
      </c>
      <c r="D599" s="18"/>
      <c r="E599" s="8" t="s">
        <v>25</v>
      </c>
      <c r="F599" s="8" t="s">
        <v>76</v>
      </c>
      <c r="H599" s="2" t="str">
        <f>VLOOKUP(F599, ArtistCount!$A$1:$C$286, 3, FALSE)</f>
        <v>#N/A</v>
      </c>
      <c r="I599" s="2" t="s">
        <v>27</v>
      </c>
    </row>
    <row r="600" ht="22.5" customHeight="1">
      <c r="A600" s="5" t="s">
        <v>779</v>
      </c>
      <c r="B600" s="2" t="s">
        <v>36</v>
      </c>
      <c r="C600" s="6" t="str">
        <f t="shared" si="1"/>
        <v>Khamaj_5</v>
      </c>
      <c r="D600" s="18"/>
      <c r="E600" s="8" t="s">
        <v>25</v>
      </c>
      <c r="F600" s="8" t="s">
        <v>76</v>
      </c>
      <c r="H600" s="2" t="str">
        <f>VLOOKUP(F600, ArtistCount!$A$1:$C$286, 3, FALSE)</f>
        <v>#N/A</v>
      </c>
      <c r="I600" s="2" t="s">
        <v>27</v>
      </c>
    </row>
    <row r="601" ht="22.5" customHeight="1">
      <c r="A601" s="5" t="s">
        <v>779</v>
      </c>
      <c r="B601" s="2" t="s">
        <v>24</v>
      </c>
      <c r="C601" s="6" t="str">
        <f t="shared" si="1"/>
        <v>Khamaj_6</v>
      </c>
      <c r="D601" s="18"/>
      <c r="E601" s="8" t="s">
        <v>25</v>
      </c>
      <c r="F601" s="8" t="s">
        <v>37</v>
      </c>
      <c r="H601" s="2" t="str">
        <f>VLOOKUP(F601, ArtistCount!$A$1:$C$286, 3, FALSE)</f>
        <v>#N/A</v>
      </c>
      <c r="I601" s="2" t="s">
        <v>27</v>
      </c>
    </row>
    <row r="602" ht="22.5" customHeight="1">
      <c r="A602" s="5" t="s">
        <v>779</v>
      </c>
      <c r="B602" s="2" t="s">
        <v>24</v>
      </c>
      <c r="C602" s="6" t="str">
        <f t="shared" si="1"/>
        <v>Khamaj_7</v>
      </c>
      <c r="D602" s="18"/>
      <c r="E602" s="8" t="s">
        <v>25</v>
      </c>
      <c r="F602" s="8" t="s">
        <v>37</v>
      </c>
      <c r="H602" s="2" t="str">
        <f>VLOOKUP(F602, ArtistCount!$A$1:$C$286, 3, FALSE)</f>
        <v>#N/A</v>
      </c>
      <c r="I602" s="2" t="s">
        <v>27</v>
      </c>
    </row>
    <row r="603" ht="22.5" customHeight="1">
      <c r="A603" s="5" t="s">
        <v>779</v>
      </c>
      <c r="B603" s="2" t="s">
        <v>24</v>
      </c>
      <c r="C603" s="6" t="str">
        <f t="shared" si="1"/>
        <v>Khamaj_8</v>
      </c>
      <c r="D603" s="18"/>
      <c r="E603" s="8" t="s">
        <v>25</v>
      </c>
      <c r="F603" s="8" t="s">
        <v>37</v>
      </c>
      <c r="H603" s="2" t="str">
        <f>VLOOKUP(F603, ArtistCount!$A$1:$C$286, 3, FALSE)</f>
        <v>#N/A</v>
      </c>
      <c r="I603" s="2" t="s">
        <v>27</v>
      </c>
    </row>
    <row r="604" ht="22.5" customHeight="1">
      <c r="A604" s="5" t="s">
        <v>779</v>
      </c>
      <c r="B604" s="2" t="s">
        <v>24</v>
      </c>
      <c r="C604" s="6" t="str">
        <f t="shared" si="1"/>
        <v>Khamaj_9</v>
      </c>
      <c r="D604" s="18"/>
      <c r="E604" s="8" t="s">
        <v>25</v>
      </c>
      <c r="F604" s="8" t="s">
        <v>37</v>
      </c>
      <c r="H604" s="2" t="str">
        <f>VLOOKUP(F604, ArtistCount!$A$1:$C$286, 3, FALSE)</f>
        <v>#N/A</v>
      </c>
      <c r="I604" s="2" t="s">
        <v>27</v>
      </c>
    </row>
    <row r="605" ht="22.5" customHeight="1">
      <c r="A605" s="5" t="s">
        <v>779</v>
      </c>
      <c r="B605" s="2" t="s">
        <v>24</v>
      </c>
      <c r="C605" s="6" t="str">
        <f t="shared" si="1"/>
        <v>Khamaj_10</v>
      </c>
      <c r="D605" s="18"/>
      <c r="E605" s="8" t="s">
        <v>25</v>
      </c>
      <c r="F605" s="8" t="s">
        <v>37</v>
      </c>
      <c r="H605" s="2" t="str">
        <f>VLOOKUP(F605, ArtistCount!$A$1:$C$286, 3, FALSE)</f>
        <v>#N/A</v>
      </c>
      <c r="I605" s="2" t="s">
        <v>27</v>
      </c>
    </row>
    <row r="606" ht="22.5" customHeight="1">
      <c r="A606" s="5" t="s">
        <v>780</v>
      </c>
      <c r="B606" s="2" t="s">
        <v>24</v>
      </c>
      <c r="C606" s="6" t="str">
        <f t="shared" si="1"/>
        <v>Khambhavati_1</v>
      </c>
      <c r="D606" s="12" t="s">
        <v>781</v>
      </c>
      <c r="E606" s="2" t="s">
        <v>25</v>
      </c>
      <c r="F606" s="2" t="s">
        <v>26</v>
      </c>
      <c r="H606" s="6" t="str">
        <f>VLOOKUP(F606, ArtistCount!$A$1:$C$286, 3, FALSE)</f>
        <v>#N/A</v>
      </c>
    </row>
    <row r="607" ht="22.5" customHeight="1">
      <c r="A607" s="5" t="s">
        <v>780</v>
      </c>
      <c r="B607" s="2" t="s">
        <v>43</v>
      </c>
      <c r="C607" s="6" t="str">
        <f t="shared" si="1"/>
        <v>Khambhavati_2</v>
      </c>
      <c r="D607" s="12" t="s">
        <v>782</v>
      </c>
      <c r="E607" s="2" t="s">
        <v>25</v>
      </c>
      <c r="F607" s="2" t="s">
        <v>112</v>
      </c>
      <c r="H607" s="6" t="str">
        <f>VLOOKUP(F607, ArtistCount!$A$1:$C$286, 3, FALSE)</f>
        <v>#N/A</v>
      </c>
    </row>
    <row r="608" ht="22.5" customHeight="1">
      <c r="A608" s="5" t="s">
        <v>780</v>
      </c>
      <c r="B608" s="2" t="s">
        <v>38</v>
      </c>
      <c r="C608" s="6" t="str">
        <f t="shared" si="1"/>
        <v>Khambhavati_3</v>
      </c>
      <c r="D608" s="12" t="s">
        <v>783</v>
      </c>
      <c r="E608" s="2" t="s">
        <v>25</v>
      </c>
      <c r="F608" s="2" t="s">
        <v>75</v>
      </c>
      <c r="H608" s="6" t="str">
        <f>VLOOKUP(F608, ArtistCount!$A$1:$C$286, 3, FALSE)</f>
        <v>#N/A</v>
      </c>
    </row>
    <row r="609" ht="22.5" customHeight="1">
      <c r="A609" s="5" t="s">
        <v>780</v>
      </c>
      <c r="B609" s="2" t="s">
        <v>38</v>
      </c>
      <c r="C609" s="6" t="str">
        <f t="shared" si="1"/>
        <v>Khambhavati_4</v>
      </c>
      <c r="D609" s="12" t="s">
        <v>784</v>
      </c>
      <c r="E609" s="2" t="s">
        <v>25</v>
      </c>
      <c r="F609" s="2" t="s">
        <v>134</v>
      </c>
      <c r="H609" s="6" t="str">
        <f>VLOOKUP(F609, ArtistCount!$A$1:$C$286, 3, FALSE)</f>
        <v>#N/A</v>
      </c>
    </row>
    <row r="610" ht="22.5" customHeight="1">
      <c r="A610" s="5" t="s">
        <v>780</v>
      </c>
      <c r="B610" s="2" t="s">
        <v>38</v>
      </c>
      <c r="C610" s="6" t="str">
        <f t="shared" si="1"/>
        <v>Khambhavati_5</v>
      </c>
      <c r="D610" s="12" t="s">
        <v>785</v>
      </c>
      <c r="E610" s="2" t="s">
        <v>25</v>
      </c>
      <c r="F610" s="2" t="s">
        <v>786</v>
      </c>
      <c r="H610" s="6" t="str">
        <f>VLOOKUP(F610, ArtistCount!$A$1:$C$286, 3, FALSE)</f>
        <v>#N/A</v>
      </c>
    </row>
    <row r="611" ht="22.5" customHeight="1">
      <c r="A611" s="5" t="s">
        <v>780</v>
      </c>
      <c r="B611" s="2" t="s">
        <v>43</v>
      </c>
      <c r="C611" s="6" t="str">
        <f t="shared" si="1"/>
        <v>Khambhavati_6</v>
      </c>
      <c r="D611" s="12" t="s">
        <v>787</v>
      </c>
      <c r="E611" s="2" t="s">
        <v>25</v>
      </c>
      <c r="F611" s="2" t="s">
        <v>788</v>
      </c>
      <c r="H611" s="6" t="str">
        <f>VLOOKUP(F611, ArtistCount!$A$1:$C$286, 3, FALSE)</f>
        <v>#N/A</v>
      </c>
    </row>
    <row r="612" ht="22.5" customHeight="1">
      <c r="A612" s="5" t="s">
        <v>780</v>
      </c>
      <c r="B612" s="2" t="s">
        <v>32</v>
      </c>
      <c r="C612" s="6" t="str">
        <f t="shared" si="1"/>
        <v>Khambhavati_7</v>
      </c>
      <c r="D612" s="12" t="s">
        <v>789</v>
      </c>
      <c r="E612" s="2" t="s">
        <v>25</v>
      </c>
      <c r="F612" s="2" t="s">
        <v>301</v>
      </c>
      <c r="H612" s="6" t="str">
        <f>VLOOKUP(F612, ArtistCount!$A$1:$C$286, 3, FALSE)</f>
        <v>#N/A</v>
      </c>
    </row>
    <row r="613" ht="22.5" customHeight="1">
      <c r="A613" s="5" t="s">
        <v>780</v>
      </c>
      <c r="B613" s="2" t="s">
        <v>38</v>
      </c>
      <c r="C613" s="6" t="str">
        <f t="shared" si="1"/>
        <v>Khambhavati_8</v>
      </c>
      <c r="D613" s="12" t="s">
        <v>790</v>
      </c>
      <c r="E613" s="2" t="s">
        <v>25</v>
      </c>
      <c r="F613" s="2" t="s">
        <v>126</v>
      </c>
      <c r="H613" s="6" t="str">
        <f>VLOOKUP(F613, ArtistCount!$A$1:$C$286, 3, FALSE)</f>
        <v>#N/A</v>
      </c>
    </row>
    <row r="614" ht="22.5" customHeight="1">
      <c r="A614" s="5" t="s">
        <v>791</v>
      </c>
      <c r="B614" s="2" t="s">
        <v>43</v>
      </c>
      <c r="C614" s="6" t="str">
        <f t="shared" si="1"/>
        <v>Kirwani_1</v>
      </c>
      <c r="D614" s="12" t="s">
        <v>792</v>
      </c>
      <c r="E614" s="2" t="s">
        <v>25</v>
      </c>
      <c r="F614" s="2" t="s">
        <v>160</v>
      </c>
      <c r="H614" s="6" t="str">
        <f>VLOOKUP(F614, ArtistCount!$A$1:$C$286, 3, FALSE)</f>
        <v>#N/A</v>
      </c>
    </row>
    <row r="615" ht="22.5" customHeight="1">
      <c r="A615" s="5" t="s">
        <v>791</v>
      </c>
      <c r="B615" s="2" t="s">
        <v>28</v>
      </c>
      <c r="C615" s="6" t="str">
        <f t="shared" si="1"/>
        <v>Kirwani_2</v>
      </c>
      <c r="D615" s="12" t="s">
        <v>793</v>
      </c>
      <c r="E615" s="2" t="s">
        <v>167</v>
      </c>
      <c r="F615" s="2" t="s">
        <v>771</v>
      </c>
      <c r="H615" s="6" t="str">
        <f>VLOOKUP(F615, ArtistCount!$A$1:$C$286, 3, FALSE)</f>
        <v>#N/A</v>
      </c>
    </row>
    <row r="616" ht="22.5" customHeight="1">
      <c r="A616" s="5" t="s">
        <v>791</v>
      </c>
      <c r="B616" s="2" t="s">
        <v>32</v>
      </c>
      <c r="C616" s="6" t="str">
        <f t="shared" si="1"/>
        <v>Kirwani_3</v>
      </c>
      <c r="D616" s="12" t="s">
        <v>794</v>
      </c>
      <c r="E616" s="2" t="s">
        <v>25</v>
      </c>
      <c r="F616" s="2" t="s">
        <v>34</v>
      </c>
      <c r="H616" s="6" t="str">
        <f>VLOOKUP(F616, ArtistCount!$A$1:$C$286, 3, FALSE)</f>
        <v>#N/A</v>
      </c>
    </row>
    <row r="617" ht="22.5" customHeight="1">
      <c r="A617" s="5" t="s">
        <v>791</v>
      </c>
      <c r="B617" s="2" t="s">
        <v>24</v>
      </c>
      <c r="C617" s="6" t="str">
        <f t="shared" si="1"/>
        <v>Kirwani_4</v>
      </c>
      <c r="D617" s="12" t="s">
        <v>795</v>
      </c>
      <c r="E617" s="2" t="s">
        <v>25</v>
      </c>
      <c r="F617" s="2" t="s">
        <v>26</v>
      </c>
      <c r="H617" s="6" t="str">
        <f>VLOOKUP(F617, ArtistCount!$A$1:$C$286, 3, FALSE)</f>
        <v>#N/A</v>
      </c>
    </row>
    <row r="618" ht="22.5" customHeight="1">
      <c r="A618" s="5" t="s">
        <v>791</v>
      </c>
      <c r="B618" s="2" t="s">
        <v>32</v>
      </c>
      <c r="C618" s="6" t="str">
        <f t="shared" si="1"/>
        <v>Kirwani_5</v>
      </c>
      <c r="D618" s="12" t="s">
        <v>796</v>
      </c>
      <c r="E618" s="2" t="s">
        <v>25</v>
      </c>
      <c r="F618" s="2" t="s">
        <v>797</v>
      </c>
      <c r="H618" s="6" t="str">
        <f>VLOOKUP(F618, ArtistCount!$A$1:$C$286, 3, FALSE)</f>
        <v>#N/A</v>
      </c>
    </row>
    <row r="619" ht="22.5" customHeight="1">
      <c r="A619" s="5" t="s">
        <v>791</v>
      </c>
      <c r="B619" s="2" t="s">
        <v>38</v>
      </c>
      <c r="C619" s="6" t="str">
        <f t="shared" si="1"/>
        <v>Kirwani_6</v>
      </c>
      <c r="D619" s="12" t="s">
        <v>798</v>
      </c>
      <c r="E619" s="2" t="s">
        <v>25</v>
      </c>
      <c r="F619" s="2" t="s">
        <v>153</v>
      </c>
      <c r="H619" s="2" t="str">
        <f>VLOOKUP(F619, ArtistCount!$A$1:$C$286, 3, FALSE)</f>
        <v>#N/A</v>
      </c>
      <c r="I619" s="2" t="s">
        <v>154</v>
      </c>
    </row>
    <row r="620" ht="22.5" customHeight="1">
      <c r="A620" s="5" t="s">
        <v>791</v>
      </c>
      <c r="B620" s="2" t="s">
        <v>32</v>
      </c>
      <c r="C620" s="6" t="str">
        <f t="shared" si="1"/>
        <v>Kirwani_7</v>
      </c>
      <c r="D620" s="27" t="s">
        <v>799</v>
      </c>
      <c r="E620" s="2" t="s">
        <v>25</v>
      </c>
      <c r="F620" s="2" t="s">
        <v>34</v>
      </c>
      <c r="H620" s="6" t="str">
        <f>VLOOKUP(F620, ArtistCount!$A$1:$C$286, 3, FALSE)</f>
        <v>#N/A</v>
      </c>
    </row>
    <row r="621" ht="22.5" customHeight="1">
      <c r="A621" s="5" t="s">
        <v>791</v>
      </c>
      <c r="B621" s="2" t="s">
        <v>43</v>
      </c>
      <c r="C621" s="6" t="str">
        <f t="shared" si="1"/>
        <v>Kirwani_8</v>
      </c>
      <c r="D621" s="12" t="s">
        <v>800</v>
      </c>
      <c r="E621" s="2" t="s">
        <v>25</v>
      </c>
      <c r="F621" s="2" t="s">
        <v>801</v>
      </c>
      <c r="H621" s="6" t="str">
        <f>VLOOKUP(F621, ArtistCount!$A$1:$C$286, 3, FALSE)</f>
        <v>#N/A</v>
      </c>
    </row>
    <row r="622" ht="22.5" customHeight="1">
      <c r="A622" s="5" t="s">
        <v>791</v>
      </c>
      <c r="B622" s="2" t="s">
        <v>32</v>
      </c>
      <c r="C622" s="6" t="str">
        <f t="shared" si="1"/>
        <v>Kirwani_9</v>
      </c>
      <c r="D622" s="13" t="s">
        <v>802</v>
      </c>
      <c r="E622" s="2" t="s">
        <v>25</v>
      </c>
      <c r="F622" s="2" t="s">
        <v>34</v>
      </c>
      <c r="H622" s="6" t="str">
        <f>VLOOKUP(F622, ArtistCount!$A$1:$C$286, 3, FALSE)</f>
        <v>#N/A</v>
      </c>
    </row>
    <row r="623" ht="22.5" customHeight="1">
      <c r="A623" s="5" t="s">
        <v>791</v>
      </c>
      <c r="B623" s="2" t="s">
        <v>29</v>
      </c>
      <c r="C623" s="6" t="str">
        <f t="shared" si="1"/>
        <v>Kirwani_10</v>
      </c>
      <c r="D623" s="12" t="s">
        <v>803</v>
      </c>
      <c r="E623" s="2" t="s">
        <v>25</v>
      </c>
      <c r="F623" s="2" t="s">
        <v>804</v>
      </c>
      <c r="H623" s="6" t="str">
        <f>VLOOKUP(F623, ArtistCount!$A$1:$C$286, 3, FALSE)</f>
        <v>#N/A</v>
      </c>
    </row>
    <row r="624" ht="22.5" customHeight="1">
      <c r="A624" s="5" t="s">
        <v>805</v>
      </c>
      <c r="B624" s="2" t="s">
        <v>32</v>
      </c>
      <c r="C624" s="6" t="str">
        <f t="shared" si="1"/>
        <v>Lalit_1</v>
      </c>
      <c r="D624" s="18"/>
      <c r="E624" s="8" t="s">
        <v>25</v>
      </c>
      <c r="F624" s="8" t="s">
        <v>73</v>
      </c>
      <c r="H624" s="2" t="str">
        <f>VLOOKUP(F624, ArtistCount!$A$1:$C$286, 3, FALSE)</f>
        <v>#N/A</v>
      </c>
      <c r="I624" s="2" t="s">
        <v>27</v>
      </c>
    </row>
    <row r="625" ht="22.5" customHeight="1">
      <c r="A625" s="5" t="s">
        <v>805</v>
      </c>
      <c r="B625" s="2" t="s">
        <v>38</v>
      </c>
      <c r="C625" s="6" t="str">
        <f t="shared" si="1"/>
        <v>Lalit_2</v>
      </c>
      <c r="D625" s="18"/>
      <c r="E625" s="8" t="s">
        <v>25</v>
      </c>
      <c r="F625" s="8" t="s">
        <v>75</v>
      </c>
      <c r="H625" s="2" t="str">
        <f>VLOOKUP(F625, ArtistCount!$A$1:$C$286, 3, FALSE)</f>
        <v>#N/A</v>
      </c>
      <c r="I625" s="2" t="s">
        <v>27</v>
      </c>
    </row>
    <row r="626" ht="22.5" customHeight="1">
      <c r="A626" s="5" t="s">
        <v>805</v>
      </c>
      <c r="B626" s="2" t="s">
        <v>38</v>
      </c>
      <c r="C626" s="6" t="str">
        <f t="shared" si="1"/>
        <v>Lalit_3</v>
      </c>
      <c r="D626" s="18"/>
      <c r="E626" s="8" t="s">
        <v>25</v>
      </c>
      <c r="F626" s="8" t="s">
        <v>75</v>
      </c>
      <c r="H626" s="2" t="str">
        <f>VLOOKUP(F626, ArtistCount!$A$1:$C$286, 3, FALSE)</f>
        <v>#N/A</v>
      </c>
      <c r="I626" s="2" t="s">
        <v>27</v>
      </c>
    </row>
    <row r="627" ht="22.5" customHeight="1">
      <c r="A627" s="5" t="s">
        <v>805</v>
      </c>
      <c r="B627" s="9" t="s">
        <v>58</v>
      </c>
      <c r="C627" s="6" t="str">
        <f t="shared" si="1"/>
        <v>Lalit_4</v>
      </c>
      <c r="D627" s="18"/>
      <c r="E627" s="8" t="s">
        <v>25</v>
      </c>
      <c r="F627" s="8" t="s">
        <v>98</v>
      </c>
      <c r="H627" s="2" t="str">
        <f>VLOOKUP(F627, ArtistCount!$A$1:$C$286, 3, FALSE)</f>
        <v>#N/A</v>
      </c>
      <c r="I627" s="2" t="s">
        <v>27</v>
      </c>
    </row>
    <row r="628" ht="22.5" customHeight="1">
      <c r="A628" s="5" t="s">
        <v>805</v>
      </c>
      <c r="B628" s="9" t="s">
        <v>58</v>
      </c>
      <c r="C628" s="6" t="str">
        <f t="shared" si="1"/>
        <v>Lalit_5</v>
      </c>
      <c r="D628" s="18"/>
      <c r="E628" s="8" t="s">
        <v>25</v>
      </c>
      <c r="F628" s="8" t="s">
        <v>98</v>
      </c>
      <c r="H628" s="2" t="str">
        <f>VLOOKUP(F628, ArtistCount!$A$1:$C$286, 3, FALSE)</f>
        <v>#N/A</v>
      </c>
      <c r="I628" s="2" t="s">
        <v>27</v>
      </c>
    </row>
    <row r="629" ht="22.5" customHeight="1">
      <c r="A629" s="5" t="s">
        <v>805</v>
      </c>
      <c r="B629" s="2" t="s">
        <v>24</v>
      </c>
      <c r="C629" s="6" t="str">
        <f t="shared" si="1"/>
        <v>Lalit_6</v>
      </c>
      <c r="D629" s="18"/>
      <c r="E629" s="8" t="s">
        <v>25</v>
      </c>
      <c r="F629" s="8" t="s">
        <v>30</v>
      </c>
      <c r="H629" s="2" t="str">
        <f>VLOOKUP(F629, ArtistCount!$A$1:$C$286, 3, FALSE)</f>
        <v>#N/A</v>
      </c>
      <c r="I629" s="2" t="s">
        <v>27</v>
      </c>
    </row>
    <row r="630" ht="22.5" customHeight="1">
      <c r="A630" s="5" t="s">
        <v>805</v>
      </c>
      <c r="B630" s="9" t="s">
        <v>32</v>
      </c>
      <c r="C630" s="6" t="str">
        <f t="shared" si="1"/>
        <v>Lalit_7</v>
      </c>
      <c r="D630" s="18"/>
      <c r="E630" s="8" t="s">
        <v>25</v>
      </c>
      <c r="F630" s="8" t="s">
        <v>94</v>
      </c>
      <c r="H630" s="2" t="str">
        <f>VLOOKUP(F630, ArtistCount!$A$1:$C$286, 3, FALSE)</f>
        <v>#N/A</v>
      </c>
      <c r="I630" s="2" t="s">
        <v>27</v>
      </c>
    </row>
    <row r="631" ht="22.5" customHeight="1">
      <c r="A631" s="5" t="s">
        <v>805</v>
      </c>
      <c r="B631" s="2" t="s">
        <v>43</v>
      </c>
      <c r="C631" s="6" t="str">
        <f t="shared" si="1"/>
        <v>Lalit_8</v>
      </c>
      <c r="D631" s="18"/>
      <c r="E631" s="8" t="s">
        <v>25</v>
      </c>
      <c r="F631" s="8" t="s">
        <v>34</v>
      </c>
      <c r="H631" s="2" t="str">
        <f>VLOOKUP(F631, ArtistCount!$A$1:$C$286, 3, FALSE)</f>
        <v>#N/A</v>
      </c>
      <c r="I631" s="2" t="s">
        <v>27</v>
      </c>
    </row>
    <row r="632" ht="22.5" customHeight="1">
      <c r="A632" s="5" t="s">
        <v>805</v>
      </c>
      <c r="B632" s="2" t="s">
        <v>43</v>
      </c>
      <c r="C632" s="6" t="str">
        <f t="shared" si="1"/>
        <v>Lalit_9</v>
      </c>
      <c r="D632" s="18"/>
      <c r="E632" s="8" t="s">
        <v>25</v>
      </c>
      <c r="F632" s="8" t="s">
        <v>70</v>
      </c>
      <c r="H632" s="2" t="str">
        <f>VLOOKUP(F632, ArtistCount!$A$1:$C$286, 3, FALSE)</f>
        <v>#N/A</v>
      </c>
      <c r="I632" s="2" t="s">
        <v>27</v>
      </c>
    </row>
    <row r="633" ht="22.5" customHeight="1">
      <c r="A633" s="5" t="s">
        <v>805</v>
      </c>
      <c r="B633" s="2" t="s">
        <v>24</v>
      </c>
      <c r="C633" s="6" t="str">
        <f t="shared" si="1"/>
        <v>Lalit_10</v>
      </c>
      <c r="D633" s="18"/>
      <c r="E633" s="8" t="s">
        <v>25</v>
      </c>
      <c r="F633" s="8" t="s">
        <v>37</v>
      </c>
      <c r="H633" s="2" t="str">
        <f>VLOOKUP(F633, ArtistCount!$A$1:$C$286, 3, FALSE)</f>
        <v>#N/A</v>
      </c>
      <c r="I633" s="2" t="s">
        <v>27</v>
      </c>
    </row>
    <row r="634" ht="22.5" customHeight="1">
      <c r="A634" s="5" t="s">
        <v>806</v>
      </c>
      <c r="B634" s="2" t="s">
        <v>29</v>
      </c>
      <c r="C634" s="6" t="str">
        <f t="shared" si="1"/>
        <v>Lanka Dahan Sarang_1</v>
      </c>
      <c r="D634" s="12" t="s">
        <v>807</v>
      </c>
      <c r="E634" s="2" t="s">
        <v>25</v>
      </c>
      <c r="F634" s="2" t="s">
        <v>248</v>
      </c>
      <c r="H634" s="6" t="str">
        <f>VLOOKUP(F634, ArtistCount!$A$1:$C$286, 3, FALSE)</f>
        <v>#N/A</v>
      </c>
    </row>
    <row r="635" ht="22.5" customHeight="1">
      <c r="A635" s="5" t="s">
        <v>806</v>
      </c>
      <c r="B635" s="2" t="s">
        <v>127</v>
      </c>
      <c r="C635" s="6" t="str">
        <f t="shared" si="1"/>
        <v>Lanka Dahan Sarang_2</v>
      </c>
      <c r="D635" s="12" t="s">
        <v>808</v>
      </c>
      <c r="E635" s="2" t="s">
        <v>25</v>
      </c>
      <c r="F635" s="2" t="s">
        <v>809</v>
      </c>
      <c r="H635" s="6" t="str">
        <f>VLOOKUP(F635, ArtistCount!$A$1:$C$286, 3, FALSE)</f>
        <v>#N/A</v>
      </c>
    </row>
    <row r="636" ht="22.5" customHeight="1">
      <c r="A636" s="5" t="s">
        <v>806</v>
      </c>
      <c r="B636" s="2" t="s">
        <v>43</v>
      </c>
      <c r="C636" s="6" t="str">
        <f t="shared" si="1"/>
        <v>Lanka Dahan Sarang_3</v>
      </c>
      <c r="D636" s="12" t="s">
        <v>810</v>
      </c>
      <c r="E636" s="2" t="s">
        <v>25</v>
      </c>
      <c r="F636" s="2" t="s">
        <v>193</v>
      </c>
      <c r="H636" s="6" t="str">
        <f>VLOOKUP(F636, ArtistCount!$A$1:$C$286, 3, FALSE)</f>
        <v>#N/A</v>
      </c>
    </row>
    <row r="637" ht="22.5" customHeight="1">
      <c r="A637" s="5" t="s">
        <v>806</v>
      </c>
      <c r="B637" s="2" t="s">
        <v>43</v>
      </c>
      <c r="C637" s="6" t="str">
        <f t="shared" si="1"/>
        <v>Lanka Dahan Sarang_4</v>
      </c>
      <c r="D637" s="12" t="s">
        <v>811</v>
      </c>
      <c r="E637" s="2" t="s">
        <v>25</v>
      </c>
      <c r="F637" s="2" t="s">
        <v>812</v>
      </c>
      <c r="H637" s="6" t="str">
        <f>VLOOKUP(F637, ArtistCount!$A$1:$C$286, 3, FALSE)</f>
        <v>#N/A</v>
      </c>
    </row>
    <row r="638" ht="22.5" customHeight="1">
      <c r="A638" s="5" t="s">
        <v>806</v>
      </c>
      <c r="B638" s="2" t="s">
        <v>24</v>
      </c>
      <c r="C638" s="6" t="str">
        <f t="shared" si="1"/>
        <v>Lanka Dahan Sarang_5</v>
      </c>
      <c r="D638" s="12" t="s">
        <v>813</v>
      </c>
      <c r="E638" s="2" t="s">
        <v>25</v>
      </c>
      <c r="F638" s="2" t="s">
        <v>814</v>
      </c>
      <c r="H638" s="6" t="str">
        <f>VLOOKUP(F638, ArtistCount!$A$1:$C$286, 3, FALSE)</f>
        <v>#N/A</v>
      </c>
    </row>
    <row r="639" ht="22.5" customHeight="1">
      <c r="A639" s="5" t="s">
        <v>806</v>
      </c>
      <c r="B639" s="2" t="s">
        <v>28</v>
      </c>
      <c r="C639" s="6" t="str">
        <f t="shared" si="1"/>
        <v>Lanka Dahan Sarang_6</v>
      </c>
      <c r="D639" s="12" t="s">
        <v>815</v>
      </c>
      <c r="E639" s="2" t="s">
        <v>167</v>
      </c>
      <c r="F639" s="2" t="s">
        <v>816</v>
      </c>
      <c r="H639" s="6" t="str">
        <f>VLOOKUP(F639, ArtistCount!$A$1:$C$286, 3, FALSE)</f>
        <v>#N/A</v>
      </c>
    </row>
    <row r="640" ht="22.5" customHeight="1">
      <c r="A640" s="5" t="s">
        <v>806</v>
      </c>
      <c r="B640" s="2" t="s">
        <v>36</v>
      </c>
      <c r="C640" s="6" t="str">
        <f t="shared" si="1"/>
        <v>Lanka Dahan Sarang_7</v>
      </c>
      <c r="D640" s="12" t="s">
        <v>817</v>
      </c>
      <c r="E640" s="2" t="s">
        <v>162</v>
      </c>
      <c r="F640" s="2" t="s">
        <v>818</v>
      </c>
      <c r="H640" s="6" t="str">
        <f>VLOOKUP(F640, ArtistCount!$A$1:$C$286, 3, FALSE)</f>
        <v>#N/A</v>
      </c>
    </row>
    <row r="641" ht="22.5" customHeight="1">
      <c r="A641" s="5" t="s">
        <v>806</v>
      </c>
      <c r="B641" s="2" t="s">
        <v>36</v>
      </c>
      <c r="C641" s="2" t="str">
        <f t="shared" si="1"/>
        <v>Lanka Dahan Sarang_8</v>
      </c>
      <c r="D641" s="15" t="s">
        <v>819</v>
      </c>
      <c r="E641" s="2" t="s">
        <v>25</v>
      </c>
      <c r="F641" s="2" t="s">
        <v>820</v>
      </c>
      <c r="H641" s="6" t="str">
        <f>VLOOKUP(F641, ArtistCount!$A$1:$C$286, 3, FALSE)</f>
        <v>#N/A</v>
      </c>
      <c r="L641" s="2" t="s">
        <v>61</v>
      </c>
    </row>
    <row r="642" ht="22.5" customHeight="1">
      <c r="A642" s="5" t="s">
        <v>806</v>
      </c>
      <c r="B642" s="2" t="s">
        <v>28</v>
      </c>
      <c r="C642" s="6" t="str">
        <f t="shared" si="1"/>
        <v>Lanka Dahan Sarang_9</v>
      </c>
      <c r="D642" s="12" t="s">
        <v>821</v>
      </c>
      <c r="E642" s="2" t="s">
        <v>91</v>
      </c>
      <c r="F642" s="2" t="s">
        <v>822</v>
      </c>
      <c r="H642" s="6" t="str">
        <f>VLOOKUP(F642, ArtistCount!$A$1:$C$286, 3, FALSE)</f>
        <v>#N/A</v>
      </c>
    </row>
    <row r="643" ht="22.5" customHeight="1">
      <c r="A643" s="5" t="s">
        <v>823</v>
      </c>
      <c r="B643" s="2" t="s">
        <v>29</v>
      </c>
      <c r="C643" s="6" t="str">
        <f t="shared" si="1"/>
        <v>Madhukauns_1</v>
      </c>
      <c r="D643" s="18"/>
      <c r="E643" s="8" t="s">
        <v>25</v>
      </c>
      <c r="F643" s="8" t="s">
        <v>824</v>
      </c>
      <c r="H643" s="2" t="str">
        <f>VLOOKUP(F643, ArtistCount!$A$1:$C$286, 3, FALSE)</f>
        <v>#N/A</v>
      </c>
      <c r="I643" s="2" t="s">
        <v>27</v>
      </c>
    </row>
    <row r="644" ht="22.5" customHeight="1">
      <c r="A644" s="5" t="s">
        <v>823</v>
      </c>
      <c r="B644" s="2" t="s">
        <v>32</v>
      </c>
      <c r="C644" s="6" t="str">
        <f t="shared" si="1"/>
        <v>Madhukauns_2</v>
      </c>
      <c r="D644" s="18"/>
      <c r="E644" s="8" t="s">
        <v>25</v>
      </c>
      <c r="F644" s="8" t="s">
        <v>31</v>
      </c>
      <c r="H644" s="2" t="str">
        <f>VLOOKUP(F644, ArtistCount!$A$1:$C$286, 3, FALSE)</f>
        <v>#N/A</v>
      </c>
      <c r="I644" s="2" t="s">
        <v>27</v>
      </c>
    </row>
    <row r="645" ht="22.5" customHeight="1">
      <c r="A645" s="5" t="s">
        <v>823</v>
      </c>
      <c r="B645" s="2" t="s">
        <v>38</v>
      </c>
      <c r="C645" s="6" t="str">
        <f t="shared" si="1"/>
        <v>Madhukauns_3</v>
      </c>
      <c r="D645" s="18"/>
      <c r="E645" s="8" t="s">
        <v>25</v>
      </c>
      <c r="F645" s="8" t="s">
        <v>142</v>
      </c>
      <c r="H645" s="2" t="str">
        <f>VLOOKUP(F645, ArtistCount!$A$1:$C$286, 3, FALSE)</f>
        <v>#N/A</v>
      </c>
      <c r="I645" s="2" t="s">
        <v>27</v>
      </c>
    </row>
    <row r="646" ht="22.5" customHeight="1">
      <c r="A646" s="5" t="s">
        <v>823</v>
      </c>
      <c r="B646" s="2" t="s">
        <v>38</v>
      </c>
      <c r="C646" s="6" t="str">
        <f t="shared" si="1"/>
        <v>Madhukauns_4</v>
      </c>
      <c r="D646" s="18"/>
      <c r="E646" s="8" t="s">
        <v>25</v>
      </c>
      <c r="F646" s="8" t="s">
        <v>142</v>
      </c>
      <c r="H646" s="2" t="str">
        <f>VLOOKUP(F646, ArtistCount!$A$1:$C$286, 3, FALSE)</f>
        <v>#N/A</v>
      </c>
      <c r="I646" s="2" t="s">
        <v>27</v>
      </c>
    </row>
    <row r="647" ht="22.5" customHeight="1">
      <c r="A647" s="5" t="s">
        <v>823</v>
      </c>
      <c r="B647" s="2" t="s">
        <v>43</v>
      </c>
      <c r="C647" s="6" t="str">
        <f t="shared" si="1"/>
        <v>Madhukauns_5</v>
      </c>
      <c r="D647" s="18"/>
      <c r="E647" s="8" t="s">
        <v>25</v>
      </c>
      <c r="F647" s="8" t="s">
        <v>286</v>
      </c>
      <c r="H647" s="2" t="str">
        <f>VLOOKUP(F647, ArtistCount!$A$1:$C$286, 3, FALSE)</f>
        <v>#N/A</v>
      </c>
      <c r="I647" s="2" t="s">
        <v>27</v>
      </c>
    </row>
    <row r="648" ht="22.5" customHeight="1">
      <c r="A648" s="5" t="s">
        <v>823</v>
      </c>
      <c r="B648" s="2" t="s">
        <v>24</v>
      </c>
      <c r="C648" s="6" t="str">
        <f t="shared" si="1"/>
        <v>Madhukauns_6</v>
      </c>
      <c r="D648" s="18"/>
      <c r="E648" s="8" t="s">
        <v>25</v>
      </c>
      <c r="F648" s="8" t="s">
        <v>69</v>
      </c>
      <c r="H648" s="2" t="str">
        <f>VLOOKUP(F648, ArtistCount!$A$1:$C$286, 3, FALSE)</f>
        <v>#N/A</v>
      </c>
      <c r="I648" s="2" t="s">
        <v>27</v>
      </c>
    </row>
    <row r="649" ht="22.5" customHeight="1">
      <c r="A649" s="5" t="s">
        <v>823</v>
      </c>
      <c r="B649" s="2" t="s">
        <v>38</v>
      </c>
      <c r="C649" s="6" t="str">
        <f t="shared" si="1"/>
        <v>Madhukauns_7</v>
      </c>
      <c r="D649" s="18"/>
      <c r="E649" s="8" t="s">
        <v>25</v>
      </c>
      <c r="F649" s="8" t="s">
        <v>64</v>
      </c>
      <c r="H649" s="2" t="str">
        <f>VLOOKUP(F649, ArtistCount!$A$1:$C$286, 3, FALSE)</f>
        <v>#N/A</v>
      </c>
      <c r="I649" s="2" t="s">
        <v>27</v>
      </c>
    </row>
    <row r="650" ht="22.5" customHeight="1">
      <c r="A650" s="5" t="s">
        <v>823</v>
      </c>
      <c r="B650" s="2" t="s">
        <v>29</v>
      </c>
      <c r="C650" s="6" t="str">
        <f t="shared" si="1"/>
        <v>Madhukauns_8</v>
      </c>
      <c r="D650" s="18"/>
      <c r="E650" s="8" t="s">
        <v>25</v>
      </c>
      <c r="F650" s="8" t="s">
        <v>64</v>
      </c>
      <c r="H650" s="2" t="str">
        <f>VLOOKUP(F650, ArtistCount!$A$1:$C$286, 3, FALSE)</f>
        <v>#N/A</v>
      </c>
      <c r="I650" s="2" t="s">
        <v>27</v>
      </c>
    </row>
    <row r="651" ht="22.5" customHeight="1">
      <c r="A651" s="5" t="s">
        <v>823</v>
      </c>
      <c r="B651" s="2" t="s">
        <v>29</v>
      </c>
      <c r="C651" s="6" t="str">
        <f t="shared" si="1"/>
        <v>Madhukauns_9</v>
      </c>
      <c r="D651" s="18"/>
      <c r="E651" s="8" t="s">
        <v>25</v>
      </c>
      <c r="F651" s="8" t="s">
        <v>64</v>
      </c>
      <c r="H651" s="2" t="str">
        <f>VLOOKUP(F651, ArtistCount!$A$1:$C$286, 3, FALSE)</f>
        <v>#N/A</v>
      </c>
      <c r="I651" s="2" t="s">
        <v>27</v>
      </c>
    </row>
    <row r="652" ht="22.5" customHeight="1">
      <c r="A652" s="5" t="s">
        <v>823</v>
      </c>
      <c r="B652" s="2" t="s">
        <v>32</v>
      </c>
      <c r="C652" s="6" t="str">
        <f t="shared" si="1"/>
        <v>Madhukauns_10</v>
      </c>
      <c r="D652" s="18"/>
      <c r="E652" s="8" t="s">
        <v>25</v>
      </c>
      <c r="F652" s="8" t="s">
        <v>710</v>
      </c>
      <c r="H652" s="2" t="str">
        <f>VLOOKUP(F652, ArtistCount!$A$1:$C$286, 3, FALSE)</f>
        <v>#N/A</v>
      </c>
      <c r="I652" s="2" t="s">
        <v>27</v>
      </c>
    </row>
    <row r="653" ht="22.5" customHeight="1">
      <c r="A653" s="5" t="s">
        <v>825</v>
      </c>
      <c r="B653" s="2" t="s">
        <v>38</v>
      </c>
      <c r="C653" s="6" t="str">
        <f t="shared" si="1"/>
        <v>Madhumand Sarang_1</v>
      </c>
      <c r="D653" s="12" t="s">
        <v>826</v>
      </c>
      <c r="E653" s="2" t="s">
        <v>25</v>
      </c>
      <c r="F653" s="2" t="s">
        <v>64</v>
      </c>
      <c r="H653" s="6" t="str">
        <f>VLOOKUP(F653, ArtistCount!$A$1:$C$286, 3, FALSE)</f>
        <v>#N/A</v>
      </c>
    </row>
    <row r="654" ht="22.5" customHeight="1">
      <c r="A654" s="5" t="s">
        <v>825</v>
      </c>
      <c r="B654" s="2" t="s">
        <v>24</v>
      </c>
      <c r="C654" s="6" t="str">
        <f t="shared" si="1"/>
        <v>Madhumand Sarang_2</v>
      </c>
      <c r="D654" s="12" t="s">
        <v>827</v>
      </c>
      <c r="E654" s="2" t="s">
        <v>25</v>
      </c>
      <c r="F654" s="2" t="s">
        <v>56</v>
      </c>
      <c r="H654" s="6" t="str">
        <f>VLOOKUP(F654, ArtistCount!$A$1:$C$286, 3, FALSE)</f>
        <v>#N/A</v>
      </c>
    </row>
    <row r="655" ht="22.5" customHeight="1">
      <c r="A655" s="5" t="s">
        <v>825</v>
      </c>
      <c r="B655" s="2" t="s">
        <v>67</v>
      </c>
      <c r="C655" s="6" t="str">
        <f t="shared" si="1"/>
        <v>Madhumand Sarang_3</v>
      </c>
      <c r="D655" s="12" t="s">
        <v>828</v>
      </c>
      <c r="E655" s="2" t="s">
        <v>25</v>
      </c>
      <c r="F655" s="2" t="s">
        <v>68</v>
      </c>
      <c r="H655" s="6" t="str">
        <f>VLOOKUP(F655, ArtistCount!$A$1:$C$286, 3, FALSE)</f>
        <v>#N/A</v>
      </c>
    </row>
    <row r="656" ht="22.5" customHeight="1">
      <c r="A656" s="5" t="s">
        <v>825</v>
      </c>
      <c r="B656" s="2" t="s">
        <v>32</v>
      </c>
      <c r="C656" s="6" t="str">
        <f t="shared" si="1"/>
        <v>Madhumand Sarang_4</v>
      </c>
      <c r="D656" s="12" t="s">
        <v>829</v>
      </c>
      <c r="E656" s="2" t="s">
        <v>25</v>
      </c>
      <c r="F656" s="2" t="s">
        <v>830</v>
      </c>
      <c r="H656" s="6" t="str">
        <f>VLOOKUP(F656, ArtistCount!$A$1:$C$286, 3, FALSE)</f>
        <v>#N/A</v>
      </c>
    </row>
    <row r="657" ht="22.5" customHeight="1">
      <c r="A657" s="5" t="s">
        <v>825</v>
      </c>
      <c r="B657" s="2" t="s">
        <v>127</v>
      </c>
      <c r="C657" s="6" t="str">
        <f t="shared" si="1"/>
        <v>Madhumand Sarang_5</v>
      </c>
      <c r="D657" s="12" t="s">
        <v>831</v>
      </c>
      <c r="E657" s="2" t="s">
        <v>25</v>
      </c>
      <c r="F657" s="2" t="s">
        <v>832</v>
      </c>
      <c r="H657" s="6" t="str">
        <f>VLOOKUP(F657, ArtistCount!$A$1:$C$286, 3, FALSE)</f>
        <v>#N/A</v>
      </c>
    </row>
    <row r="658" ht="22.5" customHeight="1">
      <c r="A658" s="5" t="s">
        <v>825</v>
      </c>
      <c r="B658" s="2" t="s">
        <v>38</v>
      </c>
      <c r="C658" s="6" t="str">
        <f t="shared" si="1"/>
        <v>Madhumand Sarang_6</v>
      </c>
      <c r="D658" s="12" t="s">
        <v>833</v>
      </c>
      <c r="E658" s="2" t="s">
        <v>25</v>
      </c>
      <c r="F658" s="2" t="s">
        <v>75</v>
      </c>
      <c r="H658" s="6" t="str">
        <f>VLOOKUP(F658, ArtistCount!$A$1:$C$286, 3, FALSE)</f>
        <v>#N/A</v>
      </c>
    </row>
    <row r="659" ht="22.5" customHeight="1">
      <c r="A659" s="5" t="s">
        <v>825</v>
      </c>
      <c r="B659" s="2" t="s">
        <v>28</v>
      </c>
      <c r="C659" s="6" t="str">
        <f t="shared" si="1"/>
        <v>Madhumand Sarang_7</v>
      </c>
      <c r="D659" s="12" t="s">
        <v>834</v>
      </c>
      <c r="E659" s="2" t="s">
        <v>25</v>
      </c>
      <c r="F659" s="2" t="s">
        <v>66</v>
      </c>
      <c r="H659" s="6" t="str">
        <f>VLOOKUP(F659, ArtistCount!$A$1:$C$286, 3, FALSE)</f>
        <v>#N/A</v>
      </c>
    </row>
    <row r="660" ht="22.5" customHeight="1">
      <c r="A660" s="5" t="s">
        <v>825</v>
      </c>
      <c r="B660" s="2" t="s">
        <v>43</v>
      </c>
      <c r="C660" s="6" t="str">
        <f t="shared" si="1"/>
        <v>Madhumand Sarang_8</v>
      </c>
      <c r="D660" s="12" t="s">
        <v>835</v>
      </c>
      <c r="E660" s="2" t="s">
        <v>25</v>
      </c>
      <c r="F660" s="2" t="s">
        <v>52</v>
      </c>
      <c r="H660" s="6" t="str">
        <f>VLOOKUP(F660, ArtistCount!$A$1:$C$286, 3, FALSE)</f>
        <v>#N/A</v>
      </c>
    </row>
    <row r="661" ht="22.5" customHeight="1">
      <c r="A661" s="5" t="s">
        <v>825</v>
      </c>
      <c r="B661" s="2" t="s">
        <v>24</v>
      </c>
      <c r="C661" s="6" t="str">
        <f t="shared" si="1"/>
        <v>Madhumand Sarang_9</v>
      </c>
      <c r="D661" s="12" t="s">
        <v>836</v>
      </c>
      <c r="E661" s="2" t="s">
        <v>114</v>
      </c>
      <c r="F661" s="2" t="s">
        <v>612</v>
      </c>
      <c r="H661" s="6" t="str">
        <f>VLOOKUP(F661, ArtistCount!$A$1:$C$286, 3, FALSE)</f>
        <v>#N/A</v>
      </c>
    </row>
    <row r="662" ht="22.5" customHeight="1">
      <c r="A662" s="5" t="s">
        <v>825</v>
      </c>
      <c r="B662" s="2" t="s">
        <v>38</v>
      </c>
      <c r="C662" s="6" t="str">
        <f t="shared" si="1"/>
        <v>Madhumand Sarang_10</v>
      </c>
      <c r="D662" s="12" t="s">
        <v>837</v>
      </c>
      <c r="E662" s="2" t="s">
        <v>25</v>
      </c>
      <c r="F662" s="2" t="s">
        <v>134</v>
      </c>
      <c r="H662" s="6" t="str">
        <f>VLOOKUP(F662, ArtistCount!$A$1:$C$286, 3, FALSE)</f>
        <v>#N/A</v>
      </c>
    </row>
    <row r="663" ht="22.5" customHeight="1">
      <c r="A663" s="5" t="s">
        <v>838</v>
      </c>
      <c r="B663" s="2" t="s">
        <v>28</v>
      </c>
      <c r="C663" s="6" t="str">
        <f t="shared" si="1"/>
        <v>Madhuvanti_1</v>
      </c>
      <c r="D663" s="12" t="s">
        <v>839</v>
      </c>
      <c r="E663" s="2" t="s">
        <v>167</v>
      </c>
      <c r="F663" s="2" t="s">
        <v>168</v>
      </c>
      <c r="H663" s="6" t="str">
        <f>VLOOKUP(F663, ArtistCount!$A$1:$C$286, 3, FALSE)</f>
        <v>#N/A</v>
      </c>
    </row>
    <row r="664" ht="22.5" customHeight="1">
      <c r="A664" s="5" t="s">
        <v>838</v>
      </c>
      <c r="B664" s="2" t="s">
        <v>32</v>
      </c>
      <c r="C664" s="6" t="str">
        <f t="shared" si="1"/>
        <v>Madhuvanti_2</v>
      </c>
      <c r="D664" s="12" t="s">
        <v>840</v>
      </c>
      <c r="E664" s="2" t="s">
        <v>25</v>
      </c>
      <c r="F664" s="2" t="s">
        <v>508</v>
      </c>
      <c r="H664" s="6" t="str">
        <f>VLOOKUP(F664, ArtistCount!$A$1:$C$286, 3, FALSE)</f>
        <v>#N/A</v>
      </c>
    </row>
    <row r="665" ht="22.5" customHeight="1">
      <c r="A665" s="5" t="s">
        <v>838</v>
      </c>
      <c r="B665" s="2" t="s">
        <v>38</v>
      </c>
      <c r="C665" s="6" t="str">
        <f t="shared" si="1"/>
        <v>Madhuvanti_3</v>
      </c>
      <c r="D665" s="12" t="s">
        <v>841</v>
      </c>
      <c r="E665" s="2" t="s">
        <v>25</v>
      </c>
      <c r="F665" s="2" t="s">
        <v>157</v>
      </c>
      <c r="H665" s="6" t="str">
        <f>VLOOKUP(F665, ArtistCount!$A$1:$C$286, 3, FALSE)</f>
        <v>#N/A</v>
      </c>
    </row>
    <row r="666" ht="22.5" customHeight="1">
      <c r="A666" s="5" t="s">
        <v>838</v>
      </c>
      <c r="B666" s="2" t="s">
        <v>32</v>
      </c>
      <c r="C666" s="6" t="str">
        <f t="shared" si="1"/>
        <v>Madhuvanti_4</v>
      </c>
      <c r="D666" s="12" t="s">
        <v>842</v>
      </c>
      <c r="E666" s="2" t="s">
        <v>167</v>
      </c>
      <c r="F666" s="2" t="s">
        <v>816</v>
      </c>
      <c r="H666" s="6" t="str">
        <f>VLOOKUP(F666, ArtistCount!$A$1:$C$286, 3, FALSE)</f>
        <v>#N/A</v>
      </c>
    </row>
    <row r="667" ht="22.5" customHeight="1">
      <c r="A667" s="5" t="s">
        <v>838</v>
      </c>
      <c r="B667" s="2" t="s">
        <v>24</v>
      </c>
      <c r="C667" s="6" t="str">
        <f t="shared" si="1"/>
        <v>Madhuvanti_5</v>
      </c>
      <c r="D667" s="12" t="s">
        <v>843</v>
      </c>
      <c r="E667" s="2" t="s">
        <v>25</v>
      </c>
      <c r="F667" s="2" t="s">
        <v>56</v>
      </c>
      <c r="H667" s="6" t="str">
        <f>VLOOKUP(F667, ArtistCount!$A$1:$C$286, 3, FALSE)</f>
        <v>#N/A</v>
      </c>
    </row>
    <row r="668" ht="22.5" customHeight="1">
      <c r="A668" s="5" t="s">
        <v>838</v>
      </c>
      <c r="B668" s="2" t="s">
        <v>43</v>
      </c>
      <c r="C668" s="6" t="str">
        <f t="shared" si="1"/>
        <v>Madhuvanti_6</v>
      </c>
      <c r="D668" s="12" t="s">
        <v>844</v>
      </c>
      <c r="E668" s="2" t="s">
        <v>25</v>
      </c>
      <c r="F668" s="2" t="s">
        <v>845</v>
      </c>
      <c r="H668" s="6" t="str">
        <f>VLOOKUP(F668, ArtistCount!$A$1:$C$286, 3, FALSE)</f>
        <v>#N/A</v>
      </c>
    </row>
    <row r="669" ht="22.5" customHeight="1">
      <c r="A669" s="5" t="s">
        <v>838</v>
      </c>
      <c r="B669" s="2" t="s">
        <v>38</v>
      </c>
      <c r="C669" s="6" t="str">
        <f t="shared" si="1"/>
        <v>Madhuvanti_7</v>
      </c>
      <c r="D669" s="12" t="s">
        <v>846</v>
      </c>
      <c r="E669" s="2" t="s">
        <v>25</v>
      </c>
      <c r="F669" s="2" t="s">
        <v>558</v>
      </c>
      <c r="H669" s="6" t="str">
        <f>VLOOKUP(F669, ArtistCount!$A$1:$C$286, 3, FALSE)</f>
        <v>#N/A</v>
      </c>
    </row>
    <row r="670" ht="22.5" customHeight="1">
      <c r="A670" s="5" t="s">
        <v>838</v>
      </c>
      <c r="B670" s="2" t="s">
        <v>32</v>
      </c>
      <c r="C670" s="6" t="str">
        <f t="shared" si="1"/>
        <v>Madhuvanti_8</v>
      </c>
      <c r="D670" s="12" t="s">
        <v>847</v>
      </c>
      <c r="E670" s="2" t="s">
        <v>25</v>
      </c>
      <c r="F670" s="2" t="s">
        <v>34</v>
      </c>
      <c r="H670" s="6" t="str">
        <f>VLOOKUP(F670, ArtistCount!$A$1:$C$286, 3, FALSE)</f>
        <v>#N/A</v>
      </c>
    </row>
    <row r="671" ht="22.5" customHeight="1">
      <c r="A671" s="5" t="s">
        <v>838</v>
      </c>
      <c r="B671" s="2" t="s">
        <v>38</v>
      </c>
      <c r="C671" s="6" t="str">
        <f t="shared" si="1"/>
        <v>Madhuvanti_9</v>
      </c>
      <c r="D671" s="12" t="s">
        <v>848</v>
      </c>
      <c r="E671" s="2" t="s">
        <v>25</v>
      </c>
      <c r="F671" s="2" t="s">
        <v>142</v>
      </c>
      <c r="H671" s="6" t="str">
        <f>VLOOKUP(F671, ArtistCount!$A$1:$C$286, 3, FALSE)</f>
        <v>#N/A</v>
      </c>
    </row>
    <row r="672" ht="22.5" customHeight="1">
      <c r="A672" s="5" t="s">
        <v>838</v>
      </c>
      <c r="B672" s="2" t="s">
        <v>24</v>
      </c>
      <c r="C672" s="6" t="str">
        <f t="shared" si="1"/>
        <v>Madhuvanti_10</v>
      </c>
      <c r="D672" s="18"/>
      <c r="E672" s="8" t="s">
        <v>25</v>
      </c>
      <c r="F672" s="8" t="s">
        <v>26</v>
      </c>
      <c r="H672" s="2" t="str">
        <f>VLOOKUP(F672, ArtistCount!$A$1:$C$286, 3, FALSE)</f>
        <v>#N/A</v>
      </c>
      <c r="I672" s="2" t="s">
        <v>27</v>
      </c>
    </row>
    <row r="673" ht="22.5" customHeight="1">
      <c r="A673" s="5" t="s">
        <v>838</v>
      </c>
      <c r="B673" s="2" t="s">
        <v>29</v>
      </c>
      <c r="C673" s="6" t="str">
        <f t="shared" si="1"/>
        <v>Madhuvanti_11</v>
      </c>
      <c r="D673" s="18"/>
      <c r="E673" s="8" t="s">
        <v>25</v>
      </c>
      <c r="F673" s="8" t="s">
        <v>142</v>
      </c>
      <c r="H673" s="2" t="str">
        <f>VLOOKUP(F673, ArtistCount!$A$1:$C$286, 3, FALSE)</f>
        <v>#N/A</v>
      </c>
      <c r="I673" s="2" t="s">
        <v>27</v>
      </c>
    </row>
    <row r="674" ht="22.5" customHeight="1">
      <c r="A674" s="5" t="s">
        <v>838</v>
      </c>
      <c r="B674" s="2" t="s">
        <v>43</v>
      </c>
      <c r="C674" s="6" t="str">
        <f t="shared" si="1"/>
        <v>Madhuvanti_12</v>
      </c>
      <c r="D674" s="18"/>
      <c r="E674" s="8" t="s">
        <v>25</v>
      </c>
      <c r="F674" s="8" t="s">
        <v>849</v>
      </c>
      <c r="H674" s="2" t="str">
        <f>VLOOKUP(F674, ArtistCount!$A$1:$C$286, 3, FALSE)</f>
        <v>#N/A</v>
      </c>
      <c r="I674" s="2" t="s">
        <v>27</v>
      </c>
    </row>
    <row r="675" ht="22.5" customHeight="1">
      <c r="A675" s="5" t="s">
        <v>838</v>
      </c>
      <c r="B675" s="2" t="s">
        <v>24</v>
      </c>
      <c r="C675" s="6" t="str">
        <f t="shared" si="1"/>
        <v>Madhuvanti_13</v>
      </c>
      <c r="D675" s="18"/>
      <c r="E675" s="8" t="s">
        <v>25</v>
      </c>
      <c r="F675" s="8" t="s">
        <v>30</v>
      </c>
      <c r="H675" s="2" t="str">
        <f>VLOOKUP(F675, ArtistCount!$A$1:$C$286, 3, FALSE)</f>
        <v>#N/A</v>
      </c>
      <c r="I675" s="2" t="s">
        <v>27</v>
      </c>
    </row>
    <row r="676" ht="22.5" customHeight="1">
      <c r="A676" s="5" t="s">
        <v>838</v>
      </c>
      <c r="B676" s="2" t="s">
        <v>24</v>
      </c>
      <c r="C676" s="6" t="str">
        <f t="shared" si="1"/>
        <v>Madhuvanti_14</v>
      </c>
      <c r="D676" s="18"/>
      <c r="E676" s="8" t="s">
        <v>25</v>
      </c>
      <c r="F676" s="8" t="s">
        <v>56</v>
      </c>
      <c r="H676" s="2" t="str">
        <f>VLOOKUP(F676, ArtistCount!$A$1:$C$286, 3, FALSE)</f>
        <v>#N/A</v>
      </c>
      <c r="I676" s="2" t="s">
        <v>27</v>
      </c>
    </row>
    <row r="677" ht="22.5" customHeight="1">
      <c r="A677" s="5" t="s">
        <v>838</v>
      </c>
      <c r="B677" s="2" t="s">
        <v>24</v>
      </c>
      <c r="C677" s="6" t="str">
        <f t="shared" si="1"/>
        <v>Madhuvanti_15</v>
      </c>
      <c r="D677" s="18"/>
      <c r="E677" s="8" t="s">
        <v>25</v>
      </c>
      <c r="F677" s="8" t="s">
        <v>56</v>
      </c>
      <c r="H677" s="2" t="str">
        <f>VLOOKUP(F677, ArtistCount!$A$1:$C$286, 3, FALSE)</f>
        <v>#N/A</v>
      </c>
      <c r="I677" s="2" t="s">
        <v>27</v>
      </c>
    </row>
    <row r="678" ht="22.5" customHeight="1">
      <c r="A678" s="5" t="s">
        <v>838</v>
      </c>
      <c r="B678" s="2" t="s">
        <v>29</v>
      </c>
      <c r="C678" s="6" t="str">
        <f t="shared" si="1"/>
        <v>Madhuvanti_16</v>
      </c>
      <c r="D678" s="18"/>
      <c r="E678" s="8" t="s">
        <v>25</v>
      </c>
      <c r="F678" s="8" t="s">
        <v>850</v>
      </c>
      <c r="H678" s="2" t="str">
        <f>VLOOKUP(F678, ArtistCount!$A$1:$C$286, 3, FALSE)</f>
        <v>#N/A</v>
      </c>
      <c r="I678" s="2" t="s">
        <v>27</v>
      </c>
    </row>
    <row r="679" ht="22.5" customHeight="1">
      <c r="A679" s="5" t="s">
        <v>838</v>
      </c>
      <c r="B679" s="2" t="s">
        <v>38</v>
      </c>
      <c r="C679" s="6" t="str">
        <f t="shared" si="1"/>
        <v>Madhuvanti_17</v>
      </c>
      <c r="D679" s="18"/>
      <c r="E679" s="8" t="s">
        <v>25</v>
      </c>
      <c r="F679" s="8" t="s">
        <v>157</v>
      </c>
      <c r="H679" s="2" t="str">
        <f>VLOOKUP(F679, ArtistCount!$A$1:$C$286, 3, FALSE)</f>
        <v>#N/A</v>
      </c>
      <c r="I679" s="2" t="s">
        <v>27</v>
      </c>
    </row>
    <row r="680" ht="22.5" customHeight="1">
      <c r="A680" s="5" t="s">
        <v>838</v>
      </c>
      <c r="B680" s="2" t="s">
        <v>38</v>
      </c>
      <c r="C680" s="6" t="str">
        <f t="shared" si="1"/>
        <v>Madhuvanti_18</v>
      </c>
      <c r="D680" s="18"/>
      <c r="E680" s="8" t="s">
        <v>25</v>
      </c>
      <c r="F680" s="8" t="s">
        <v>157</v>
      </c>
      <c r="H680" s="2" t="str">
        <f>VLOOKUP(F680, ArtistCount!$A$1:$C$286, 3, FALSE)</f>
        <v>#N/A</v>
      </c>
      <c r="I680" s="2" t="s">
        <v>27</v>
      </c>
    </row>
    <row r="681" ht="22.5" customHeight="1">
      <c r="A681" s="5" t="s">
        <v>838</v>
      </c>
      <c r="B681" s="2" t="s">
        <v>38</v>
      </c>
      <c r="C681" s="6" t="str">
        <f t="shared" si="1"/>
        <v>Madhuvanti_19</v>
      </c>
      <c r="D681" s="18"/>
      <c r="E681" s="8" t="s">
        <v>25</v>
      </c>
      <c r="F681" s="8" t="s">
        <v>157</v>
      </c>
      <c r="H681" s="2" t="str">
        <f>VLOOKUP(F681, ArtistCount!$A$1:$C$286, 3, FALSE)</f>
        <v>#N/A</v>
      </c>
      <c r="I681" s="2" t="s">
        <v>27</v>
      </c>
    </row>
    <row r="682" ht="22.5" customHeight="1">
      <c r="A682" s="5" t="s">
        <v>851</v>
      </c>
      <c r="B682" s="2" t="s">
        <v>62</v>
      </c>
      <c r="C682" s="6" t="str">
        <f t="shared" si="1"/>
        <v>Malgunji_1</v>
      </c>
      <c r="D682" s="12" t="s">
        <v>852</v>
      </c>
      <c r="E682" s="2" t="s">
        <v>25</v>
      </c>
      <c r="F682" s="2" t="s">
        <v>153</v>
      </c>
      <c r="H682" s="2" t="str">
        <f>VLOOKUP(F682, ArtistCount!$A$1:$C$286, 3, FALSE)</f>
        <v>#N/A</v>
      </c>
      <c r="I682" s="2" t="s">
        <v>154</v>
      </c>
    </row>
    <row r="683" ht="22.5" customHeight="1">
      <c r="A683" s="5" t="s">
        <v>851</v>
      </c>
      <c r="B683" s="2" t="s">
        <v>127</v>
      </c>
      <c r="C683" s="6" t="str">
        <f t="shared" si="1"/>
        <v>Malgunji_2</v>
      </c>
      <c r="D683" s="12" t="s">
        <v>853</v>
      </c>
      <c r="E683" s="2" t="s">
        <v>25</v>
      </c>
      <c r="F683" s="2" t="s">
        <v>850</v>
      </c>
      <c r="H683" s="6" t="str">
        <f>VLOOKUP(F683, ArtistCount!$A$1:$C$286, 3, FALSE)</f>
        <v>#N/A</v>
      </c>
    </row>
    <row r="684" ht="22.5" customHeight="1">
      <c r="A684" s="5" t="s">
        <v>851</v>
      </c>
      <c r="B684" s="2" t="s">
        <v>29</v>
      </c>
      <c r="C684" s="6" t="str">
        <f t="shared" si="1"/>
        <v>Malgunji_3</v>
      </c>
      <c r="D684" s="12" t="s">
        <v>854</v>
      </c>
      <c r="E684" s="2" t="s">
        <v>25</v>
      </c>
      <c r="F684" s="2" t="s">
        <v>373</v>
      </c>
      <c r="H684" s="6" t="str">
        <f>VLOOKUP(F684, ArtistCount!$A$1:$C$286, 3, FALSE)</f>
        <v>#N/A</v>
      </c>
    </row>
    <row r="685" ht="22.5" customHeight="1">
      <c r="A685" s="5" t="s">
        <v>851</v>
      </c>
      <c r="B685" s="2" t="s">
        <v>32</v>
      </c>
      <c r="C685" s="6" t="str">
        <f t="shared" si="1"/>
        <v>Malgunji_4</v>
      </c>
      <c r="D685" s="12" t="s">
        <v>855</v>
      </c>
      <c r="E685" s="2" t="s">
        <v>25</v>
      </c>
      <c r="F685" s="2" t="s">
        <v>577</v>
      </c>
      <c r="H685" s="6" t="str">
        <f>VLOOKUP(F685, ArtistCount!$A$1:$C$286, 3, FALSE)</f>
        <v>#N/A</v>
      </c>
    </row>
    <row r="686" ht="22.5" customHeight="1">
      <c r="A686" s="5" t="s">
        <v>851</v>
      </c>
      <c r="B686" s="2" t="s">
        <v>32</v>
      </c>
      <c r="C686" s="6" t="str">
        <f t="shared" si="1"/>
        <v>Malgunji_5</v>
      </c>
      <c r="D686" s="12" t="s">
        <v>856</v>
      </c>
      <c r="E686" s="2" t="s">
        <v>25</v>
      </c>
      <c r="F686" s="8" t="s">
        <v>419</v>
      </c>
      <c r="H686" s="6" t="str">
        <f>VLOOKUP(F686, ArtistCount!$A$1:$C$286, 3, FALSE)</f>
        <v>#N/A</v>
      </c>
    </row>
    <row r="687" ht="22.5" customHeight="1">
      <c r="A687" s="5" t="s">
        <v>851</v>
      </c>
      <c r="B687" s="2" t="s">
        <v>32</v>
      </c>
      <c r="C687" s="6" t="str">
        <f t="shared" si="1"/>
        <v>Malgunji_6</v>
      </c>
      <c r="D687" s="12" t="s">
        <v>857</v>
      </c>
      <c r="E687" s="2" t="s">
        <v>114</v>
      </c>
      <c r="F687" s="2" t="s">
        <v>211</v>
      </c>
      <c r="H687" s="6" t="str">
        <f>VLOOKUP(F687, ArtistCount!$A$1:$C$286, 3, FALSE)</f>
        <v>#N/A</v>
      </c>
    </row>
    <row r="688" ht="22.5" customHeight="1">
      <c r="A688" s="5" t="s">
        <v>851</v>
      </c>
      <c r="B688" s="28" t="s">
        <v>43</v>
      </c>
      <c r="C688" s="6" t="str">
        <f t="shared" si="1"/>
        <v>Malgunji_7</v>
      </c>
      <c r="D688" s="12" t="s">
        <v>858</v>
      </c>
      <c r="E688" s="2" t="s">
        <v>25</v>
      </c>
      <c r="F688" s="2" t="s">
        <v>376</v>
      </c>
      <c r="H688" s="6" t="str">
        <f>VLOOKUP(F688, ArtistCount!$A$1:$C$286, 3, FALSE)</f>
        <v>#N/A</v>
      </c>
    </row>
    <row r="689" ht="22.5" customHeight="1">
      <c r="A689" s="5" t="s">
        <v>851</v>
      </c>
      <c r="B689" s="2" t="s">
        <v>24</v>
      </c>
      <c r="C689" s="6" t="str">
        <f t="shared" si="1"/>
        <v>Malgunji_8</v>
      </c>
      <c r="D689" s="12" t="s">
        <v>859</v>
      </c>
      <c r="E689" s="2" t="s">
        <v>25</v>
      </c>
      <c r="F689" s="2" t="s">
        <v>429</v>
      </c>
      <c r="H689" s="6" t="str">
        <f>VLOOKUP(F689, ArtistCount!$A$1:$C$286, 3, FALSE)</f>
        <v>#N/A</v>
      </c>
    </row>
    <row r="690" ht="22.5" customHeight="1">
      <c r="A690" s="5" t="s">
        <v>851</v>
      </c>
      <c r="B690" s="2" t="s">
        <v>58</v>
      </c>
      <c r="C690" s="6" t="str">
        <f t="shared" si="1"/>
        <v>Malgunji_9</v>
      </c>
      <c r="D690" s="12" t="s">
        <v>860</v>
      </c>
      <c r="E690" s="2" t="s">
        <v>25</v>
      </c>
      <c r="F690" s="2" t="s">
        <v>861</v>
      </c>
      <c r="H690" s="6" t="str">
        <f>VLOOKUP(F690, ArtistCount!$A$1:$C$286, 3, FALSE)</f>
        <v>#N/A</v>
      </c>
    </row>
    <row r="691" ht="22.5" customHeight="1">
      <c r="A691" s="5" t="s">
        <v>862</v>
      </c>
      <c r="B691" s="2" t="s">
        <v>89</v>
      </c>
      <c r="C691" s="6" t="str">
        <f t="shared" si="1"/>
        <v>Malkauns_1</v>
      </c>
      <c r="D691" s="18"/>
      <c r="E691" s="8" t="s">
        <v>25</v>
      </c>
      <c r="F691" s="8" t="s">
        <v>863</v>
      </c>
      <c r="H691" s="2" t="str">
        <f>VLOOKUP(F691, ArtistCount!$A$1:$C$286, 3, FALSE)</f>
        <v>#N/A</v>
      </c>
      <c r="I691" s="2" t="s">
        <v>27</v>
      </c>
    </row>
    <row r="692" ht="22.5" customHeight="1">
      <c r="A692" s="5" t="s">
        <v>862</v>
      </c>
      <c r="B692" s="2" t="s">
        <v>24</v>
      </c>
      <c r="C692" s="6" t="str">
        <f t="shared" si="1"/>
        <v>Malkauns_2</v>
      </c>
      <c r="D692" s="18"/>
      <c r="E692" s="8" t="s">
        <v>25</v>
      </c>
      <c r="F692" s="8" t="s">
        <v>233</v>
      </c>
      <c r="H692" s="2" t="str">
        <f>VLOOKUP(F692, ArtistCount!$A$1:$C$286, 3, FALSE)</f>
        <v>#N/A</v>
      </c>
      <c r="I692" s="2" t="s">
        <v>27</v>
      </c>
    </row>
    <row r="693" ht="22.5" customHeight="1">
      <c r="A693" s="5" t="s">
        <v>862</v>
      </c>
      <c r="B693" s="2" t="s">
        <v>29</v>
      </c>
      <c r="C693" s="6" t="str">
        <f t="shared" si="1"/>
        <v>Malkauns_3</v>
      </c>
      <c r="D693" s="18"/>
      <c r="E693" s="8" t="s">
        <v>25</v>
      </c>
      <c r="F693" s="8" t="s">
        <v>142</v>
      </c>
      <c r="H693" s="2" t="str">
        <f>VLOOKUP(F693, ArtistCount!$A$1:$C$286, 3, FALSE)</f>
        <v>#N/A</v>
      </c>
      <c r="I693" s="2" t="s">
        <v>27</v>
      </c>
    </row>
    <row r="694" ht="22.5" customHeight="1">
      <c r="A694" s="5" t="s">
        <v>862</v>
      </c>
      <c r="B694" s="2" t="s">
        <v>43</v>
      </c>
      <c r="C694" s="6" t="str">
        <f t="shared" si="1"/>
        <v>Malkauns_4</v>
      </c>
      <c r="D694" s="18"/>
      <c r="E694" s="8" t="s">
        <v>25</v>
      </c>
      <c r="F694" s="8" t="s">
        <v>94</v>
      </c>
      <c r="H694" s="2" t="str">
        <f>VLOOKUP(F694, ArtistCount!$A$1:$C$286, 3, FALSE)</f>
        <v>#N/A</v>
      </c>
      <c r="I694" s="2" t="s">
        <v>27</v>
      </c>
    </row>
    <row r="695" ht="22.5" customHeight="1">
      <c r="A695" s="5" t="s">
        <v>862</v>
      </c>
      <c r="B695" s="2" t="s">
        <v>43</v>
      </c>
      <c r="C695" s="6" t="str">
        <f t="shared" si="1"/>
        <v>Malkauns_5</v>
      </c>
      <c r="D695" s="18"/>
      <c r="E695" s="8" t="s">
        <v>25</v>
      </c>
      <c r="F695" s="8" t="s">
        <v>34</v>
      </c>
      <c r="H695" s="2" t="str">
        <f>VLOOKUP(F695, ArtistCount!$A$1:$C$286, 3, FALSE)</f>
        <v>#N/A</v>
      </c>
      <c r="I695" s="2" t="s">
        <v>27</v>
      </c>
    </row>
    <row r="696" ht="22.5" customHeight="1">
      <c r="A696" s="5" t="s">
        <v>862</v>
      </c>
      <c r="B696" s="2" t="s">
        <v>24</v>
      </c>
      <c r="C696" s="6" t="str">
        <f t="shared" si="1"/>
        <v>Malkauns_6</v>
      </c>
      <c r="D696" s="18"/>
      <c r="E696" s="8" t="s">
        <v>25</v>
      </c>
      <c r="F696" s="8" t="s">
        <v>102</v>
      </c>
      <c r="H696" s="2" t="str">
        <f>VLOOKUP(F696, ArtistCount!$A$1:$C$286, 3, FALSE)</f>
        <v>#N/A</v>
      </c>
      <c r="I696" s="2" t="s">
        <v>27</v>
      </c>
    </row>
    <row r="697" ht="22.5" customHeight="1">
      <c r="A697" s="5" t="s">
        <v>862</v>
      </c>
      <c r="B697" s="2" t="s">
        <v>43</v>
      </c>
      <c r="C697" s="6" t="str">
        <f t="shared" si="1"/>
        <v>Malkauns_7</v>
      </c>
      <c r="D697" s="18"/>
      <c r="E697" s="8" t="s">
        <v>25</v>
      </c>
      <c r="F697" s="8" t="s">
        <v>83</v>
      </c>
      <c r="H697" s="2" t="str">
        <f>VLOOKUP(F697, ArtistCount!$A$1:$C$286, 3, FALSE)</f>
        <v>#N/A</v>
      </c>
      <c r="I697" s="2" t="s">
        <v>27</v>
      </c>
    </row>
    <row r="698" ht="22.5" customHeight="1">
      <c r="A698" s="5" t="s">
        <v>862</v>
      </c>
      <c r="B698" s="2" t="s">
        <v>29</v>
      </c>
      <c r="C698" s="6" t="str">
        <f t="shared" si="1"/>
        <v>Malkauns_8</v>
      </c>
      <c r="D698" s="18"/>
      <c r="E698" s="8" t="s">
        <v>25</v>
      </c>
      <c r="F698" s="8" t="s">
        <v>103</v>
      </c>
      <c r="H698" s="2" t="str">
        <f>VLOOKUP(F698, ArtistCount!$A$1:$C$286, 3, FALSE)</f>
        <v>#N/A</v>
      </c>
      <c r="I698" s="2" t="s">
        <v>27</v>
      </c>
    </row>
    <row r="699" ht="22.5" customHeight="1">
      <c r="A699" s="5" t="s">
        <v>862</v>
      </c>
      <c r="B699" s="2" t="s">
        <v>32</v>
      </c>
      <c r="C699" s="6" t="str">
        <f t="shared" si="1"/>
        <v>Malkauns_9</v>
      </c>
      <c r="D699" s="18"/>
      <c r="E699" s="8" t="s">
        <v>25</v>
      </c>
      <c r="F699" s="8" t="s">
        <v>864</v>
      </c>
      <c r="H699" s="2" t="str">
        <f>VLOOKUP(F699, ArtistCount!$A$1:$C$286, 3, FALSE)</f>
        <v>#N/A</v>
      </c>
      <c r="I699" s="2" t="s">
        <v>27</v>
      </c>
    </row>
    <row r="700" ht="22.5" customHeight="1">
      <c r="A700" s="5" t="s">
        <v>862</v>
      </c>
      <c r="B700" s="2" t="s">
        <v>24</v>
      </c>
      <c r="C700" s="6" t="str">
        <f t="shared" si="1"/>
        <v>Malkauns_10</v>
      </c>
      <c r="D700" s="18"/>
      <c r="E700" s="8" t="s">
        <v>25</v>
      </c>
      <c r="F700" s="8" t="s">
        <v>37</v>
      </c>
      <c r="H700" s="2" t="str">
        <f>VLOOKUP(F700, ArtistCount!$A$1:$C$286, 3, FALSE)</f>
        <v>#N/A</v>
      </c>
      <c r="I700" s="2" t="s">
        <v>27</v>
      </c>
    </row>
    <row r="701" ht="22.5" customHeight="1">
      <c r="A701" s="5" t="s">
        <v>865</v>
      </c>
      <c r="B701" s="2" t="s">
        <v>24</v>
      </c>
      <c r="C701" s="6" t="str">
        <f t="shared" si="1"/>
        <v>Mand_1</v>
      </c>
      <c r="D701" s="15" t="s">
        <v>866</v>
      </c>
      <c r="E701" s="2" t="s">
        <v>25</v>
      </c>
      <c r="F701" s="2" t="s">
        <v>37</v>
      </c>
      <c r="H701" s="6" t="str">
        <f>VLOOKUP(F701, ArtistCount!$A$1:$C$286, 3, FALSE)</f>
        <v>#N/A</v>
      </c>
    </row>
    <row r="702" ht="22.5" customHeight="1">
      <c r="A702" s="5" t="s">
        <v>865</v>
      </c>
      <c r="B702" s="2" t="s">
        <v>28</v>
      </c>
      <c r="C702" s="6" t="str">
        <f t="shared" si="1"/>
        <v>Mand_2</v>
      </c>
      <c r="D702" s="12" t="s">
        <v>867</v>
      </c>
      <c r="E702" s="2" t="s">
        <v>91</v>
      </c>
      <c r="F702" s="2" t="s">
        <v>361</v>
      </c>
      <c r="H702" s="6" t="str">
        <f>VLOOKUP(F702, ArtistCount!$A$1:$C$286, 3, FALSE)</f>
        <v>#N/A</v>
      </c>
    </row>
    <row r="703" ht="22.5" customHeight="1">
      <c r="A703" s="5" t="s">
        <v>865</v>
      </c>
      <c r="B703" s="2" t="s">
        <v>38</v>
      </c>
      <c r="C703" s="6" t="str">
        <f t="shared" si="1"/>
        <v>Mand_3</v>
      </c>
      <c r="D703" s="12" t="s">
        <v>868</v>
      </c>
      <c r="E703" s="2" t="s">
        <v>25</v>
      </c>
      <c r="F703" s="2" t="s">
        <v>153</v>
      </c>
      <c r="H703" s="2" t="str">
        <f>VLOOKUP(F703, ArtistCount!$A$1:$C$286, 3, FALSE)</f>
        <v>#N/A</v>
      </c>
      <c r="I703" s="2" t="s">
        <v>154</v>
      </c>
    </row>
    <row r="704" ht="22.5" customHeight="1">
      <c r="A704" s="5" t="s">
        <v>865</v>
      </c>
      <c r="B704" s="16" t="s">
        <v>32</v>
      </c>
      <c r="C704" s="6" t="str">
        <f t="shared" si="1"/>
        <v>Mand_4</v>
      </c>
      <c r="D704" s="12" t="s">
        <v>869</v>
      </c>
      <c r="E704" s="2" t="s">
        <v>114</v>
      </c>
      <c r="F704" s="2" t="s">
        <v>612</v>
      </c>
      <c r="H704" s="6" t="str">
        <f>VLOOKUP(F704, ArtistCount!$A$1:$C$286, 3, FALSE)</f>
        <v>#N/A</v>
      </c>
    </row>
    <row r="705" ht="22.5" customHeight="1">
      <c r="A705" s="5" t="s">
        <v>865</v>
      </c>
      <c r="B705" s="2" t="s">
        <v>32</v>
      </c>
      <c r="C705" s="6" t="str">
        <f t="shared" si="1"/>
        <v>Mand_5</v>
      </c>
      <c r="D705" s="12" t="s">
        <v>870</v>
      </c>
      <c r="E705" s="2" t="s">
        <v>25</v>
      </c>
      <c r="F705" s="2" t="s">
        <v>871</v>
      </c>
      <c r="H705" s="6" t="str">
        <f>VLOOKUP(F705, ArtistCount!$A$1:$C$286, 3, FALSE)</f>
        <v>#N/A</v>
      </c>
    </row>
    <row r="706" ht="22.5" customHeight="1">
      <c r="A706" s="5" t="s">
        <v>865</v>
      </c>
      <c r="B706" s="2" t="s">
        <v>24</v>
      </c>
      <c r="C706" s="6" t="str">
        <f t="shared" si="1"/>
        <v>Mand_6</v>
      </c>
      <c r="D706" s="12" t="s">
        <v>872</v>
      </c>
      <c r="E706" s="2" t="s">
        <v>25</v>
      </c>
      <c r="F706" s="2" t="s">
        <v>871</v>
      </c>
      <c r="H706" s="6" t="str">
        <f>VLOOKUP(F706, ArtistCount!$A$1:$C$286, 3, FALSE)</f>
        <v>#N/A</v>
      </c>
    </row>
    <row r="707" ht="22.5" customHeight="1">
      <c r="A707" s="5" t="s">
        <v>865</v>
      </c>
      <c r="B707" s="16" t="s">
        <v>32</v>
      </c>
      <c r="C707" s="6" t="str">
        <f t="shared" si="1"/>
        <v>Mand_7</v>
      </c>
      <c r="D707" s="12" t="s">
        <v>873</v>
      </c>
      <c r="E707" s="2" t="s">
        <v>25</v>
      </c>
      <c r="F707" s="2" t="s">
        <v>871</v>
      </c>
      <c r="H707" s="6" t="str">
        <f>VLOOKUP(F707, ArtistCount!$A$1:$C$286, 3, FALSE)</f>
        <v>#N/A</v>
      </c>
    </row>
    <row r="708" ht="22.5" customHeight="1">
      <c r="A708" s="5" t="s">
        <v>865</v>
      </c>
      <c r="B708" s="2" t="s">
        <v>43</v>
      </c>
      <c r="C708" s="6" t="str">
        <f t="shared" si="1"/>
        <v>Mand_8</v>
      </c>
      <c r="D708" s="15" t="s">
        <v>874</v>
      </c>
      <c r="E708" s="2" t="s">
        <v>25</v>
      </c>
      <c r="F708" s="2" t="s">
        <v>110</v>
      </c>
      <c r="H708" s="6" t="str">
        <f>VLOOKUP(F708, ArtistCount!$A$1:$C$286, 3, FALSE)</f>
        <v>#N/A</v>
      </c>
    </row>
    <row r="709" ht="22.5" customHeight="1">
      <c r="A709" s="5" t="s">
        <v>865</v>
      </c>
      <c r="B709" s="2" t="s">
        <v>24</v>
      </c>
      <c r="C709" s="6" t="str">
        <f t="shared" si="1"/>
        <v>Mand_9</v>
      </c>
      <c r="D709" s="12" t="s">
        <v>875</v>
      </c>
      <c r="E709" s="2" t="s">
        <v>25</v>
      </c>
      <c r="F709" s="2" t="s">
        <v>871</v>
      </c>
      <c r="H709" s="6" t="str">
        <f>VLOOKUP(F709, ArtistCount!$A$1:$C$286, 3, FALSE)</f>
        <v>#N/A</v>
      </c>
    </row>
    <row r="710" ht="22.5" customHeight="1">
      <c r="A710" s="5" t="s">
        <v>876</v>
      </c>
      <c r="B710" s="21" t="s">
        <v>43</v>
      </c>
      <c r="C710" s="6" t="str">
        <f t="shared" si="1"/>
        <v>Manj Khamaj_1</v>
      </c>
      <c r="D710" s="15" t="s">
        <v>877</v>
      </c>
      <c r="E710" s="2" t="s">
        <v>25</v>
      </c>
      <c r="F710" s="2" t="s">
        <v>157</v>
      </c>
      <c r="H710" s="6" t="str">
        <f>VLOOKUP(F710, ArtistCount!$A$1:$C$286, 3, FALSE)</f>
        <v>#N/A</v>
      </c>
    </row>
    <row r="711" ht="22.5" customHeight="1">
      <c r="A711" s="5" t="s">
        <v>876</v>
      </c>
      <c r="B711" s="2" t="s">
        <v>32</v>
      </c>
      <c r="C711" s="6" t="str">
        <f t="shared" si="1"/>
        <v>Manj Khamaj_2</v>
      </c>
      <c r="D711" s="12" t="s">
        <v>878</v>
      </c>
      <c r="E711" s="2" t="s">
        <v>25</v>
      </c>
      <c r="F711" s="2" t="s">
        <v>233</v>
      </c>
      <c r="H711" s="6" t="str">
        <f>VLOOKUP(F711, ArtistCount!$A$1:$C$286, 3, FALSE)</f>
        <v>#N/A</v>
      </c>
    </row>
    <row r="712" ht="22.5" customHeight="1">
      <c r="A712" s="5" t="s">
        <v>876</v>
      </c>
      <c r="B712" s="2" t="s">
        <v>32</v>
      </c>
      <c r="C712" s="6" t="str">
        <f t="shared" si="1"/>
        <v>Manj Khamaj_3</v>
      </c>
      <c r="D712" s="12" t="s">
        <v>879</v>
      </c>
      <c r="E712" s="2" t="s">
        <v>25</v>
      </c>
      <c r="F712" s="2" t="s">
        <v>37</v>
      </c>
      <c r="H712" s="6" t="str">
        <f>VLOOKUP(F712, ArtistCount!$A$1:$C$286, 3, FALSE)</f>
        <v>#N/A</v>
      </c>
    </row>
    <row r="713" ht="22.5" customHeight="1">
      <c r="A713" s="5" t="s">
        <v>876</v>
      </c>
      <c r="B713" s="2" t="s">
        <v>58</v>
      </c>
      <c r="C713" s="6" t="str">
        <f t="shared" si="1"/>
        <v>Manj Khamaj_4</v>
      </c>
      <c r="D713" s="12" t="s">
        <v>880</v>
      </c>
      <c r="E713" s="2" t="s">
        <v>25</v>
      </c>
      <c r="F713" s="2" t="s">
        <v>881</v>
      </c>
      <c r="H713" s="6" t="str">
        <f>VLOOKUP(F713, ArtistCount!$A$1:$C$286, 3, FALSE)</f>
        <v>#N/A</v>
      </c>
    </row>
    <row r="714" ht="22.5" customHeight="1">
      <c r="A714" s="5" t="s">
        <v>876</v>
      </c>
      <c r="B714" s="21" t="s">
        <v>89</v>
      </c>
      <c r="C714" s="6" t="str">
        <f t="shared" si="1"/>
        <v>Manj Khamaj_5</v>
      </c>
      <c r="D714" s="12" t="s">
        <v>882</v>
      </c>
      <c r="E714" s="2" t="s">
        <v>114</v>
      </c>
      <c r="F714" s="2" t="s">
        <v>170</v>
      </c>
      <c r="H714" s="6" t="str">
        <f>VLOOKUP(F714, ArtistCount!$A$1:$C$286, 3, FALSE)</f>
        <v>#N/A</v>
      </c>
    </row>
    <row r="715" ht="22.5" customHeight="1">
      <c r="A715" s="5" t="s">
        <v>876</v>
      </c>
      <c r="B715" s="9" t="s">
        <v>24</v>
      </c>
      <c r="C715" s="6" t="str">
        <f t="shared" si="1"/>
        <v>Manj Khamaj_6</v>
      </c>
      <c r="D715" s="12" t="s">
        <v>883</v>
      </c>
      <c r="E715" s="2" t="s">
        <v>762</v>
      </c>
      <c r="F715" s="2" t="s">
        <v>763</v>
      </c>
      <c r="H715" s="6" t="str">
        <f>VLOOKUP(F715, ArtistCount!$A$1:$C$286, 3, FALSE)</f>
        <v>#N/A</v>
      </c>
    </row>
    <row r="716" ht="22.5" customHeight="1">
      <c r="A716" s="5" t="s">
        <v>876</v>
      </c>
      <c r="B716" s="16" t="s">
        <v>32</v>
      </c>
      <c r="C716" s="6" t="str">
        <f t="shared" si="1"/>
        <v>Manj Khamaj_7</v>
      </c>
      <c r="D716" s="12" t="s">
        <v>884</v>
      </c>
      <c r="E716" s="2" t="s">
        <v>114</v>
      </c>
      <c r="F716" s="2" t="s">
        <v>211</v>
      </c>
      <c r="H716" s="6" t="str">
        <f>VLOOKUP(F716, ArtistCount!$A$1:$C$286, 3, FALSE)</f>
        <v>#N/A</v>
      </c>
    </row>
    <row r="717" ht="22.5" customHeight="1">
      <c r="A717" s="5" t="s">
        <v>876</v>
      </c>
      <c r="B717" s="2" t="s">
        <v>28</v>
      </c>
      <c r="C717" s="6" t="str">
        <f t="shared" si="1"/>
        <v>Manj Khamaj_8</v>
      </c>
      <c r="D717" s="12" t="s">
        <v>885</v>
      </c>
      <c r="E717" s="2" t="s">
        <v>167</v>
      </c>
      <c r="F717" s="2" t="s">
        <v>168</v>
      </c>
      <c r="H717" s="6" t="str">
        <f>VLOOKUP(F717, ArtistCount!$A$1:$C$286, 3, FALSE)</f>
        <v>#N/A</v>
      </c>
    </row>
    <row r="718" ht="22.5" customHeight="1">
      <c r="A718" s="5" t="s">
        <v>876</v>
      </c>
      <c r="B718" s="2" t="s">
        <v>38</v>
      </c>
      <c r="C718" s="6" t="str">
        <f t="shared" si="1"/>
        <v>Manj Khamaj_9</v>
      </c>
      <c r="D718" s="12" t="s">
        <v>886</v>
      </c>
      <c r="E718" s="2" t="s">
        <v>25</v>
      </c>
      <c r="F718" s="2" t="s">
        <v>153</v>
      </c>
      <c r="H718" s="2" t="str">
        <f>VLOOKUP(F718, ArtistCount!$A$1:$C$286, 3, FALSE)</f>
        <v>#N/A</v>
      </c>
      <c r="I718" s="2" t="s">
        <v>154</v>
      </c>
    </row>
    <row r="719" ht="22.5" customHeight="1">
      <c r="A719" s="5" t="s">
        <v>876</v>
      </c>
      <c r="B719" s="16" t="s">
        <v>24</v>
      </c>
      <c r="C719" s="6" t="str">
        <f t="shared" si="1"/>
        <v>Manj Khamaj_10</v>
      </c>
      <c r="D719" s="12" t="s">
        <v>887</v>
      </c>
      <c r="E719" s="2" t="s">
        <v>25</v>
      </c>
      <c r="F719" s="2" t="s">
        <v>233</v>
      </c>
      <c r="H719" s="6" t="str">
        <f>VLOOKUP(F719, ArtistCount!$A$1:$C$286, 3, FALSE)</f>
        <v>#N/A</v>
      </c>
    </row>
    <row r="720" ht="22.5" customHeight="1">
      <c r="A720" s="5" t="s">
        <v>888</v>
      </c>
      <c r="B720" s="2" t="s">
        <v>24</v>
      </c>
      <c r="C720" s="6" t="str">
        <f t="shared" si="1"/>
        <v>Maru Bihag_1</v>
      </c>
      <c r="D720" s="18"/>
      <c r="E720" s="8" t="s">
        <v>25</v>
      </c>
      <c r="F720" s="8" t="s">
        <v>26</v>
      </c>
      <c r="H720" s="2" t="str">
        <f>VLOOKUP(F720, ArtistCount!$A$1:$C$286, 3, FALSE)</f>
        <v>#N/A</v>
      </c>
      <c r="I720" s="2" t="s">
        <v>27</v>
      </c>
    </row>
    <row r="721" ht="22.5" customHeight="1">
      <c r="A721" s="5" t="s">
        <v>888</v>
      </c>
      <c r="B721" s="2" t="s">
        <v>24</v>
      </c>
      <c r="C721" s="6" t="str">
        <f t="shared" si="1"/>
        <v>Maru Bihag_2</v>
      </c>
      <c r="D721" s="18"/>
      <c r="E721" s="8" t="s">
        <v>25</v>
      </c>
      <c r="F721" s="8" t="s">
        <v>26</v>
      </c>
      <c r="H721" s="2" t="str">
        <f>VLOOKUP(F721, ArtistCount!$A$1:$C$286, 3, FALSE)</f>
        <v>#N/A</v>
      </c>
      <c r="I721" s="2" t="s">
        <v>27</v>
      </c>
    </row>
    <row r="722" ht="22.5" customHeight="1">
      <c r="A722" s="5" t="s">
        <v>888</v>
      </c>
      <c r="B722" s="2" t="s">
        <v>24</v>
      </c>
      <c r="C722" s="6" t="str">
        <f t="shared" si="1"/>
        <v>Maru Bihag_3</v>
      </c>
      <c r="D722" s="18"/>
      <c r="E722" s="8" t="s">
        <v>25</v>
      </c>
      <c r="F722" s="8" t="s">
        <v>26</v>
      </c>
      <c r="H722" s="2" t="str">
        <f>VLOOKUP(F722, ArtistCount!$A$1:$C$286, 3, FALSE)</f>
        <v>#N/A</v>
      </c>
      <c r="I722" s="2" t="s">
        <v>27</v>
      </c>
    </row>
    <row r="723" ht="22.5" customHeight="1">
      <c r="A723" s="5" t="s">
        <v>888</v>
      </c>
      <c r="B723" s="2" t="s">
        <v>38</v>
      </c>
      <c r="C723" s="6" t="str">
        <f t="shared" si="1"/>
        <v>Maru Bihag_4</v>
      </c>
      <c r="D723" s="18"/>
      <c r="E723" s="8" t="s">
        <v>25</v>
      </c>
      <c r="F723" s="8" t="s">
        <v>142</v>
      </c>
      <c r="H723" s="2" t="str">
        <f>VLOOKUP(F723, ArtistCount!$A$1:$C$286, 3, FALSE)</f>
        <v>#N/A</v>
      </c>
      <c r="I723" s="2" t="s">
        <v>27</v>
      </c>
    </row>
    <row r="724" ht="22.5" customHeight="1">
      <c r="A724" s="5" t="s">
        <v>888</v>
      </c>
      <c r="B724" s="2" t="s">
        <v>38</v>
      </c>
      <c r="C724" s="6" t="str">
        <f t="shared" si="1"/>
        <v>Maru Bihag_5</v>
      </c>
      <c r="D724" s="18"/>
      <c r="E724" s="8" t="s">
        <v>25</v>
      </c>
      <c r="F724" s="8" t="s">
        <v>64</v>
      </c>
      <c r="H724" s="2" t="str">
        <f>VLOOKUP(F724, ArtistCount!$A$1:$C$286, 3, FALSE)</f>
        <v>#N/A</v>
      </c>
      <c r="I724" s="2" t="s">
        <v>27</v>
      </c>
    </row>
    <row r="725" ht="22.5" customHeight="1">
      <c r="A725" s="5" t="s">
        <v>888</v>
      </c>
      <c r="B725" s="2" t="s">
        <v>24</v>
      </c>
      <c r="C725" s="6" t="str">
        <f t="shared" si="1"/>
        <v>Maru Bihag_6</v>
      </c>
      <c r="D725" s="18"/>
      <c r="E725" s="8" t="s">
        <v>25</v>
      </c>
      <c r="F725" s="8" t="s">
        <v>30</v>
      </c>
      <c r="H725" s="2" t="str">
        <f>VLOOKUP(F725, ArtistCount!$A$1:$C$286, 3, FALSE)</f>
        <v>#N/A</v>
      </c>
      <c r="I725" s="2" t="s">
        <v>27</v>
      </c>
    </row>
    <row r="726" ht="22.5" customHeight="1">
      <c r="A726" s="5" t="s">
        <v>888</v>
      </c>
      <c r="B726" s="2" t="s">
        <v>32</v>
      </c>
      <c r="C726" s="6" t="str">
        <f t="shared" si="1"/>
        <v>Maru Bihag_7</v>
      </c>
      <c r="D726" s="18"/>
      <c r="E726" s="8" t="s">
        <v>25</v>
      </c>
      <c r="F726" s="8" t="s">
        <v>56</v>
      </c>
      <c r="H726" s="2" t="str">
        <f>VLOOKUP(F726, ArtistCount!$A$1:$C$286, 3, FALSE)</f>
        <v>#N/A</v>
      </c>
      <c r="I726" s="2" t="s">
        <v>27</v>
      </c>
    </row>
    <row r="727" ht="22.5" customHeight="1">
      <c r="A727" s="5" t="s">
        <v>888</v>
      </c>
      <c r="B727" s="2" t="s">
        <v>38</v>
      </c>
      <c r="C727" s="6" t="str">
        <f t="shared" si="1"/>
        <v>Maru Bihag_8</v>
      </c>
      <c r="D727" s="18"/>
      <c r="E727" s="8" t="s">
        <v>25</v>
      </c>
      <c r="F727" s="8" t="s">
        <v>157</v>
      </c>
      <c r="H727" s="2" t="str">
        <f>VLOOKUP(F727, ArtistCount!$A$1:$C$286, 3, FALSE)</f>
        <v>#N/A</v>
      </c>
      <c r="I727" s="2" t="s">
        <v>27</v>
      </c>
    </row>
    <row r="728" ht="22.5" customHeight="1">
      <c r="A728" s="5" t="s">
        <v>888</v>
      </c>
      <c r="B728" s="2" t="s">
        <v>38</v>
      </c>
      <c r="C728" s="6" t="str">
        <f t="shared" si="1"/>
        <v>Maru Bihag_9</v>
      </c>
      <c r="D728" s="18"/>
      <c r="E728" s="8" t="s">
        <v>25</v>
      </c>
      <c r="F728" s="8" t="s">
        <v>157</v>
      </c>
      <c r="H728" s="2" t="str">
        <f>VLOOKUP(F728, ArtistCount!$A$1:$C$286, 3, FALSE)</f>
        <v>#N/A</v>
      </c>
      <c r="I728" s="2" t="s">
        <v>27</v>
      </c>
    </row>
    <row r="729" ht="22.5" customHeight="1">
      <c r="A729" s="5" t="s">
        <v>888</v>
      </c>
      <c r="B729" s="2" t="s">
        <v>38</v>
      </c>
      <c r="C729" s="6" t="str">
        <f t="shared" si="1"/>
        <v>Maru Bihag_10</v>
      </c>
      <c r="D729" s="18"/>
      <c r="E729" s="8" t="s">
        <v>25</v>
      </c>
      <c r="F729" s="8" t="s">
        <v>37</v>
      </c>
      <c r="H729" s="2" t="str">
        <f>VLOOKUP(F729, ArtistCount!$A$1:$C$286, 3, FALSE)</f>
        <v>#N/A</v>
      </c>
      <c r="I729" s="2" t="s">
        <v>27</v>
      </c>
    </row>
    <row r="730" ht="22.5" customHeight="1">
      <c r="A730" s="5" t="s">
        <v>889</v>
      </c>
      <c r="B730" s="2" t="s">
        <v>32</v>
      </c>
      <c r="C730" s="6" t="str">
        <f t="shared" si="1"/>
        <v>Marwa_1</v>
      </c>
      <c r="D730" s="18"/>
      <c r="E730" s="8" t="s">
        <v>25</v>
      </c>
      <c r="F730" s="8" t="s">
        <v>890</v>
      </c>
      <c r="H730" s="2" t="str">
        <f>VLOOKUP(F730, ArtistCount!$A$1:$C$286, 3, FALSE)</f>
        <v>#N/A</v>
      </c>
      <c r="I730" s="2" t="s">
        <v>27</v>
      </c>
    </row>
    <row r="731" ht="22.5" customHeight="1">
      <c r="A731" s="5" t="s">
        <v>889</v>
      </c>
      <c r="B731" s="2" t="s">
        <v>43</v>
      </c>
      <c r="C731" s="6" t="str">
        <f t="shared" si="1"/>
        <v>Marwa_2</v>
      </c>
      <c r="D731" s="18"/>
      <c r="E731" s="8" t="s">
        <v>25</v>
      </c>
      <c r="F731" s="8" t="s">
        <v>286</v>
      </c>
      <c r="H731" s="2" t="str">
        <f>VLOOKUP(F731, ArtistCount!$A$1:$C$286, 3, FALSE)</f>
        <v>#N/A</v>
      </c>
      <c r="I731" s="2" t="s">
        <v>27</v>
      </c>
    </row>
    <row r="732" ht="22.5" customHeight="1">
      <c r="A732" s="5" t="s">
        <v>889</v>
      </c>
      <c r="B732" s="2" t="s">
        <v>32</v>
      </c>
      <c r="C732" s="6" t="str">
        <f t="shared" si="1"/>
        <v>Marwa_3</v>
      </c>
      <c r="D732" s="18"/>
      <c r="E732" s="8" t="s">
        <v>25</v>
      </c>
      <c r="F732" s="8" t="s">
        <v>69</v>
      </c>
      <c r="H732" s="2" t="str">
        <f>VLOOKUP(F732, ArtistCount!$A$1:$C$286, 3, FALSE)</f>
        <v>#N/A</v>
      </c>
      <c r="I732" s="2" t="s">
        <v>27</v>
      </c>
    </row>
    <row r="733" ht="22.5" customHeight="1">
      <c r="A733" s="5" t="s">
        <v>889</v>
      </c>
      <c r="B733" s="2" t="s">
        <v>43</v>
      </c>
      <c r="C733" s="6" t="str">
        <f t="shared" si="1"/>
        <v>Marwa_4</v>
      </c>
      <c r="D733" s="18"/>
      <c r="E733" s="8" t="s">
        <v>25</v>
      </c>
      <c r="F733" s="8" t="s">
        <v>143</v>
      </c>
      <c r="H733" s="2" t="str">
        <f>VLOOKUP(F733, ArtistCount!$A$1:$C$286, 3, FALSE)</f>
        <v>#N/A</v>
      </c>
      <c r="I733" s="2" t="s">
        <v>27</v>
      </c>
    </row>
    <row r="734" ht="22.5" customHeight="1">
      <c r="A734" s="5" t="s">
        <v>889</v>
      </c>
      <c r="B734" s="2" t="s">
        <v>24</v>
      </c>
      <c r="C734" s="6" t="str">
        <f t="shared" si="1"/>
        <v>Marwa_5</v>
      </c>
      <c r="D734" s="18"/>
      <c r="E734" s="8" t="s">
        <v>25</v>
      </c>
      <c r="F734" s="8" t="s">
        <v>56</v>
      </c>
      <c r="H734" s="2" t="str">
        <f>VLOOKUP(F734, ArtistCount!$A$1:$C$286, 3, FALSE)</f>
        <v>#N/A</v>
      </c>
      <c r="I734" s="2" t="s">
        <v>27</v>
      </c>
    </row>
    <row r="735" ht="22.5" customHeight="1">
      <c r="A735" s="5" t="s">
        <v>889</v>
      </c>
      <c r="B735" s="2" t="s">
        <v>32</v>
      </c>
      <c r="C735" s="6" t="str">
        <f t="shared" si="1"/>
        <v>Marwa_6</v>
      </c>
      <c r="D735" s="18"/>
      <c r="E735" s="8" t="s">
        <v>25</v>
      </c>
      <c r="F735" s="8" t="s">
        <v>34</v>
      </c>
      <c r="H735" s="2" t="str">
        <f>VLOOKUP(F735, ArtistCount!$A$1:$C$286, 3, FALSE)</f>
        <v>#N/A</v>
      </c>
      <c r="I735" s="2" t="s">
        <v>27</v>
      </c>
    </row>
    <row r="736" ht="22.5" customHeight="1">
      <c r="A736" s="5" t="s">
        <v>889</v>
      </c>
      <c r="B736" s="2" t="s">
        <v>43</v>
      </c>
      <c r="C736" s="6" t="str">
        <f t="shared" si="1"/>
        <v>Marwa_7</v>
      </c>
      <c r="D736" s="18"/>
      <c r="E736" s="8" t="s">
        <v>25</v>
      </c>
      <c r="F736" s="8" t="s">
        <v>34</v>
      </c>
      <c r="H736" s="2" t="str">
        <f>VLOOKUP(F736, ArtistCount!$A$1:$C$286, 3, FALSE)</f>
        <v>#N/A</v>
      </c>
      <c r="I736" s="2" t="s">
        <v>27</v>
      </c>
    </row>
    <row r="737" ht="22.5" customHeight="1">
      <c r="A737" s="5" t="s">
        <v>889</v>
      </c>
      <c r="B737" s="2" t="s">
        <v>43</v>
      </c>
      <c r="C737" s="6" t="str">
        <f t="shared" si="1"/>
        <v>Marwa_8</v>
      </c>
      <c r="D737" s="18"/>
      <c r="E737" s="8" t="s">
        <v>25</v>
      </c>
      <c r="F737" s="8" t="s">
        <v>709</v>
      </c>
      <c r="H737" s="2" t="str">
        <f>VLOOKUP(F737, ArtistCount!$A$1:$C$286, 3, FALSE)</f>
        <v>#N/A</v>
      </c>
      <c r="I737" s="2" t="s">
        <v>27</v>
      </c>
    </row>
    <row r="738" ht="22.5" customHeight="1">
      <c r="A738" s="5" t="s">
        <v>889</v>
      </c>
      <c r="B738" s="2" t="s">
        <v>43</v>
      </c>
      <c r="C738" s="6" t="str">
        <f t="shared" si="1"/>
        <v>Marwa_9</v>
      </c>
      <c r="D738" s="18"/>
      <c r="E738" s="8" t="s">
        <v>25</v>
      </c>
      <c r="F738" s="8" t="s">
        <v>70</v>
      </c>
      <c r="H738" s="2" t="str">
        <f>VLOOKUP(F738, ArtistCount!$A$1:$C$286, 3, FALSE)</f>
        <v>#N/A</v>
      </c>
      <c r="I738" s="2" t="s">
        <v>27</v>
      </c>
    </row>
    <row r="739" ht="22.5" customHeight="1">
      <c r="A739" s="5" t="s">
        <v>889</v>
      </c>
      <c r="B739" s="2" t="s">
        <v>127</v>
      </c>
      <c r="C739" s="6" t="str">
        <f t="shared" si="1"/>
        <v>Marwa_10</v>
      </c>
      <c r="D739" s="18"/>
      <c r="E739" s="8" t="s">
        <v>25</v>
      </c>
      <c r="F739" s="8" t="s">
        <v>71</v>
      </c>
      <c r="H739" s="2" t="str">
        <f>VLOOKUP(F739, ArtistCount!$A$1:$C$286, 3, FALSE)</f>
        <v>#N/A</v>
      </c>
      <c r="I739" s="2" t="s">
        <v>27</v>
      </c>
    </row>
    <row r="740" ht="22.5" customHeight="1">
      <c r="A740" s="5" t="s">
        <v>891</v>
      </c>
      <c r="B740" s="2" t="s">
        <v>36</v>
      </c>
      <c r="C740" s="6" t="str">
        <f t="shared" si="1"/>
        <v>Megh_1</v>
      </c>
      <c r="D740" s="12" t="s">
        <v>892</v>
      </c>
      <c r="E740" s="2" t="s">
        <v>162</v>
      </c>
      <c r="F740" s="2" t="s">
        <v>163</v>
      </c>
      <c r="H740" s="6" t="str">
        <f>VLOOKUP(F740, ArtistCount!$A$1:$C$286, 3, FALSE)</f>
        <v>#N/A</v>
      </c>
    </row>
    <row r="741" ht="22.5" customHeight="1">
      <c r="A741" s="5" t="s">
        <v>891</v>
      </c>
      <c r="B741" s="2" t="s">
        <v>24</v>
      </c>
      <c r="C741" s="6" t="str">
        <f t="shared" si="1"/>
        <v>Megh_2</v>
      </c>
      <c r="D741" s="12" t="s">
        <v>893</v>
      </c>
      <c r="E741" s="2" t="s">
        <v>25</v>
      </c>
      <c r="F741" s="2" t="s">
        <v>69</v>
      </c>
      <c r="H741" s="6" t="str">
        <f>VLOOKUP(F741, ArtistCount!$A$1:$C$286, 3, FALSE)</f>
        <v>#N/A</v>
      </c>
    </row>
    <row r="742" ht="22.5" customHeight="1">
      <c r="A742" s="5" t="s">
        <v>891</v>
      </c>
      <c r="B742" s="2" t="s">
        <v>43</v>
      </c>
      <c r="C742" s="6" t="str">
        <f t="shared" si="1"/>
        <v>Megh_3</v>
      </c>
      <c r="D742" s="12" t="s">
        <v>894</v>
      </c>
      <c r="E742" s="2" t="s">
        <v>25</v>
      </c>
      <c r="F742" s="2" t="s">
        <v>94</v>
      </c>
      <c r="H742" s="6" t="str">
        <f>VLOOKUP(F742, ArtistCount!$A$1:$C$286, 3, FALSE)</f>
        <v>#N/A</v>
      </c>
    </row>
    <row r="743" ht="22.5" customHeight="1">
      <c r="A743" s="5" t="s">
        <v>891</v>
      </c>
      <c r="B743" s="2" t="s">
        <v>32</v>
      </c>
      <c r="C743" s="6" t="str">
        <f t="shared" si="1"/>
        <v>Megh_4</v>
      </c>
      <c r="D743" s="12" t="s">
        <v>895</v>
      </c>
      <c r="E743" s="2" t="s">
        <v>25</v>
      </c>
      <c r="F743" s="2" t="s">
        <v>864</v>
      </c>
      <c r="H743" s="6" t="str">
        <f>VLOOKUP(F743, ArtistCount!$A$1:$C$286, 3, FALSE)</f>
        <v>#N/A</v>
      </c>
    </row>
    <row r="744" ht="22.5" customHeight="1">
      <c r="A744" s="5" t="s">
        <v>891</v>
      </c>
      <c r="B744" s="2" t="s">
        <v>38</v>
      </c>
      <c r="C744" s="6" t="str">
        <f t="shared" si="1"/>
        <v>Megh_5</v>
      </c>
      <c r="D744" s="15" t="s">
        <v>896</v>
      </c>
      <c r="E744" s="2" t="s">
        <v>25</v>
      </c>
      <c r="F744" s="2" t="s">
        <v>157</v>
      </c>
      <c r="H744" s="6" t="str">
        <f>VLOOKUP(F744, ArtistCount!$A$1:$C$286, 3, FALSE)</f>
        <v>#N/A</v>
      </c>
    </row>
    <row r="745" ht="22.5" customHeight="1">
      <c r="A745" s="5" t="s">
        <v>891</v>
      </c>
      <c r="B745" s="2" t="s">
        <v>32</v>
      </c>
      <c r="C745" s="6" t="str">
        <f t="shared" si="1"/>
        <v>Megh_6</v>
      </c>
      <c r="D745" s="12" t="s">
        <v>897</v>
      </c>
      <c r="E745" s="2" t="s">
        <v>25</v>
      </c>
      <c r="F745" s="2" t="s">
        <v>34</v>
      </c>
      <c r="H745" s="6" t="str">
        <f>VLOOKUP(F745, ArtistCount!$A$1:$C$286, 3, FALSE)</f>
        <v>#N/A</v>
      </c>
    </row>
    <row r="746" ht="22.5" customHeight="1">
      <c r="A746" s="5" t="s">
        <v>891</v>
      </c>
      <c r="B746" s="2" t="s">
        <v>38</v>
      </c>
      <c r="C746" s="6" t="str">
        <f t="shared" si="1"/>
        <v>Megh_7</v>
      </c>
      <c r="D746" s="12" t="s">
        <v>898</v>
      </c>
      <c r="E746" s="2" t="s">
        <v>25</v>
      </c>
      <c r="F746" s="2" t="s">
        <v>134</v>
      </c>
      <c r="H746" s="6" t="str">
        <f>VLOOKUP(F746, ArtistCount!$A$1:$C$286, 3, FALSE)</f>
        <v>#N/A</v>
      </c>
    </row>
    <row r="747" ht="22.5" customHeight="1">
      <c r="A747" s="5" t="s">
        <v>891</v>
      </c>
      <c r="B747" s="2" t="s">
        <v>38</v>
      </c>
      <c r="C747" s="6" t="str">
        <f t="shared" si="1"/>
        <v>Megh_8</v>
      </c>
      <c r="D747" s="12" t="s">
        <v>899</v>
      </c>
      <c r="E747" s="2" t="s">
        <v>25</v>
      </c>
      <c r="F747" s="2" t="s">
        <v>412</v>
      </c>
      <c r="H747" s="6" t="str">
        <f>VLOOKUP(F747, ArtistCount!$A$1:$C$286, 3, FALSE)</f>
        <v>#N/A</v>
      </c>
    </row>
    <row r="748" ht="22.5" customHeight="1">
      <c r="A748" s="5" t="s">
        <v>891</v>
      </c>
      <c r="B748" s="2" t="s">
        <v>24</v>
      </c>
      <c r="C748" s="6" t="str">
        <f t="shared" si="1"/>
        <v>Megh_9</v>
      </c>
      <c r="D748" s="15" t="s">
        <v>900</v>
      </c>
      <c r="E748" s="2" t="s">
        <v>25</v>
      </c>
      <c r="F748" s="2" t="s">
        <v>37</v>
      </c>
      <c r="H748" s="6" t="str">
        <f>VLOOKUP(F748, ArtistCount!$A$1:$C$286, 3, FALSE)</f>
        <v>#N/A</v>
      </c>
    </row>
    <row r="749" ht="22.5" customHeight="1">
      <c r="A749" s="5" t="s">
        <v>891</v>
      </c>
      <c r="B749" s="2" t="s">
        <v>32</v>
      </c>
      <c r="C749" s="6" t="str">
        <f t="shared" si="1"/>
        <v>Megh_10</v>
      </c>
      <c r="D749" s="12" t="s">
        <v>901</v>
      </c>
      <c r="E749" s="8" t="s">
        <v>25</v>
      </c>
      <c r="F749" s="2" t="s">
        <v>297</v>
      </c>
      <c r="H749" s="6" t="str">
        <f>VLOOKUP(F749, ArtistCount!$A$1:$C$286, 3, FALSE)</f>
        <v>#N/A</v>
      </c>
    </row>
    <row r="750" ht="22.5" customHeight="1">
      <c r="A750" s="5" t="s">
        <v>902</v>
      </c>
      <c r="B750" s="2" t="s">
        <v>43</v>
      </c>
      <c r="C750" s="6" t="str">
        <f t="shared" si="1"/>
        <v>Megh Malhar_1</v>
      </c>
      <c r="D750" s="12" t="s">
        <v>903</v>
      </c>
      <c r="E750" s="2" t="s">
        <v>25</v>
      </c>
      <c r="F750" s="2" t="s">
        <v>34</v>
      </c>
      <c r="H750" s="6" t="str">
        <f>VLOOKUP(F750, ArtistCount!$A$1:$C$286, 3, FALSE)</f>
        <v>#N/A</v>
      </c>
    </row>
    <row r="751" ht="22.5" customHeight="1">
      <c r="A751" s="5" t="s">
        <v>902</v>
      </c>
      <c r="B751" s="2" t="s">
        <v>38</v>
      </c>
      <c r="C751" s="6" t="str">
        <f t="shared" si="1"/>
        <v>Megh Malhar_2</v>
      </c>
      <c r="D751" s="12" t="s">
        <v>904</v>
      </c>
      <c r="E751" s="2" t="s">
        <v>25</v>
      </c>
      <c r="F751" s="2" t="s">
        <v>134</v>
      </c>
      <c r="H751" s="6" t="str">
        <f>VLOOKUP(F751, ArtistCount!$A$1:$C$286, 3, FALSE)</f>
        <v>#N/A</v>
      </c>
    </row>
    <row r="752" ht="22.5" customHeight="1">
      <c r="A752" s="5" t="s">
        <v>902</v>
      </c>
      <c r="B752" s="2" t="s">
        <v>38</v>
      </c>
      <c r="C752" s="6" t="str">
        <f t="shared" si="1"/>
        <v>Megh Malhar_3</v>
      </c>
      <c r="D752" s="12" t="s">
        <v>905</v>
      </c>
      <c r="E752" s="2" t="s">
        <v>25</v>
      </c>
      <c r="F752" s="2" t="s">
        <v>906</v>
      </c>
      <c r="H752" s="6" t="str">
        <f>VLOOKUP(F752, ArtistCount!$A$1:$C$286, 3, FALSE)</f>
        <v>#N/A</v>
      </c>
    </row>
    <row r="753" ht="22.5" customHeight="1">
      <c r="A753" s="5" t="s">
        <v>902</v>
      </c>
      <c r="B753" s="2" t="s">
        <v>127</v>
      </c>
      <c r="C753" s="6" t="str">
        <f t="shared" si="1"/>
        <v>Megh Malhar_4</v>
      </c>
      <c r="D753" s="12" t="s">
        <v>907</v>
      </c>
      <c r="E753" s="2" t="s">
        <v>25</v>
      </c>
      <c r="F753" s="2" t="s">
        <v>575</v>
      </c>
      <c r="H753" s="6" t="str">
        <f>VLOOKUP(F753, ArtistCount!$A$1:$C$286, 3, FALSE)</f>
        <v>#N/A</v>
      </c>
    </row>
    <row r="754" ht="22.5" customHeight="1">
      <c r="A754" s="5" t="s">
        <v>902</v>
      </c>
      <c r="B754" s="2" t="s">
        <v>38</v>
      </c>
      <c r="C754" s="6" t="str">
        <f t="shared" si="1"/>
        <v>Megh Malhar_5</v>
      </c>
      <c r="D754" s="12" t="s">
        <v>908</v>
      </c>
      <c r="E754" s="2" t="s">
        <v>25</v>
      </c>
      <c r="F754" s="2" t="s">
        <v>909</v>
      </c>
      <c r="H754" s="6" t="str">
        <f>VLOOKUP(F754, ArtistCount!$A$1:$C$286, 3, FALSE)</f>
        <v>#N/A</v>
      </c>
    </row>
    <row r="755" ht="22.5" customHeight="1">
      <c r="A755" s="5" t="s">
        <v>902</v>
      </c>
      <c r="B755" s="2" t="s">
        <v>24</v>
      </c>
      <c r="C755" s="6" t="str">
        <f t="shared" si="1"/>
        <v>Megh Malhar_6</v>
      </c>
      <c r="D755" s="12" t="s">
        <v>910</v>
      </c>
      <c r="E755" s="2" t="s">
        <v>25</v>
      </c>
      <c r="F755" s="2" t="s">
        <v>26</v>
      </c>
      <c r="H755" s="6" t="str">
        <f>VLOOKUP(F755, ArtistCount!$A$1:$C$286, 3, FALSE)</f>
        <v>#N/A</v>
      </c>
    </row>
    <row r="756" ht="22.5" customHeight="1">
      <c r="A756" s="5" t="s">
        <v>911</v>
      </c>
      <c r="B756" s="2" t="s">
        <v>38</v>
      </c>
      <c r="C756" s="6" t="str">
        <f t="shared" si="1"/>
        <v>Miyan ki Malhar_1</v>
      </c>
      <c r="D756" s="18"/>
      <c r="E756" s="8" t="s">
        <v>25</v>
      </c>
      <c r="F756" s="8" t="s">
        <v>26</v>
      </c>
      <c r="H756" s="2" t="str">
        <f>VLOOKUP(F756, ArtistCount!$A$1:$C$286, 3, FALSE)</f>
        <v>#N/A</v>
      </c>
      <c r="I756" s="2" t="s">
        <v>27</v>
      </c>
    </row>
    <row r="757" ht="22.5" customHeight="1">
      <c r="A757" s="5" t="s">
        <v>911</v>
      </c>
      <c r="B757" s="2" t="s">
        <v>28</v>
      </c>
      <c r="C757" s="6" t="str">
        <f t="shared" si="1"/>
        <v>Miyan ki Malhar_2</v>
      </c>
      <c r="D757" s="18"/>
      <c r="E757" s="8" t="s">
        <v>25</v>
      </c>
      <c r="F757" s="8" t="s">
        <v>26</v>
      </c>
      <c r="H757" s="2" t="str">
        <f>VLOOKUP(F757, ArtistCount!$A$1:$C$286, 3, FALSE)</f>
        <v>#N/A</v>
      </c>
      <c r="I757" s="2" t="s">
        <v>27</v>
      </c>
    </row>
    <row r="758" ht="22.5" customHeight="1">
      <c r="A758" s="5" t="s">
        <v>911</v>
      </c>
      <c r="B758" s="16" t="s">
        <v>58</v>
      </c>
      <c r="C758" s="6" t="str">
        <f t="shared" si="1"/>
        <v>Miyan ki Malhar_3</v>
      </c>
      <c r="D758" s="18"/>
      <c r="E758" s="8" t="s">
        <v>25</v>
      </c>
      <c r="F758" s="8" t="s">
        <v>68</v>
      </c>
      <c r="H758" s="2" t="str">
        <f>VLOOKUP(F758, ArtistCount!$A$1:$C$286, 3, FALSE)</f>
        <v>#N/A</v>
      </c>
      <c r="I758" s="2" t="s">
        <v>27</v>
      </c>
    </row>
    <row r="759" ht="22.5" customHeight="1">
      <c r="A759" s="5" t="s">
        <v>911</v>
      </c>
      <c r="B759" s="2" t="s">
        <v>38</v>
      </c>
      <c r="C759" s="6" t="str">
        <f t="shared" si="1"/>
        <v>Miyan ki Malhar_4</v>
      </c>
      <c r="D759" s="18"/>
      <c r="E759" s="8" t="s">
        <v>25</v>
      </c>
      <c r="F759" s="8" t="s">
        <v>142</v>
      </c>
      <c r="H759" s="2" t="str">
        <f>VLOOKUP(F759, ArtistCount!$A$1:$C$286, 3, FALSE)</f>
        <v>#N/A</v>
      </c>
      <c r="I759" s="2" t="s">
        <v>27</v>
      </c>
    </row>
    <row r="760" ht="22.5" customHeight="1">
      <c r="A760" s="5" t="s">
        <v>911</v>
      </c>
      <c r="B760" s="2" t="s">
        <v>24</v>
      </c>
      <c r="C760" s="6" t="str">
        <f t="shared" si="1"/>
        <v>Miyan ki Malhar_5</v>
      </c>
      <c r="D760" s="18"/>
      <c r="E760" s="8" t="s">
        <v>25</v>
      </c>
      <c r="F760" s="8" t="s">
        <v>143</v>
      </c>
      <c r="H760" s="2" t="str">
        <f>VLOOKUP(F760, ArtistCount!$A$1:$C$286, 3, FALSE)</f>
        <v>#N/A</v>
      </c>
      <c r="I760" s="2" t="s">
        <v>27</v>
      </c>
    </row>
    <row r="761" ht="22.5" customHeight="1">
      <c r="A761" s="5" t="s">
        <v>911</v>
      </c>
      <c r="B761" s="2" t="s">
        <v>38</v>
      </c>
      <c r="C761" s="6" t="str">
        <f t="shared" si="1"/>
        <v>Miyan ki Malhar_6</v>
      </c>
      <c r="D761" s="18"/>
      <c r="E761" s="8" t="s">
        <v>25</v>
      </c>
      <c r="F761" s="8" t="s">
        <v>64</v>
      </c>
      <c r="H761" s="2" t="str">
        <f>VLOOKUP(F761, ArtistCount!$A$1:$C$286, 3, FALSE)</f>
        <v>#N/A</v>
      </c>
      <c r="I761" s="2" t="s">
        <v>27</v>
      </c>
    </row>
    <row r="762" ht="22.5" customHeight="1">
      <c r="A762" s="5" t="s">
        <v>911</v>
      </c>
      <c r="B762" s="2" t="s">
        <v>32</v>
      </c>
      <c r="C762" s="6" t="str">
        <f t="shared" si="1"/>
        <v>Miyan ki Malhar_7</v>
      </c>
      <c r="D762" s="18"/>
      <c r="E762" s="8" t="s">
        <v>25</v>
      </c>
      <c r="F762" s="8" t="s">
        <v>56</v>
      </c>
      <c r="H762" s="2" t="str">
        <f>VLOOKUP(F762, ArtistCount!$A$1:$C$286, 3, FALSE)</f>
        <v>#N/A</v>
      </c>
      <c r="I762" s="2" t="s">
        <v>27</v>
      </c>
    </row>
    <row r="763" ht="22.5" customHeight="1">
      <c r="A763" s="5" t="s">
        <v>911</v>
      </c>
      <c r="B763" s="2" t="s">
        <v>32</v>
      </c>
      <c r="C763" s="6" t="str">
        <f t="shared" si="1"/>
        <v>Miyan ki Malhar_8</v>
      </c>
      <c r="D763" s="18"/>
      <c r="E763" s="8" t="s">
        <v>25</v>
      </c>
      <c r="F763" s="8" t="s">
        <v>250</v>
      </c>
      <c r="H763" s="2" t="str">
        <f>VLOOKUP(F763, ArtistCount!$A$1:$C$286, 3, FALSE)</f>
        <v>#N/A</v>
      </c>
      <c r="I763" s="2" t="s">
        <v>27</v>
      </c>
    </row>
    <row r="764" ht="22.5" customHeight="1">
      <c r="A764" s="5" t="s">
        <v>911</v>
      </c>
      <c r="B764" s="2" t="s">
        <v>32</v>
      </c>
      <c r="C764" s="6" t="str">
        <f t="shared" si="1"/>
        <v>Miyan ki Malhar_9</v>
      </c>
      <c r="D764" s="18"/>
      <c r="E764" s="8" t="s">
        <v>25</v>
      </c>
      <c r="F764" s="8" t="s">
        <v>34</v>
      </c>
      <c r="H764" s="2" t="str">
        <f>VLOOKUP(F764, ArtistCount!$A$1:$C$286, 3, FALSE)</f>
        <v>#N/A</v>
      </c>
      <c r="I764" s="2" t="s">
        <v>27</v>
      </c>
    </row>
    <row r="765" ht="22.5" customHeight="1">
      <c r="A765" s="5" t="s">
        <v>911</v>
      </c>
      <c r="B765" s="2" t="s">
        <v>24</v>
      </c>
      <c r="C765" s="6" t="str">
        <f t="shared" si="1"/>
        <v>Miyan ki Malhar_10</v>
      </c>
      <c r="D765" s="18"/>
      <c r="E765" s="8" t="s">
        <v>25</v>
      </c>
      <c r="F765" s="8" t="s">
        <v>102</v>
      </c>
      <c r="H765" s="2" t="str">
        <f>VLOOKUP(F765, ArtistCount!$A$1:$C$286, 3, FALSE)</f>
        <v>#N/A</v>
      </c>
      <c r="I765" s="2" t="s">
        <v>27</v>
      </c>
    </row>
    <row r="766" ht="22.5" customHeight="1">
      <c r="A766" s="5" t="s">
        <v>912</v>
      </c>
      <c r="B766" s="2" t="s">
        <v>28</v>
      </c>
      <c r="C766" s="6" t="str">
        <f t="shared" si="1"/>
        <v>Multani_1</v>
      </c>
      <c r="D766" s="12" t="s">
        <v>913</v>
      </c>
      <c r="E766" s="2" t="s">
        <v>25</v>
      </c>
      <c r="F766" s="2" t="s">
        <v>52</v>
      </c>
      <c r="H766" s="6" t="str">
        <f>VLOOKUP(F766, ArtistCount!$A$1:$C$286, 3, FALSE)</f>
        <v>#N/A</v>
      </c>
    </row>
    <row r="767" ht="22.5" customHeight="1">
      <c r="A767" s="5" t="s">
        <v>912</v>
      </c>
      <c r="B767" s="2" t="s">
        <v>32</v>
      </c>
      <c r="C767" s="6" t="str">
        <f t="shared" si="1"/>
        <v>Multani_2</v>
      </c>
      <c r="D767" s="12" t="s">
        <v>914</v>
      </c>
      <c r="E767" s="2" t="s">
        <v>25</v>
      </c>
      <c r="F767" s="2" t="s">
        <v>915</v>
      </c>
      <c r="H767" s="6" t="str">
        <f>VLOOKUP(F767, ArtistCount!$A$1:$C$286, 3, FALSE)</f>
        <v>#N/A</v>
      </c>
    </row>
    <row r="768" ht="22.5" customHeight="1">
      <c r="A768" s="5" t="s">
        <v>912</v>
      </c>
      <c r="B768" s="2" t="s">
        <v>28</v>
      </c>
      <c r="C768" s="6" t="str">
        <f t="shared" si="1"/>
        <v>Multani_3</v>
      </c>
      <c r="D768" s="12" t="s">
        <v>916</v>
      </c>
      <c r="E768" s="2" t="s">
        <v>167</v>
      </c>
      <c r="F768" s="2" t="s">
        <v>168</v>
      </c>
      <c r="H768" s="6" t="str">
        <f>VLOOKUP(F768, ArtistCount!$A$1:$C$286, 3, FALSE)</f>
        <v>#N/A</v>
      </c>
    </row>
    <row r="769" ht="22.5" customHeight="1">
      <c r="A769" s="5" t="s">
        <v>912</v>
      </c>
      <c r="B769" s="2" t="s">
        <v>28</v>
      </c>
      <c r="C769" s="6" t="str">
        <f t="shared" si="1"/>
        <v>Multani_4</v>
      </c>
      <c r="D769" s="12" t="s">
        <v>917</v>
      </c>
      <c r="E769" s="2" t="s">
        <v>25</v>
      </c>
      <c r="F769" s="2" t="s">
        <v>52</v>
      </c>
      <c r="H769" s="6" t="str">
        <f>VLOOKUP(F769, ArtistCount!$A$1:$C$286, 3, FALSE)</f>
        <v>#N/A</v>
      </c>
    </row>
    <row r="770" ht="22.5" customHeight="1">
      <c r="A770" s="5" t="s">
        <v>912</v>
      </c>
      <c r="B770" s="2" t="s">
        <v>43</v>
      </c>
      <c r="C770" s="6" t="str">
        <f t="shared" si="1"/>
        <v>Multani_5</v>
      </c>
      <c r="D770" s="12" t="s">
        <v>918</v>
      </c>
      <c r="E770" s="2" t="s">
        <v>25</v>
      </c>
      <c r="F770" s="2" t="s">
        <v>83</v>
      </c>
      <c r="H770" s="6" t="str">
        <f>VLOOKUP(F770, ArtistCount!$A$1:$C$286, 3, FALSE)</f>
        <v>#N/A</v>
      </c>
    </row>
    <row r="771" ht="22.5" customHeight="1">
      <c r="A771" s="5" t="s">
        <v>912</v>
      </c>
      <c r="B771" s="2" t="s">
        <v>62</v>
      </c>
      <c r="C771" s="6" t="str">
        <f t="shared" si="1"/>
        <v>Multani_6</v>
      </c>
      <c r="D771" s="12" t="s">
        <v>919</v>
      </c>
      <c r="E771" s="2" t="s">
        <v>25</v>
      </c>
      <c r="F771" s="2" t="s">
        <v>64</v>
      </c>
      <c r="H771" s="6" t="str">
        <f>VLOOKUP(F771, ArtistCount!$A$1:$C$286, 3, FALSE)</f>
        <v>#N/A</v>
      </c>
    </row>
    <row r="772" ht="22.5" customHeight="1">
      <c r="A772" s="5" t="s">
        <v>912</v>
      </c>
      <c r="B772" s="2" t="s">
        <v>38</v>
      </c>
      <c r="C772" s="6" t="str">
        <f t="shared" si="1"/>
        <v>Multani_7</v>
      </c>
      <c r="D772" s="15" t="s">
        <v>920</v>
      </c>
      <c r="E772" s="2" t="s">
        <v>25</v>
      </c>
      <c r="F772" s="2" t="s">
        <v>157</v>
      </c>
      <c r="H772" s="6" t="str">
        <f>VLOOKUP(F772, ArtistCount!$A$1:$C$286, 3, FALSE)</f>
        <v>#N/A</v>
      </c>
    </row>
    <row r="773" ht="22.5" customHeight="1">
      <c r="A773" s="5" t="s">
        <v>912</v>
      </c>
      <c r="B773" s="2" t="s">
        <v>43</v>
      </c>
      <c r="C773" s="6" t="str">
        <f t="shared" si="1"/>
        <v>Multani_8</v>
      </c>
      <c r="D773" s="12" t="s">
        <v>921</v>
      </c>
      <c r="E773" s="2" t="s">
        <v>25</v>
      </c>
      <c r="F773" s="2" t="s">
        <v>193</v>
      </c>
      <c r="H773" s="6" t="str">
        <f>VLOOKUP(F773, ArtistCount!$A$1:$C$286, 3, FALSE)</f>
        <v>#N/A</v>
      </c>
    </row>
    <row r="774" ht="22.5" customHeight="1">
      <c r="A774" s="5" t="s">
        <v>912</v>
      </c>
      <c r="B774" s="2" t="s">
        <v>43</v>
      </c>
      <c r="C774" s="6" t="str">
        <f t="shared" si="1"/>
        <v>Multani_9</v>
      </c>
      <c r="D774" s="27" t="s">
        <v>922</v>
      </c>
      <c r="E774" s="2" t="s">
        <v>25</v>
      </c>
      <c r="F774" s="2" t="s">
        <v>34</v>
      </c>
      <c r="H774" s="6" t="str">
        <f>VLOOKUP(F774, ArtistCount!$A$1:$C$286, 3, FALSE)</f>
        <v>#N/A</v>
      </c>
    </row>
    <row r="775" ht="22.5" customHeight="1">
      <c r="A775" s="5" t="s">
        <v>912</v>
      </c>
      <c r="B775" s="2" t="s">
        <v>67</v>
      </c>
      <c r="C775" s="6" t="str">
        <f t="shared" si="1"/>
        <v>Multani_10</v>
      </c>
      <c r="D775" s="12" t="s">
        <v>923</v>
      </c>
      <c r="E775" s="2" t="s">
        <v>25</v>
      </c>
      <c r="F775" s="2" t="s">
        <v>68</v>
      </c>
      <c r="H775" s="6" t="str">
        <f>VLOOKUP(F775, ArtistCount!$A$1:$C$286, 3, FALSE)</f>
        <v>#N/A</v>
      </c>
    </row>
    <row r="776" ht="22.5" customHeight="1">
      <c r="A776" s="5" t="s">
        <v>924</v>
      </c>
      <c r="B776" s="2" t="s">
        <v>24</v>
      </c>
      <c r="C776" s="6" t="str">
        <f t="shared" si="1"/>
        <v>Nand_1</v>
      </c>
      <c r="D776" s="12" t="s">
        <v>925</v>
      </c>
      <c r="E776" s="2" t="s">
        <v>25</v>
      </c>
      <c r="F776" s="2" t="s">
        <v>69</v>
      </c>
      <c r="H776" s="6" t="str">
        <f>VLOOKUP(F776, ArtistCount!$A$1:$C$286, 3, FALSE)</f>
        <v>#N/A</v>
      </c>
    </row>
    <row r="777" ht="22.5" customHeight="1">
      <c r="A777" s="5" t="s">
        <v>924</v>
      </c>
      <c r="B777" s="2" t="s">
        <v>43</v>
      </c>
      <c r="C777" s="6" t="str">
        <f t="shared" si="1"/>
        <v>Nand_2</v>
      </c>
      <c r="D777" s="12" t="s">
        <v>926</v>
      </c>
      <c r="E777" s="2" t="s">
        <v>25</v>
      </c>
      <c r="F777" s="2" t="s">
        <v>193</v>
      </c>
      <c r="H777" s="6" t="str">
        <f>VLOOKUP(F777, ArtistCount!$A$1:$C$286, 3, FALSE)</f>
        <v>#N/A</v>
      </c>
    </row>
    <row r="778" ht="22.5" customHeight="1">
      <c r="A778" s="5" t="s">
        <v>924</v>
      </c>
      <c r="B778" s="2" t="s">
        <v>38</v>
      </c>
      <c r="C778" s="6" t="str">
        <f t="shared" si="1"/>
        <v>Nand_3</v>
      </c>
      <c r="D778" s="12" t="s">
        <v>927</v>
      </c>
      <c r="E778" s="2" t="s">
        <v>25</v>
      </c>
      <c r="F778" s="2" t="s">
        <v>134</v>
      </c>
      <c r="H778" s="6" t="str">
        <f>VLOOKUP(F778, ArtistCount!$A$1:$C$286, 3, FALSE)</f>
        <v>#N/A</v>
      </c>
    </row>
    <row r="779" ht="22.5" customHeight="1">
      <c r="A779" s="5" t="s">
        <v>924</v>
      </c>
      <c r="B779" s="2" t="s">
        <v>24</v>
      </c>
      <c r="C779" s="6" t="str">
        <f t="shared" si="1"/>
        <v>Nand_4</v>
      </c>
      <c r="D779" s="12" t="s">
        <v>928</v>
      </c>
      <c r="E779" s="2" t="s">
        <v>25</v>
      </c>
      <c r="F779" s="2" t="s">
        <v>929</v>
      </c>
      <c r="H779" s="6" t="str">
        <f>VLOOKUP(F779, ArtistCount!$A$1:$C$286, 3, FALSE)</f>
        <v>#N/A</v>
      </c>
    </row>
    <row r="780" ht="22.5" customHeight="1">
      <c r="A780" s="5" t="s">
        <v>924</v>
      </c>
      <c r="B780" s="2" t="s">
        <v>28</v>
      </c>
      <c r="C780" s="6" t="str">
        <f t="shared" si="1"/>
        <v>Nand_5</v>
      </c>
      <c r="D780" s="12" t="s">
        <v>930</v>
      </c>
      <c r="E780" s="2" t="s">
        <v>25</v>
      </c>
      <c r="F780" s="8" t="s">
        <v>663</v>
      </c>
      <c r="H780" s="6" t="str">
        <f>VLOOKUP(F780, ArtistCount!$A$1:$C$286, 3, FALSE)</f>
        <v>#N/A</v>
      </c>
    </row>
    <row r="781" ht="22.5" customHeight="1">
      <c r="A781" s="5" t="s">
        <v>924</v>
      </c>
      <c r="B781" s="2" t="s">
        <v>28</v>
      </c>
      <c r="C781" s="6" t="str">
        <f t="shared" si="1"/>
        <v>Nand_6</v>
      </c>
      <c r="D781" s="12" t="s">
        <v>931</v>
      </c>
      <c r="E781" s="2" t="s">
        <v>25</v>
      </c>
      <c r="F781" s="2" t="s">
        <v>112</v>
      </c>
      <c r="H781" s="6" t="str">
        <f>VLOOKUP(F781, ArtistCount!$A$1:$C$286, 3, FALSE)</f>
        <v>#N/A</v>
      </c>
    </row>
    <row r="782" ht="22.5" customHeight="1">
      <c r="A782" s="5" t="s">
        <v>924</v>
      </c>
      <c r="B782" s="2" t="s">
        <v>43</v>
      </c>
      <c r="C782" s="6" t="str">
        <f t="shared" si="1"/>
        <v>Nand_7</v>
      </c>
      <c r="D782" s="12" t="s">
        <v>932</v>
      </c>
      <c r="E782" s="2" t="s">
        <v>25</v>
      </c>
      <c r="F782" s="2" t="s">
        <v>720</v>
      </c>
      <c r="H782" s="6" t="str">
        <f>VLOOKUP(F782, ArtistCount!$A$1:$C$286, 3, FALSE)</f>
        <v>#N/A</v>
      </c>
    </row>
    <row r="783" ht="22.5" customHeight="1">
      <c r="A783" s="5" t="s">
        <v>924</v>
      </c>
      <c r="B783" s="2" t="s">
        <v>29</v>
      </c>
      <c r="C783" s="6" t="str">
        <f t="shared" si="1"/>
        <v>Nand_8</v>
      </c>
      <c r="D783" s="12" t="s">
        <v>933</v>
      </c>
      <c r="E783" s="2" t="s">
        <v>25</v>
      </c>
      <c r="F783" s="2" t="s">
        <v>934</v>
      </c>
      <c r="H783" s="6" t="str">
        <f>VLOOKUP(F783, ArtistCount!$A$1:$C$286, 3, FALSE)</f>
        <v>#N/A</v>
      </c>
    </row>
    <row r="784" ht="22.5" customHeight="1">
      <c r="A784" s="5" t="s">
        <v>924</v>
      </c>
      <c r="B784" s="2" t="s">
        <v>67</v>
      </c>
      <c r="C784" s="6" t="str">
        <f t="shared" si="1"/>
        <v>Nand_9</v>
      </c>
      <c r="D784" s="12" t="s">
        <v>935</v>
      </c>
      <c r="E784" s="2" t="s">
        <v>25</v>
      </c>
      <c r="F784" s="2" t="s">
        <v>68</v>
      </c>
      <c r="H784" s="6" t="str">
        <f>VLOOKUP(F784, ArtistCount!$A$1:$C$286, 3, FALSE)</f>
        <v>#N/A</v>
      </c>
    </row>
    <row r="785" ht="22.5" customHeight="1">
      <c r="A785" s="5" t="s">
        <v>924</v>
      </c>
      <c r="B785" s="2" t="s">
        <v>38</v>
      </c>
      <c r="C785" s="6" t="str">
        <f t="shared" si="1"/>
        <v>Nand_10</v>
      </c>
      <c r="D785" s="12" t="s">
        <v>936</v>
      </c>
      <c r="E785" s="2" t="s">
        <v>25</v>
      </c>
      <c r="F785" s="2" t="s">
        <v>75</v>
      </c>
      <c r="H785" s="6" t="str">
        <f>VLOOKUP(F785, ArtistCount!$A$1:$C$286, 3, FALSE)</f>
        <v>#N/A</v>
      </c>
    </row>
    <row r="786" ht="22.5" customHeight="1">
      <c r="A786" s="5" t="s">
        <v>924</v>
      </c>
      <c r="B786" s="2" t="s">
        <v>43</v>
      </c>
      <c r="C786" s="6" t="str">
        <f t="shared" si="1"/>
        <v>Nand_11</v>
      </c>
      <c r="D786" s="12" t="s">
        <v>937</v>
      </c>
      <c r="E786" s="2" t="s">
        <v>25</v>
      </c>
      <c r="F786" s="2" t="s">
        <v>286</v>
      </c>
      <c r="H786" s="6" t="str">
        <f>VLOOKUP(F786, ArtistCount!$A$1:$C$286, 3, FALSE)</f>
        <v>#N/A</v>
      </c>
    </row>
    <row r="787" ht="22.5" customHeight="1">
      <c r="A787" s="5" t="s">
        <v>938</v>
      </c>
      <c r="B787" s="2" t="s">
        <v>62</v>
      </c>
      <c r="C787" s="6" t="str">
        <f t="shared" si="1"/>
        <v>Narayani_1</v>
      </c>
      <c r="D787" s="12" t="s">
        <v>939</v>
      </c>
      <c r="E787" s="2" t="s">
        <v>25</v>
      </c>
      <c r="F787" s="2" t="s">
        <v>153</v>
      </c>
      <c r="H787" s="2" t="str">
        <f>VLOOKUP(F787, ArtistCount!$A$1:$C$286, 3, FALSE)</f>
        <v>#N/A</v>
      </c>
      <c r="I787" s="2" t="s">
        <v>154</v>
      </c>
    </row>
    <row r="788" ht="22.5" customHeight="1">
      <c r="A788" s="5" t="s">
        <v>938</v>
      </c>
      <c r="B788" s="2" t="s">
        <v>38</v>
      </c>
      <c r="C788" s="6" t="str">
        <f t="shared" si="1"/>
        <v>Narayani_2</v>
      </c>
      <c r="D788" s="13" t="s">
        <v>940</v>
      </c>
      <c r="E788" s="2" t="s">
        <v>25</v>
      </c>
      <c r="F788" s="2" t="s">
        <v>103</v>
      </c>
      <c r="H788" s="6" t="str">
        <f>VLOOKUP(F788, ArtistCount!$A$1:$C$286, 3, FALSE)</f>
        <v>#N/A</v>
      </c>
    </row>
    <row r="789" ht="22.5" customHeight="1">
      <c r="A789" s="5" t="s">
        <v>938</v>
      </c>
      <c r="B789" s="2" t="s">
        <v>24</v>
      </c>
      <c r="C789" s="6" t="str">
        <f t="shared" si="1"/>
        <v>Narayani_3</v>
      </c>
      <c r="D789" s="13" t="s">
        <v>941</v>
      </c>
      <c r="E789" s="2" t="s">
        <v>25</v>
      </c>
      <c r="F789" s="2" t="s">
        <v>517</v>
      </c>
      <c r="H789" s="6" t="str">
        <f>VLOOKUP(F789, ArtistCount!$A$1:$C$286, 3, FALSE)</f>
        <v>#N/A</v>
      </c>
    </row>
    <row r="790" ht="22.5" customHeight="1">
      <c r="A790" s="5" t="s">
        <v>938</v>
      </c>
      <c r="B790" s="2" t="s">
        <v>29</v>
      </c>
      <c r="C790" s="6" t="str">
        <f t="shared" si="1"/>
        <v>Narayani_4</v>
      </c>
      <c r="D790" s="13" t="s">
        <v>942</v>
      </c>
      <c r="E790" s="2" t="s">
        <v>25</v>
      </c>
      <c r="F790" s="2" t="s">
        <v>103</v>
      </c>
      <c r="H790" s="6" t="str">
        <f>VLOOKUP(F790, ArtistCount!$A$1:$C$286, 3, FALSE)</f>
        <v>#N/A</v>
      </c>
    </row>
    <row r="791" ht="22.5" customHeight="1">
      <c r="A791" s="5" t="s">
        <v>938</v>
      </c>
      <c r="B791" s="2" t="s">
        <v>32</v>
      </c>
      <c r="C791" s="6" t="str">
        <f t="shared" si="1"/>
        <v>Narayani_5</v>
      </c>
      <c r="D791" s="12" t="s">
        <v>943</v>
      </c>
      <c r="E791" s="2" t="s">
        <v>167</v>
      </c>
      <c r="F791" s="2" t="s">
        <v>944</v>
      </c>
      <c r="H791" s="6" t="str">
        <f>VLOOKUP(F791, ArtistCount!$A$1:$C$286, 3, FALSE)</f>
        <v>#N/A</v>
      </c>
    </row>
    <row r="792" ht="22.5" customHeight="1">
      <c r="A792" s="5" t="s">
        <v>938</v>
      </c>
      <c r="B792" s="2" t="s">
        <v>32</v>
      </c>
      <c r="C792" s="6" t="str">
        <f t="shared" si="1"/>
        <v>Narayani_6</v>
      </c>
      <c r="D792" s="13" t="s">
        <v>945</v>
      </c>
      <c r="E792" s="2" t="s">
        <v>25</v>
      </c>
      <c r="F792" s="2" t="s">
        <v>946</v>
      </c>
      <c r="H792" s="6" t="str">
        <f>VLOOKUP(F792, ArtistCount!$A$1:$C$286, 3, FALSE)</f>
        <v>#N/A</v>
      </c>
    </row>
    <row r="793" ht="22.5" customHeight="1">
      <c r="A793" s="5" t="s">
        <v>938</v>
      </c>
      <c r="B793" s="2" t="s">
        <v>43</v>
      </c>
      <c r="C793" s="6" t="str">
        <f t="shared" si="1"/>
        <v>Narayani_7</v>
      </c>
      <c r="D793" s="13" t="s">
        <v>947</v>
      </c>
      <c r="E793" s="2" t="s">
        <v>25</v>
      </c>
      <c r="F793" s="2" t="s">
        <v>948</v>
      </c>
      <c r="H793" s="6" t="str">
        <f>VLOOKUP(F793, ArtistCount!$A$1:$C$286, 3, FALSE)</f>
        <v>#N/A</v>
      </c>
    </row>
    <row r="794" ht="22.5" customHeight="1">
      <c r="A794" s="5" t="s">
        <v>938</v>
      </c>
      <c r="B794" s="2" t="s">
        <v>24</v>
      </c>
      <c r="C794" s="6" t="str">
        <f t="shared" si="1"/>
        <v>Narayani_8</v>
      </c>
      <c r="D794" s="13" t="s">
        <v>949</v>
      </c>
      <c r="E794" s="2" t="s">
        <v>25</v>
      </c>
      <c r="F794" s="8" t="s">
        <v>950</v>
      </c>
      <c r="H794" s="6" t="str">
        <f>VLOOKUP(F794, ArtistCount!$A$1:$C$286, 3, FALSE)</f>
        <v>#N/A</v>
      </c>
    </row>
    <row r="795" ht="22.5" customHeight="1">
      <c r="A795" s="5" t="s">
        <v>951</v>
      </c>
      <c r="B795" s="2" t="s">
        <v>24</v>
      </c>
      <c r="C795" s="6" t="str">
        <f t="shared" si="1"/>
        <v>Nat Bhairav_1</v>
      </c>
      <c r="D795" s="15" t="s">
        <v>952</v>
      </c>
      <c r="E795" s="2" t="s">
        <v>25</v>
      </c>
      <c r="F795" s="2" t="s">
        <v>37</v>
      </c>
      <c r="H795" s="6" t="str">
        <f>VLOOKUP(F795, ArtistCount!$A$1:$C$286, 3, FALSE)</f>
        <v>#N/A</v>
      </c>
    </row>
    <row r="796" ht="22.5" customHeight="1">
      <c r="A796" s="5" t="s">
        <v>951</v>
      </c>
      <c r="B796" s="2" t="s">
        <v>43</v>
      </c>
      <c r="C796" s="6" t="str">
        <f t="shared" si="1"/>
        <v>Nat Bhairav_2</v>
      </c>
      <c r="D796" s="12" t="s">
        <v>953</v>
      </c>
      <c r="E796" s="2" t="s">
        <v>25</v>
      </c>
      <c r="F796" s="2" t="s">
        <v>286</v>
      </c>
      <c r="H796" s="6" t="str">
        <f>VLOOKUP(F796, ArtistCount!$A$1:$C$286, 3, FALSE)</f>
        <v>#N/A</v>
      </c>
    </row>
    <row r="797" ht="22.5" customHeight="1">
      <c r="A797" s="5" t="s">
        <v>951</v>
      </c>
      <c r="B797" s="2" t="s">
        <v>24</v>
      </c>
      <c r="C797" s="6" t="str">
        <f t="shared" si="1"/>
        <v>Nat Bhairav_3</v>
      </c>
      <c r="D797" s="12" t="s">
        <v>954</v>
      </c>
      <c r="E797" s="2" t="s">
        <v>236</v>
      </c>
      <c r="F797" s="2" t="s">
        <v>237</v>
      </c>
      <c r="H797" s="6" t="str">
        <f>VLOOKUP(F797, ArtistCount!$A$1:$C$286, 3, FALSE)</f>
        <v>#N/A</v>
      </c>
    </row>
    <row r="798" ht="22.5" customHeight="1">
      <c r="A798" s="5" t="s">
        <v>951</v>
      </c>
      <c r="B798" s="2" t="s">
        <v>32</v>
      </c>
      <c r="C798" s="6" t="str">
        <f t="shared" si="1"/>
        <v>Nat Bhairav_4</v>
      </c>
      <c r="D798" s="12" t="s">
        <v>955</v>
      </c>
      <c r="E798" s="2" t="s">
        <v>25</v>
      </c>
      <c r="F798" s="2" t="s">
        <v>577</v>
      </c>
      <c r="H798" s="6" t="str">
        <f>VLOOKUP(F798, ArtistCount!$A$1:$C$286, 3, FALSE)</f>
        <v>#N/A</v>
      </c>
    </row>
    <row r="799" ht="22.5" customHeight="1">
      <c r="A799" s="5" t="s">
        <v>951</v>
      </c>
      <c r="B799" s="2" t="s">
        <v>38</v>
      </c>
      <c r="C799" s="6" t="str">
        <f t="shared" si="1"/>
        <v>Nat Bhairav_5</v>
      </c>
      <c r="D799" s="15" t="s">
        <v>956</v>
      </c>
      <c r="E799" s="2" t="s">
        <v>25</v>
      </c>
      <c r="F799" s="2" t="s">
        <v>157</v>
      </c>
      <c r="H799" s="6" t="str">
        <f>VLOOKUP(F799, ArtistCount!$A$1:$C$286, 3, FALSE)</f>
        <v>#N/A</v>
      </c>
    </row>
    <row r="800" ht="22.5" customHeight="1">
      <c r="A800" s="5" t="s">
        <v>951</v>
      </c>
      <c r="B800" s="2" t="s">
        <v>32</v>
      </c>
      <c r="C800" s="6" t="str">
        <f t="shared" si="1"/>
        <v>Nat Bhairav_6</v>
      </c>
      <c r="D800" s="12" t="s">
        <v>957</v>
      </c>
      <c r="E800" s="2" t="s">
        <v>25</v>
      </c>
      <c r="F800" s="2" t="s">
        <v>34</v>
      </c>
      <c r="H800" s="6" t="str">
        <f>VLOOKUP(F800, ArtistCount!$A$1:$C$286, 3, FALSE)</f>
        <v>#N/A</v>
      </c>
    </row>
    <row r="801" ht="22.5" customHeight="1">
      <c r="A801" s="5" t="s">
        <v>951</v>
      </c>
      <c r="B801" s="2" t="s">
        <v>24</v>
      </c>
      <c r="C801" s="6" t="str">
        <f t="shared" si="1"/>
        <v>Nat Bhairav_7</v>
      </c>
      <c r="D801" s="12" t="s">
        <v>958</v>
      </c>
      <c r="E801" s="2" t="s">
        <v>25</v>
      </c>
      <c r="F801" s="2" t="s">
        <v>69</v>
      </c>
      <c r="H801" s="6" t="str">
        <f>VLOOKUP(F801, ArtistCount!$A$1:$C$286, 3, FALSE)</f>
        <v>#N/A</v>
      </c>
    </row>
    <row r="802" ht="22.5" customHeight="1">
      <c r="A802" s="5" t="s">
        <v>951</v>
      </c>
      <c r="B802" s="2" t="s">
        <v>28</v>
      </c>
      <c r="C802" s="6" t="str">
        <f t="shared" si="1"/>
        <v>Nat Bhairav_8</v>
      </c>
      <c r="D802" s="12" t="s">
        <v>959</v>
      </c>
      <c r="E802" s="2" t="s">
        <v>91</v>
      </c>
      <c r="F802" s="2" t="s">
        <v>361</v>
      </c>
      <c r="H802" s="6" t="str">
        <f>VLOOKUP(F802, ArtistCount!$A$1:$C$286, 3, FALSE)</f>
        <v>#N/A</v>
      </c>
    </row>
    <row r="803" ht="22.5" customHeight="1">
      <c r="A803" s="5" t="s">
        <v>951</v>
      </c>
      <c r="B803" s="2" t="s">
        <v>28</v>
      </c>
      <c r="C803" s="6" t="str">
        <f t="shared" si="1"/>
        <v>Nat Bhairav_9</v>
      </c>
      <c r="D803" s="12" t="s">
        <v>960</v>
      </c>
      <c r="E803" s="2" t="s">
        <v>167</v>
      </c>
      <c r="F803" s="2" t="s">
        <v>168</v>
      </c>
      <c r="H803" s="6" t="str">
        <f>VLOOKUP(F803, ArtistCount!$A$1:$C$286, 3, FALSE)</f>
        <v>#N/A</v>
      </c>
    </row>
    <row r="804" ht="22.5" customHeight="1">
      <c r="A804" s="5" t="s">
        <v>951</v>
      </c>
      <c r="B804" s="2" t="s">
        <v>29</v>
      </c>
      <c r="C804" s="6" t="str">
        <f t="shared" si="1"/>
        <v>Nat Bhairav_10</v>
      </c>
      <c r="D804" s="12" t="s">
        <v>961</v>
      </c>
      <c r="E804" s="2" t="s">
        <v>25</v>
      </c>
      <c r="F804" s="2" t="s">
        <v>962</v>
      </c>
      <c r="H804" s="6" t="str">
        <f>VLOOKUP(F804, ArtistCount!$A$1:$C$286, 3, FALSE)</f>
        <v>#N/A</v>
      </c>
    </row>
    <row r="805" ht="22.5" customHeight="1">
      <c r="A805" s="5" t="s">
        <v>963</v>
      </c>
      <c r="B805" s="2" t="s">
        <v>43</v>
      </c>
      <c r="C805" s="6" t="str">
        <f t="shared" si="1"/>
        <v>Nayaki Kanada_1</v>
      </c>
      <c r="D805" s="12" t="s">
        <v>964</v>
      </c>
      <c r="E805" s="2" t="s">
        <v>25</v>
      </c>
      <c r="F805" s="2" t="s">
        <v>583</v>
      </c>
      <c r="H805" s="6" t="str">
        <f>VLOOKUP(F805, ArtistCount!$A$1:$C$286, 3, FALSE)</f>
        <v>#N/A</v>
      </c>
    </row>
    <row r="806" ht="22.5" customHeight="1">
      <c r="A806" s="5" t="s">
        <v>963</v>
      </c>
      <c r="B806" s="2" t="s">
        <v>28</v>
      </c>
      <c r="C806" s="6" t="str">
        <f t="shared" si="1"/>
        <v>Nayaki Kanada_2</v>
      </c>
      <c r="D806" s="12" t="s">
        <v>965</v>
      </c>
      <c r="E806" s="2" t="s">
        <v>25</v>
      </c>
      <c r="F806" s="2" t="s">
        <v>193</v>
      </c>
      <c r="H806" s="6" t="str">
        <f>VLOOKUP(F806, ArtistCount!$A$1:$C$286, 3, FALSE)</f>
        <v>#N/A</v>
      </c>
    </row>
    <row r="807" ht="22.5" customHeight="1">
      <c r="A807" s="5" t="s">
        <v>963</v>
      </c>
      <c r="B807" s="2" t="s">
        <v>127</v>
      </c>
      <c r="C807" s="6" t="str">
        <f t="shared" si="1"/>
        <v>Nayaki Kanada_3</v>
      </c>
      <c r="D807" s="12" t="s">
        <v>966</v>
      </c>
      <c r="E807" s="2" t="s">
        <v>25</v>
      </c>
      <c r="F807" s="2" t="s">
        <v>206</v>
      </c>
      <c r="H807" s="6" t="str">
        <f>VLOOKUP(F807, ArtistCount!$A$1:$C$286, 3, FALSE)</f>
        <v>#N/A</v>
      </c>
    </row>
    <row r="808" ht="22.5" customHeight="1">
      <c r="A808" s="5" t="s">
        <v>963</v>
      </c>
      <c r="B808" s="2" t="s">
        <v>32</v>
      </c>
      <c r="C808" s="6" t="str">
        <f t="shared" si="1"/>
        <v>Nayaki Kanada_4</v>
      </c>
      <c r="D808" s="12" t="s">
        <v>967</v>
      </c>
      <c r="E808" s="2" t="s">
        <v>25</v>
      </c>
      <c r="F808" s="2" t="s">
        <v>34</v>
      </c>
      <c r="H808" s="6" t="str">
        <f>VLOOKUP(F808, ArtistCount!$A$1:$C$286, 3, FALSE)</f>
        <v>#N/A</v>
      </c>
    </row>
    <row r="809" ht="22.5" customHeight="1">
      <c r="A809" s="5" t="s">
        <v>963</v>
      </c>
      <c r="B809" s="2" t="s">
        <v>29</v>
      </c>
      <c r="C809" s="6" t="str">
        <f t="shared" si="1"/>
        <v>Nayaki Kanada_5</v>
      </c>
      <c r="D809" s="12" t="s">
        <v>968</v>
      </c>
      <c r="E809" s="2" t="s">
        <v>25</v>
      </c>
      <c r="F809" s="2" t="s">
        <v>268</v>
      </c>
      <c r="H809" s="6" t="str">
        <f>VLOOKUP(F809, ArtistCount!$A$1:$C$286, 3, FALSE)</f>
        <v>#N/A</v>
      </c>
    </row>
    <row r="810" ht="22.5" customHeight="1">
      <c r="A810" s="5" t="s">
        <v>963</v>
      </c>
      <c r="B810" s="2" t="s">
        <v>38</v>
      </c>
      <c r="C810" s="6" t="str">
        <f t="shared" si="1"/>
        <v>Nayaki Kanada_6</v>
      </c>
      <c r="D810" s="12" t="s">
        <v>969</v>
      </c>
      <c r="E810" s="2" t="s">
        <v>25</v>
      </c>
      <c r="F810" s="2" t="s">
        <v>153</v>
      </c>
      <c r="H810" s="2" t="str">
        <f>VLOOKUP(F810, ArtistCount!$A$1:$C$286, 3, FALSE)</f>
        <v>#N/A</v>
      </c>
      <c r="I810" s="2" t="s">
        <v>154</v>
      </c>
    </row>
    <row r="811" ht="22.5" customHeight="1">
      <c r="A811" s="5" t="s">
        <v>963</v>
      </c>
      <c r="B811" s="2" t="s">
        <v>38</v>
      </c>
      <c r="C811" s="6" t="str">
        <f t="shared" si="1"/>
        <v>Nayaki Kanada_7</v>
      </c>
      <c r="D811" s="12" t="s">
        <v>970</v>
      </c>
      <c r="E811" s="2" t="s">
        <v>25</v>
      </c>
      <c r="F811" s="2" t="s">
        <v>134</v>
      </c>
      <c r="H811" s="6" t="str">
        <f>VLOOKUP(F811, ArtistCount!$A$1:$C$286, 3, FALSE)</f>
        <v>#N/A</v>
      </c>
    </row>
    <row r="812" ht="22.5" customHeight="1">
      <c r="A812" s="5" t="s">
        <v>963</v>
      </c>
      <c r="B812" s="2" t="s">
        <v>43</v>
      </c>
      <c r="C812" s="6" t="str">
        <f t="shared" si="1"/>
        <v>Nayaki Kanada_8</v>
      </c>
      <c r="D812" s="12" t="s">
        <v>971</v>
      </c>
      <c r="E812" s="2" t="s">
        <v>25</v>
      </c>
      <c r="F812" s="2" t="s">
        <v>83</v>
      </c>
      <c r="H812" s="6" t="str">
        <f>VLOOKUP(F812, ArtistCount!$A$1:$C$286, 3, FALSE)</f>
        <v>#N/A</v>
      </c>
    </row>
    <row r="813" ht="22.5" customHeight="1">
      <c r="A813" s="5" t="s">
        <v>963</v>
      </c>
      <c r="B813" s="2" t="s">
        <v>127</v>
      </c>
      <c r="C813" s="6" t="str">
        <f t="shared" si="1"/>
        <v>Nayaki Kanada_9</v>
      </c>
      <c r="D813" s="12" t="s">
        <v>972</v>
      </c>
      <c r="E813" s="2" t="s">
        <v>25</v>
      </c>
      <c r="F813" s="2" t="s">
        <v>248</v>
      </c>
      <c r="H813" s="6" t="str">
        <f>VLOOKUP(F813, ArtistCount!$A$1:$C$286, 3, FALSE)</f>
        <v>#N/A</v>
      </c>
    </row>
    <row r="814" ht="22.5" customHeight="1">
      <c r="A814" s="5" t="s">
        <v>973</v>
      </c>
      <c r="B814" s="21" t="s">
        <v>43</v>
      </c>
      <c r="C814" s="6" t="str">
        <f t="shared" si="1"/>
        <v>Pahadi_1</v>
      </c>
      <c r="D814" s="13" t="s">
        <v>974</v>
      </c>
      <c r="E814" s="2" t="s">
        <v>25</v>
      </c>
      <c r="F814" s="2" t="s">
        <v>134</v>
      </c>
      <c r="H814" s="6" t="str">
        <f>VLOOKUP(F814, ArtistCount!$A$1:$C$286, 3, FALSE)</f>
        <v>#N/A</v>
      </c>
    </row>
    <row r="815" ht="22.5" customHeight="1">
      <c r="A815" s="5" t="s">
        <v>973</v>
      </c>
      <c r="B815" s="2" t="s">
        <v>24</v>
      </c>
      <c r="C815" s="6" t="str">
        <f t="shared" si="1"/>
        <v>Pahadi_2</v>
      </c>
      <c r="D815" s="13" t="s">
        <v>975</v>
      </c>
      <c r="E815" s="2" t="s">
        <v>25</v>
      </c>
      <c r="F815" s="2" t="s">
        <v>976</v>
      </c>
      <c r="H815" s="6" t="str">
        <f>VLOOKUP(F815, ArtistCount!$A$1:$C$286, 3, FALSE)</f>
        <v>#N/A</v>
      </c>
    </row>
    <row r="816" ht="22.5" customHeight="1">
      <c r="A816" s="5" t="s">
        <v>973</v>
      </c>
      <c r="B816" s="2" t="s">
        <v>32</v>
      </c>
      <c r="C816" s="6" t="str">
        <f t="shared" si="1"/>
        <v>Pahadi_3</v>
      </c>
      <c r="D816" s="13" t="s">
        <v>977</v>
      </c>
      <c r="E816" s="2" t="s">
        <v>225</v>
      </c>
      <c r="F816" s="2" t="s">
        <v>978</v>
      </c>
      <c r="H816" s="6" t="str">
        <f>VLOOKUP(F816, ArtistCount!$A$1:$C$286, 3, FALSE)</f>
        <v>#N/A</v>
      </c>
    </row>
    <row r="817" ht="22.5" customHeight="1">
      <c r="A817" s="5" t="s">
        <v>973</v>
      </c>
      <c r="B817" s="2" t="s">
        <v>38</v>
      </c>
      <c r="C817" s="6" t="str">
        <f t="shared" si="1"/>
        <v>Pahadi_4</v>
      </c>
      <c r="D817" s="15" t="s">
        <v>979</v>
      </c>
      <c r="E817" s="2" t="s">
        <v>25</v>
      </c>
      <c r="F817" s="2" t="s">
        <v>157</v>
      </c>
      <c r="H817" s="6" t="str">
        <f>VLOOKUP(F817, ArtistCount!$A$1:$C$286, 3, FALSE)</f>
        <v>#N/A</v>
      </c>
    </row>
    <row r="818" ht="22.5" customHeight="1">
      <c r="A818" s="5" t="s">
        <v>973</v>
      </c>
      <c r="B818" s="2" t="s">
        <v>32</v>
      </c>
      <c r="C818" s="6" t="str">
        <f t="shared" si="1"/>
        <v>Pahadi_5</v>
      </c>
      <c r="D818" s="15" t="s">
        <v>980</v>
      </c>
      <c r="E818" s="2" t="s">
        <v>25</v>
      </c>
      <c r="F818" s="2" t="s">
        <v>37</v>
      </c>
      <c r="H818" s="6" t="str">
        <f>VLOOKUP(F818, ArtistCount!$A$1:$C$286, 3, FALSE)</f>
        <v>#N/A</v>
      </c>
    </row>
    <row r="819" ht="22.5" customHeight="1">
      <c r="A819" s="5" t="s">
        <v>973</v>
      </c>
      <c r="B819" s="2" t="s">
        <v>89</v>
      </c>
      <c r="C819" s="6" t="str">
        <f t="shared" si="1"/>
        <v>Pahadi_6</v>
      </c>
      <c r="D819" s="13" t="s">
        <v>981</v>
      </c>
      <c r="E819" s="2" t="s">
        <v>167</v>
      </c>
      <c r="F819" s="2" t="s">
        <v>168</v>
      </c>
      <c r="H819" s="6" t="str">
        <f>VLOOKUP(F819, ArtistCount!$A$1:$C$286, 3, FALSE)</f>
        <v>#N/A</v>
      </c>
    </row>
    <row r="820" ht="22.5" customHeight="1">
      <c r="A820" s="5" t="s">
        <v>973</v>
      </c>
      <c r="B820" s="21" t="s">
        <v>89</v>
      </c>
      <c r="C820" s="6" t="str">
        <f t="shared" si="1"/>
        <v>Pahadi_7</v>
      </c>
      <c r="D820" s="13" t="s">
        <v>982</v>
      </c>
      <c r="E820" s="2" t="s">
        <v>25</v>
      </c>
      <c r="F820" s="2" t="s">
        <v>34</v>
      </c>
      <c r="H820" s="6" t="str">
        <f>VLOOKUP(F820, ArtistCount!$A$1:$C$286, 3, FALSE)</f>
        <v>#N/A</v>
      </c>
    </row>
    <row r="821" ht="22.5" customHeight="1">
      <c r="A821" s="5" t="s">
        <v>973</v>
      </c>
      <c r="B821" s="2" t="s">
        <v>89</v>
      </c>
      <c r="C821" s="6" t="str">
        <f t="shared" si="1"/>
        <v>Pahadi_8</v>
      </c>
      <c r="D821" s="17" t="s">
        <v>983</v>
      </c>
      <c r="E821" s="2" t="s">
        <v>167</v>
      </c>
      <c r="F821" s="2" t="s">
        <v>168</v>
      </c>
      <c r="H821" s="6" t="str">
        <f>VLOOKUP(F821, ArtistCount!$A$1:$C$286, 3, FALSE)</f>
        <v>#N/A</v>
      </c>
    </row>
    <row r="822" ht="22.5" customHeight="1">
      <c r="A822" s="5" t="s">
        <v>973</v>
      </c>
      <c r="B822" s="2" t="s">
        <v>67</v>
      </c>
      <c r="C822" s="6" t="str">
        <f t="shared" si="1"/>
        <v>Pahadi_9</v>
      </c>
      <c r="D822" s="13" t="s">
        <v>984</v>
      </c>
      <c r="E822" s="2" t="s">
        <v>25</v>
      </c>
      <c r="F822" s="2" t="s">
        <v>37</v>
      </c>
      <c r="H822" s="6" t="str">
        <f>VLOOKUP(F822, ArtistCount!$A$1:$C$286, 3, FALSE)</f>
        <v>#N/A</v>
      </c>
    </row>
    <row r="823" ht="22.5" customHeight="1">
      <c r="A823" s="5" t="s">
        <v>973</v>
      </c>
      <c r="B823" s="2" t="s">
        <v>28</v>
      </c>
      <c r="C823" s="6" t="str">
        <f t="shared" si="1"/>
        <v>Pahadi_10</v>
      </c>
      <c r="D823" s="13" t="s">
        <v>985</v>
      </c>
      <c r="E823" s="2" t="s">
        <v>167</v>
      </c>
      <c r="F823" s="2" t="s">
        <v>771</v>
      </c>
      <c r="H823" s="6" t="str">
        <f>VLOOKUP(F823, ArtistCount!$A$1:$C$286, 3, FALSE)</f>
        <v>#N/A</v>
      </c>
    </row>
    <row r="824" ht="22.5" customHeight="1">
      <c r="A824" s="5" t="s">
        <v>986</v>
      </c>
      <c r="B824" s="2" t="s">
        <v>38</v>
      </c>
      <c r="C824" s="6" t="str">
        <f t="shared" si="1"/>
        <v>Parameshwari_1</v>
      </c>
      <c r="D824" s="12" t="s">
        <v>987</v>
      </c>
      <c r="E824" s="2" t="s">
        <v>25</v>
      </c>
      <c r="F824" s="2" t="s">
        <v>412</v>
      </c>
      <c r="H824" s="6" t="str">
        <f>VLOOKUP(F824, ArtistCount!$A$1:$C$286, 3, FALSE)</f>
        <v>#N/A</v>
      </c>
    </row>
    <row r="825" ht="22.5" customHeight="1">
      <c r="A825" s="5" t="s">
        <v>986</v>
      </c>
      <c r="B825" s="2" t="s">
        <v>32</v>
      </c>
      <c r="C825" s="6" t="str">
        <f t="shared" si="1"/>
        <v>Parameshwari_2</v>
      </c>
      <c r="D825" s="12" t="s">
        <v>988</v>
      </c>
      <c r="E825" s="2" t="s">
        <v>25</v>
      </c>
      <c r="F825" s="2" t="s">
        <v>34</v>
      </c>
      <c r="H825" s="6" t="str">
        <f>VLOOKUP(F825, ArtistCount!$A$1:$C$286, 3, FALSE)</f>
        <v>#N/A</v>
      </c>
    </row>
    <row r="826" ht="22.5" customHeight="1">
      <c r="A826" s="5" t="s">
        <v>986</v>
      </c>
      <c r="B826" s="2" t="s">
        <v>32</v>
      </c>
      <c r="C826" s="6" t="str">
        <f t="shared" si="1"/>
        <v>Parameshwari_3</v>
      </c>
      <c r="D826" s="12" t="s">
        <v>989</v>
      </c>
      <c r="E826" s="2" t="s">
        <v>114</v>
      </c>
      <c r="F826" s="2" t="s">
        <v>990</v>
      </c>
      <c r="H826" s="6" t="str">
        <f>VLOOKUP(F826, ArtistCount!$A$1:$C$286, 3, FALSE)</f>
        <v>#N/A</v>
      </c>
    </row>
    <row r="827" ht="22.5" customHeight="1">
      <c r="A827" s="5" t="s">
        <v>986</v>
      </c>
      <c r="B827" s="2" t="s">
        <v>32</v>
      </c>
      <c r="C827" s="6" t="str">
        <f t="shared" si="1"/>
        <v>Parameshwari_4</v>
      </c>
      <c r="D827" s="15" t="s">
        <v>991</v>
      </c>
      <c r="E827" s="2" t="s">
        <v>25</v>
      </c>
      <c r="F827" s="8" t="s">
        <v>136</v>
      </c>
      <c r="H827" s="6" t="str">
        <f>VLOOKUP(F827, ArtistCount!$A$1:$C$286, 3, FALSE)</f>
        <v>#N/A</v>
      </c>
    </row>
    <row r="828" ht="22.5" customHeight="1">
      <c r="A828" s="5" t="s">
        <v>986</v>
      </c>
      <c r="B828" s="2" t="s">
        <v>32</v>
      </c>
      <c r="C828" s="6" t="str">
        <f t="shared" si="1"/>
        <v>Parameshwari_5</v>
      </c>
      <c r="D828" s="12" t="s">
        <v>992</v>
      </c>
      <c r="E828" s="2" t="s">
        <v>25</v>
      </c>
      <c r="F828" s="2" t="s">
        <v>101</v>
      </c>
      <c r="H828" s="6" t="str">
        <f>VLOOKUP(F828, ArtistCount!$A$1:$C$286, 3, FALSE)</f>
        <v>#N/A</v>
      </c>
    </row>
    <row r="829" ht="22.5" customHeight="1">
      <c r="A829" s="5" t="s">
        <v>986</v>
      </c>
      <c r="B829" s="2" t="s">
        <v>28</v>
      </c>
      <c r="C829" s="6" t="str">
        <f t="shared" si="1"/>
        <v>Parameshwari_6</v>
      </c>
      <c r="D829" s="12" t="s">
        <v>993</v>
      </c>
      <c r="E829" s="2" t="s">
        <v>167</v>
      </c>
      <c r="F829" s="2" t="s">
        <v>994</v>
      </c>
      <c r="H829" s="6" t="str">
        <f>VLOOKUP(F829, ArtistCount!$A$1:$C$286, 3, FALSE)</f>
        <v>#N/A</v>
      </c>
    </row>
    <row r="830" ht="22.5" customHeight="1">
      <c r="A830" s="5" t="s">
        <v>986</v>
      </c>
      <c r="B830" s="21" t="s">
        <v>32</v>
      </c>
      <c r="C830" s="6" t="str">
        <f t="shared" si="1"/>
        <v>Parameshwari_7</v>
      </c>
      <c r="D830" s="12" t="s">
        <v>995</v>
      </c>
      <c r="E830" s="2" t="s">
        <v>25</v>
      </c>
      <c r="F830" s="2" t="s">
        <v>142</v>
      </c>
      <c r="H830" s="6" t="str">
        <f>VLOOKUP(F830, ArtistCount!$A$1:$C$286, 3, FALSE)</f>
        <v>#N/A</v>
      </c>
    </row>
    <row r="831" ht="22.5" customHeight="1">
      <c r="A831" s="5" t="s">
        <v>986</v>
      </c>
      <c r="B831" s="2" t="s">
        <v>32</v>
      </c>
      <c r="C831" s="6" t="str">
        <f t="shared" si="1"/>
        <v>Parameshwari_8</v>
      </c>
      <c r="D831" s="12" t="s">
        <v>996</v>
      </c>
      <c r="E831" s="2" t="s">
        <v>25</v>
      </c>
      <c r="F831" s="2" t="s">
        <v>997</v>
      </c>
      <c r="H831" s="6" t="str">
        <f>VLOOKUP(F831, ArtistCount!$A$1:$C$286, 3, FALSE)</f>
        <v>#N/A</v>
      </c>
    </row>
    <row r="832" ht="22.5" customHeight="1">
      <c r="A832" s="5" t="s">
        <v>998</v>
      </c>
      <c r="B832" s="2" t="s">
        <v>28</v>
      </c>
      <c r="C832" s="6" t="str">
        <f t="shared" si="1"/>
        <v>Patdeep_1</v>
      </c>
      <c r="D832" s="12" t="s">
        <v>999</v>
      </c>
      <c r="E832" s="2" t="s">
        <v>25</v>
      </c>
      <c r="F832" s="2" t="s">
        <v>52</v>
      </c>
      <c r="H832" s="6" t="str">
        <f>VLOOKUP(F832, ArtistCount!$A$1:$C$286, 3, FALSE)</f>
        <v>#N/A</v>
      </c>
    </row>
    <row r="833" ht="22.5" customHeight="1">
      <c r="A833" s="5" t="s">
        <v>998</v>
      </c>
      <c r="B833" s="2" t="s">
        <v>32</v>
      </c>
      <c r="C833" s="6" t="str">
        <f t="shared" si="1"/>
        <v>Patdeep_2</v>
      </c>
      <c r="D833" s="12" t="s">
        <v>1000</v>
      </c>
      <c r="E833" s="2" t="s">
        <v>25</v>
      </c>
      <c r="F833" s="2" t="s">
        <v>34</v>
      </c>
      <c r="H833" s="6" t="str">
        <f>VLOOKUP(F833, ArtistCount!$A$1:$C$286, 3, FALSE)</f>
        <v>#N/A</v>
      </c>
    </row>
    <row r="834" ht="22.5" customHeight="1">
      <c r="A834" s="5" t="s">
        <v>998</v>
      </c>
      <c r="B834" s="2" t="s">
        <v>62</v>
      </c>
      <c r="C834" s="6" t="str">
        <f t="shared" si="1"/>
        <v>Patdeep_3</v>
      </c>
      <c r="D834" s="12" t="s">
        <v>1001</v>
      </c>
      <c r="E834" s="2" t="s">
        <v>162</v>
      </c>
      <c r="F834" s="2" t="s">
        <v>337</v>
      </c>
      <c r="H834" s="6" t="str">
        <f>VLOOKUP(F834, ArtistCount!$A$1:$C$286, 3, FALSE)</f>
        <v>#N/A</v>
      </c>
    </row>
    <row r="835" ht="22.5" customHeight="1">
      <c r="A835" s="5" t="s">
        <v>998</v>
      </c>
      <c r="B835" s="2" t="s">
        <v>127</v>
      </c>
      <c r="C835" s="6" t="str">
        <f t="shared" si="1"/>
        <v>Patdeep_4</v>
      </c>
      <c r="D835" s="12" t="s">
        <v>1002</v>
      </c>
      <c r="E835" s="2" t="s">
        <v>313</v>
      </c>
      <c r="F835" s="8" t="s">
        <v>759</v>
      </c>
      <c r="H835" s="6" t="str">
        <f>VLOOKUP(F835, ArtistCount!$A$1:$C$286, 3, FALSE)</f>
        <v>#N/A</v>
      </c>
    </row>
    <row r="836" ht="22.5" customHeight="1">
      <c r="A836" s="5" t="s">
        <v>998</v>
      </c>
      <c r="B836" s="2" t="s">
        <v>32</v>
      </c>
      <c r="C836" s="6" t="str">
        <f t="shared" si="1"/>
        <v>Patdeep_5</v>
      </c>
      <c r="D836" s="12" t="s">
        <v>1003</v>
      </c>
      <c r="E836" s="2" t="s">
        <v>25</v>
      </c>
      <c r="F836" s="2" t="s">
        <v>123</v>
      </c>
      <c r="H836" s="6" t="str">
        <f>VLOOKUP(F836, ArtistCount!$A$1:$C$286, 3, FALSE)</f>
        <v>#N/A</v>
      </c>
    </row>
    <row r="837" ht="22.5" customHeight="1">
      <c r="A837" s="5" t="s">
        <v>998</v>
      </c>
      <c r="B837" s="2" t="s">
        <v>38</v>
      </c>
      <c r="C837" s="6" t="str">
        <f t="shared" si="1"/>
        <v>Patdeep_6</v>
      </c>
      <c r="D837" s="12" t="s">
        <v>1004</v>
      </c>
      <c r="E837" s="2" t="s">
        <v>25</v>
      </c>
      <c r="F837" s="2" t="s">
        <v>134</v>
      </c>
      <c r="H837" s="6" t="str">
        <f>VLOOKUP(F837, ArtistCount!$A$1:$C$286, 3, FALSE)</f>
        <v>#N/A</v>
      </c>
    </row>
    <row r="838" ht="22.5" customHeight="1">
      <c r="A838" s="5" t="s">
        <v>998</v>
      </c>
      <c r="B838" s="2" t="s">
        <v>28</v>
      </c>
      <c r="C838" s="6" t="str">
        <f t="shared" si="1"/>
        <v>Patdeep_7</v>
      </c>
      <c r="D838" s="12" t="s">
        <v>1005</v>
      </c>
      <c r="E838" s="2" t="s">
        <v>167</v>
      </c>
      <c r="F838" s="2" t="s">
        <v>168</v>
      </c>
      <c r="H838" s="6" t="str">
        <f>VLOOKUP(F838, ArtistCount!$A$1:$C$286, 3, FALSE)</f>
        <v>#N/A</v>
      </c>
    </row>
    <row r="839" ht="22.5" customHeight="1">
      <c r="A839" s="5" t="s">
        <v>998</v>
      </c>
      <c r="B839" s="2" t="s">
        <v>28</v>
      </c>
      <c r="C839" s="6" t="str">
        <f t="shared" si="1"/>
        <v>Patdeep_8</v>
      </c>
      <c r="D839" s="12" t="s">
        <v>1006</v>
      </c>
      <c r="E839" s="2" t="s">
        <v>91</v>
      </c>
      <c r="F839" s="2" t="s">
        <v>1007</v>
      </c>
      <c r="H839" s="6" t="str">
        <f>VLOOKUP(F839, ArtistCount!$A$1:$C$286, 3, FALSE)</f>
        <v>#N/A</v>
      </c>
    </row>
    <row r="840" ht="22.5" customHeight="1">
      <c r="A840" s="5" t="s">
        <v>998</v>
      </c>
      <c r="B840" s="2" t="s">
        <v>38</v>
      </c>
      <c r="C840" s="6" t="str">
        <f t="shared" si="1"/>
        <v>Patdeep_9</v>
      </c>
      <c r="D840" s="12" t="s">
        <v>1008</v>
      </c>
      <c r="E840" s="2" t="s">
        <v>25</v>
      </c>
      <c r="F840" s="2" t="s">
        <v>1009</v>
      </c>
      <c r="H840" s="6" t="str">
        <f>VLOOKUP(F840, ArtistCount!$A$1:$C$286, 3, FALSE)</f>
        <v>#N/A</v>
      </c>
    </row>
    <row r="841" ht="22.5" customHeight="1">
      <c r="A841" s="5" t="s">
        <v>998</v>
      </c>
      <c r="B841" s="2" t="s">
        <v>24</v>
      </c>
      <c r="C841" s="6" t="str">
        <f t="shared" si="1"/>
        <v>Patdeep_10</v>
      </c>
      <c r="D841" s="15" t="s">
        <v>1010</v>
      </c>
      <c r="E841" s="2" t="s">
        <v>25</v>
      </c>
      <c r="F841" s="2" t="s">
        <v>37</v>
      </c>
      <c r="H841" s="6" t="str">
        <f>VLOOKUP(F841, ArtistCount!$A$1:$C$286, 3, FALSE)</f>
        <v>#N/A</v>
      </c>
    </row>
    <row r="842" ht="22.5" customHeight="1">
      <c r="A842" s="5" t="s">
        <v>1011</v>
      </c>
      <c r="B842" s="2" t="s">
        <v>32</v>
      </c>
      <c r="C842" s="6" t="str">
        <f t="shared" si="1"/>
        <v>Pilu_1</v>
      </c>
      <c r="D842" s="13" t="s">
        <v>1012</v>
      </c>
      <c r="E842" s="2" t="s">
        <v>114</v>
      </c>
      <c r="F842" s="2" t="s">
        <v>211</v>
      </c>
      <c r="H842" s="6" t="str">
        <f>VLOOKUP(F842, ArtistCount!$A$1:$C$286, 3, FALSE)</f>
        <v>#N/A</v>
      </c>
    </row>
    <row r="843" ht="22.5" customHeight="1">
      <c r="A843" s="5" t="s">
        <v>1011</v>
      </c>
      <c r="B843" s="2" t="s">
        <v>43</v>
      </c>
      <c r="C843" s="6" t="str">
        <f t="shared" si="1"/>
        <v>Pilu_2</v>
      </c>
      <c r="D843" s="13" t="s">
        <v>1013</v>
      </c>
      <c r="E843" s="2" t="s">
        <v>25</v>
      </c>
      <c r="F843" s="2" t="s">
        <v>52</v>
      </c>
      <c r="H843" s="6" t="str">
        <f>VLOOKUP(F843, ArtistCount!$A$1:$C$286, 3, FALSE)</f>
        <v>#N/A</v>
      </c>
    </row>
    <row r="844" ht="22.5" customHeight="1">
      <c r="A844" s="5" t="s">
        <v>1011</v>
      </c>
      <c r="B844" s="2" t="s">
        <v>24</v>
      </c>
      <c r="C844" s="6" t="str">
        <f t="shared" si="1"/>
        <v>Pilu_3</v>
      </c>
      <c r="D844" s="15" t="s">
        <v>1014</v>
      </c>
      <c r="E844" s="2" t="s">
        <v>25</v>
      </c>
      <c r="F844" s="2" t="s">
        <v>37</v>
      </c>
      <c r="H844" s="6" t="str">
        <f>VLOOKUP(F844, ArtistCount!$A$1:$C$286, 3, FALSE)</f>
        <v>#N/A</v>
      </c>
    </row>
    <row r="845" ht="22.5" customHeight="1">
      <c r="A845" s="5" t="s">
        <v>1011</v>
      </c>
      <c r="B845" s="21" t="s">
        <v>38</v>
      </c>
      <c r="C845" s="6" t="str">
        <f t="shared" si="1"/>
        <v>Pilu_4</v>
      </c>
      <c r="D845" s="13" t="s">
        <v>1015</v>
      </c>
      <c r="E845" s="2" t="s">
        <v>25</v>
      </c>
      <c r="F845" s="2" t="s">
        <v>157</v>
      </c>
      <c r="H845" s="6" t="str">
        <f>VLOOKUP(F845, ArtistCount!$A$1:$C$286, 3, FALSE)</f>
        <v>#N/A</v>
      </c>
    </row>
    <row r="846" ht="22.5" customHeight="1">
      <c r="A846" s="5" t="s">
        <v>1011</v>
      </c>
      <c r="B846" s="2" t="s">
        <v>62</v>
      </c>
      <c r="C846" s="6" t="str">
        <f t="shared" si="1"/>
        <v>Pilu_5</v>
      </c>
      <c r="D846" s="12" t="s">
        <v>1016</v>
      </c>
      <c r="E846" s="2" t="s">
        <v>25</v>
      </c>
      <c r="F846" s="2" t="s">
        <v>153</v>
      </c>
      <c r="H846" s="2" t="str">
        <f>VLOOKUP(F846, ArtistCount!$A$1:$C$286, 3, FALSE)</f>
        <v>#N/A</v>
      </c>
      <c r="I846" s="2" t="s">
        <v>154</v>
      </c>
    </row>
    <row r="847" ht="22.5" customHeight="1">
      <c r="A847" s="5" t="s">
        <v>1011</v>
      </c>
      <c r="B847" s="2" t="s">
        <v>38</v>
      </c>
      <c r="C847" s="6" t="str">
        <f t="shared" si="1"/>
        <v>Pilu_6</v>
      </c>
      <c r="D847" s="12" t="s">
        <v>1017</v>
      </c>
      <c r="E847" s="2" t="s">
        <v>162</v>
      </c>
      <c r="F847" s="2" t="s">
        <v>271</v>
      </c>
      <c r="H847" s="6" t="str">
        <f>VLOOKUP(F847, ArtistCount!$A$1:$C$286, 3, FALSE)</f>
        <v>#N/A</v>
      </c>
    </row>
    <row r="848" ht="22.5" customHeight="1">
      <c r="A848" s="5" t="s">
        <v>1011</v>
      </c>
      <c r="B848" s="2" t="s">
        <v>24</v>
      </c>
      <c r="C848" s="6" t="str">
        <f t="shared" si="1"/>
        <v>Pilu_7</v>
      </c>
      <c r="D848" s="12" t="s">
        <v>1018</v>
      </c>
      <c r="E848" s="2" t="s">
        <v>25</v>
      </c>
      <c r="F848" s="2" t="s">
        <v>1019</v>
      </c>
      <c r="H848" s="6" t="str">
        <f>VLOOKUP(F848, ArtistCount!$A$1:$C$286, 3, FALSE)</f>
        <v>#N/A</v>
      </c>
    </row>
    <row r="849" ht="22.5" customHeight="1">
      <c r="A849" s="5" t="s">
        <v>1020</v>
      </c>
      <c r="B849" s="2" t="s">
        <v>43</v>
      </c>
      <c r="C849" s="6" t="str">
        <f t="shared" si="1"/>
        <v>Poorvi_1</v>
      </c>
      <c r="D849" s="12" t="s">
        <v>1021</v>
      </c>
      <c r="E849" s="2" t="s">
        <v>25</v>
      </c>
      <c r="F849" s="2" t="s">
        <v>1022</v>
      </c>
      <c r="H849" s="6" t="str">
        <f>VLOOKUP(F849, ArtistCount!$A$1:$C$286, 3, FALSE)</f>
        <v>#N/A</v>
      </c>
    </row>
    <row r="850" ht="22.5" customHeight="1">
      <c r="A850" s="5" t="s">
        <v>1020</v>
      </c>
      <c r="B850" s="2" t="s">
        <v>43</v>
      </c>
      <c r="C850" s="6" t="str">
        <f t="shared" si="1"/>
        <v>Poorvi_2</v>
      </c>
      <c r="D850" s="12" t="s">
        <v>1023</v>
      </c>
      <c r="E850" s="2" t="s">
        <v>25</v>
      </c>
      <c r="F850" s="2" t="s">
        <v>83</v>
      </c>
      <c r="H850" s="6" t="str">
        <f>VLOOKUP(F850, ArtistCount!$A$1:$C$286, 3, FALSE)</f>
        <v>#N/A</v>
      </c>
    </row>
    <row r="851" ht="22.5" customHeight="1">
      <c r="A851" s="5" t="s">
        <v>1020</v>
      </c>
      <c r="B851" s="2" t="s">
        <v>24</v>
      </c>
      <c r="C851" s="6" t="str">
        <f t="shared" si="1"/>
        <v>Poorvi_3</v>
      </c>
      <c r="D851" s="15" t="s">
        <v>1024</v>
      </c>
      <c r="E851" s="2" t="s">
        <v>25</v>
      </c>
      <c r="F851" s="2" t="s">
        <v>37</v>
      </c>
      <c r="H851" s="6" t="str">
        <f>VLOOKUP(F851, ArtistCount!$A$1:$C$286, 3, FALSE)</f>
        <v>#N/A</v>
      </c>
    </row>
    <row r="852" ht="22.5" customHeight="1">
      <c r="A852" s="5" t="s">
        <v>1020</v>
      </c>
      <c r="B852" s="2" t="s">
        <v>24</v>
      </c>
      <c r="C852" s="6" t="str">
        <f t="shared" si="1"/>
        <v>Poorvi_4</v>
      </c>
      <c r="D852" s="12" t="s">
        <v>1025</v>
      </c>
      <c r="E852" s="2" t="s">
        <v>25</v>
      </c>
      <c r="F852" s="2" t="s">
        <v>30</v>
      </c>
      <c r="H852" s="6" t="str">
        <f>VLOOKUP(F852, ArtistCount!$A$1:$C$286, 3, FALSE)</f>
        <v>#N/A</v>
      </c>
    </row>
    <row r="853" ht="22.5" customHeight="1">
      <c r="A853" s="5" t="s">
        <v>1020</v>
      </c>
      <c r="B853" s="9" t="s">
        <v>29</v>
      </c>
      <c r="C853" s="6" t="str">
        <f t="shared" si="1"/>
        <v>Poorvi_5</v>
      </c>
      <c r="D853" s="12" t="s">
        <v>1026</v>
      </c>
      <c r="E853" s="2" t="s">
        <v>25</v>
      </c>
      <c r="F853" s="2" t="s">
        <v>1027</v>
      </c>
      <c r="H853" s="6" t="str">
        <f>VLOOKUP(F853, ArtistCount!$A$1:$C$286, 3, FALSE)</f>
        <v>#N/A</v>
      </c>
    </row>
    <row r="854" ht="22.5" customHeight="1">
      <c r="A854" s="5" t="s">
        <v>1020</v>
      </c>
      <c r="B854" s="9" t="s">
        <v>32</v>
      </c>
      <c r="C854" s="6" t="str">
        <f t="shared" si="1"/>
        <v>Poorvi_6</v>
      </c>
      <c r="D854" s="12" t="s">
        <v>1028</v>
      </c>
      <c r="E854" s="2" t="s">
        <v>25</v>
      </c>
      <c r="F854" s="2" t="s">
        <v>34</v>
      </c>
      <c r="H854" s="6" t="str">
        <f>VLOOKUP(F854, ArtistCount!$A$1:$C$286, 3, FALSE)</f>
        <v>#N/A</v>
      </c>
    </row>
    <row r="855" ht="22.5" customHeight="1">
      <c r="A855" s="5" t="s">
        <v>1020</v>
      </c>
      <c r="B855" s="16" t="s">
        <v>62</v>
      </c>
      <c r="C855" s="6" t="str">
        <f t="shared" si="1"/>
        <v>Poorvi_7</v>
      </c>
      <c r="D855" s="12" t="s">
        <v>1029</v>
      </c>
      <c r="E855" s="2" t="s">
        <v>25</v>
      </c>
      <c r="F855" s="2" t="s">
        <v>75</v>
      </c>
      <c r="H855" s="6" t="str">
        <f>VLOOKUP(F855, ArtistCount!$A$1:$C$286, 3, FALSE)</f>
        <v>#N/A</v>
      </c>
    </row>
    <row r="856" ht="22.5" customHeight="1">
      <c r="A856" s="5" t="s">
        <v>1020</v>
      </c>
      <c r="B856" s="2" t="s">
        <v>127</v>
      </c>
      <c r="C856" s="6" t="str">
        <f t="shared" si="1"/>
        <v>Poorvi_8</v>
      </c>
      <c r="D856" s="12" t="s">
        <v>1030</v>
      </c>
      <c r="E856" s="2" t="s">
        <v>25</v>
      </c>
      <c r="F856" s="2" t="s">
        <v>206</v>
      </c>
      <c r="H856" s="6" t="str">
        <f>VLOOKUP(F856, ArtistCount!$A$1:$C$286, 3, FALSE)</f>
        <v>#N/A</v>
      </c>
    </row>
    <row r="857" ht="22.5" customHeight="1">
      <c r="A857" s="5" t="s">
        <v>1020</v>
      </c>
      <c r="B857" s="2" t="s">
        <v>29</v>
      </c>
      <c r="C857" s="6" t="str">
        <f t="shared" si="1"/>
        <v>Poorvi_9</v>
      </c>
      <c r="D857" s="12" t="s">
        <v>1031</v>
      </c>
      <c r="E857" s="2" t="s">
        <v>25</v>
      </c>
      <c r="F857" s="2" t="s">
        <v>426</v>
      </c>
      <c r="H857" s="6" t="str">
        <f>VLOOKUP(F857, ArtistCount!$A$1:$C$286, 3, FALSE)</f>
        <v>#N/A</v>
      </c>
    </row>
    <row r="858" ht="22.5" customHeight="1">
      <c r="A858" s="5" t="s">
        <v>1020</v>
      </c>
      <c r="B858" s="2" t="s">
        <v>24</v>
      </c>
      <c r="C858" s="6" t="str">
        <f t="shared" si="1"/>
        <v>Poorvi_10</v>
      </c>
      <c r="D858" s="12" t="s">
        <v>1032</v>
      </c>
      <c r="E858" s="2" t="s">
        <v>25</v>
      </c>
      <c r="F858" s="2" t="s">
        <v>439</v>
      </c>
      <c r="H858" s="6" t="str">
        <f>VLOOKUP(F858, ArtistCount!$A$1:$C$286, 3, FALSE)</f>
        <v>#N/A</v>
      </c>
    </row>
    <row r="859" ht="22.5" customHeight="1">
      <c r="A859" s="5" t="s">
        <v>1033</v>
      </c>
      <c r="B859" s="2" t="s">
        <v>24</v>
      </c>
      <c r="C859" s="6" t="str">
        <f t="shared" si="1"/>
        <v>Puriya_1</v>
      </c>
      <c r="D859" s="12" t="s">
        <v>1034</v>
      </c>
      <c r="E859" s="2" t="s">
        <v>25</v>
      </c>
      <c r="F859" s="2" t="s">
        <v>1035</v>
      </c>
      <c r="H859" s="6" t="str">
        <f>VLOOKUP(F859, ArtistCount!$A$1:$C$286, 3, FALSE)</f>
        <v>#N/A</v>
      </c>
    </row>
    <row r="860" ht="22.5" customHeight="1">
      <c r="A860" s="5" t="s">
        <v>1033</v>
      </c>
      <c r="B860" s="2" t="s">
        <v>43</v>
      </c>
      <c r="C860" s="6" t="str">
        <f t="shared" si="1"/>
        <v>Puriya_2</v>
      </c>
      <c r="D860" s="12" t="s">
        <v>1036</v>
      </c>
      <c r="E860" s="2" t="s">
        <v>25</v>
      </c>
      <c r="F860" s="2" t="s">
        <v>26</v>
      </c>
      <c r="H860" s="6" t="str">
        <f>VLOOKUP(F860, ArtistCount!$A$1:$C$286, 3, FALSE)</f>
        <v>#N/A</v>
      </c>
    </row>
    <row r="861" ht="22.5" customHeight="1">
      <c r="A861" s="5" t="s">
        <v>1033</v>
      </c>
      <c r="B861" s="2" t="s">
        <v>62</v>
      </c>
      <c r="C861" s="6" t="str">
        <f t="shared" si="1"/>
        <v>Puriya_3</v>
      </c>
      <c r="D861" s="12" t="s">
        <v>1037</v>
      </c>
      <c r="E861" s="2" t="s">
        <v>25</v>
      </c>
      <c r="F861" s="2" t="s">
        <v>1038</v>
      </c>
      <c r="H861" s="6" t="str">
        <f>VLOOKUP(F861, ArtistCount!$A$1:$C$286, 3, FALSE)</f>
        <v>#N/A</v>
      </c>
    </row>
    <row r="862" ht="22.5" customHeight="1">
      <c r="A862" s="5" t="s">
        <v>1033</v>
      </c>
      <c r="B862" s="2" t="s">
        <v>32</v>
      </c>
      <c r="C862" s="6" t="str">
        <f t="shared" si="1"/>
        <v>Puriya_4</v>
      </c>
      <c r="D862" s="12" t="s">
        <v>1039</v>
      </c>
      <c r="E862" s="2" t="s">
        <v>25</v>
      </c>
      <c r="F862" s="2" t="s">
        <v>34</v>
      </c>
      <c r="H862" s="6" t="str">
        <f>VLOOKUP(F862, ArtistCount!$A$1:$C$286, 3, FALSE)</f>
        <v>#N/A</v>
      </c>
    </row>
    <row r="863" ht="22.5" customHeight="1">
      <c r="A863" s="5" t="s">
        <v>1033</v>
      </c>
      <c r="B863" s="2" t="s">
        <v>43</v>
      </c>
      <c r="C863" s="6" t="str">
        <f t="shared" si="1"/>
        <v>Puriya_5</v>
      </c>
      <c r="D863" s="12" t="s">
        <v>1040</v>
      </c>
      <c r="E863" s="2" t="s">
        <v>25</v>
      </c>
      <c r="F863" s="2" t="s">
        <v>52</v>
      </c>
      <c r="H863" s="6" t="str">
        <f>VLOOKUP(F863, ArtistCount!$A$1:$C$286, 3, FALSE)</f>
        <v>#N/A</v>
      </c>
    </row>
    <row r="864" ht="22.5" customHeight="1">
      <c r="A864" s="5" t="s">
        <v>1033</v>
      </c>
      <c r="B864" s="2" t="s">
        <v>24</v>
      </c>
      <c r="C864" s="6" t="str">
        <f t="shared" si="1"/>
        <v>Puriya_6</v>
      </c>
      <c r="D864" s="12" t="s">
        <v>1041</v>
      </c>
      <c r="E864" s="2" t="s">
        <v>25</v>
      </c>
      <c r="F864" s="2" t="s">
        <v>26</v>
      </c>
      <c r="H864" s="6" t="str">
        <f>VLOOKUP(F864, ArtistCount!$A$1:$C$286, 3, FALSE)</f>
        <v>#N/A</v>
      </c>
    </row>
    <row r="865" ht="22.5" customHeight="1">
      <c r="A865" s="5" t="s">
        <v>1033</v>
      </c>
      <c r="B865" s="2" t="s">
        <v>43</v>
      </c>
      <c r="C865" s="6" t="str">
        <f t="shared" si="1"/>
        <v>Puriya_7</v>
      </c>
      <c r="D865" s="12" t="s">
        <v>1042</v>
      </c>
      <c r="E865" s="2" t="s">
        <v>25</v>
      </c>
      <c r="F865" s="2" t="s">
        <v>222</v>
      </c>
      <c r="H865" s="6" t="str">
        <f>VLOOKUP(F865, ArtistCount!$A$1:$C$286, 3, FALSE)</f>
        <v>#N/A</v>
      </c>
    </row>
    <row r="866" ht="22.5" customHeight="1">
      <c r="A866" s="5" t="s">
        <v>1033</v>
      </c>
      <c r="B866" s="2" t="s">
        <v>127</v>
      </c>
      <c r="C866" s="6" t="str">
        <f t="shared" si="1"/>
        <v>Puriya_8</v>
      </c>
      <c r="D866" s="12" t="s">
        <v>1043</v>
      </c>
      <c r="E866" s="2" t="s">
        <v>25</v>
      </c>
      <c r="F866" s="2" t="s">
        <v>206</v>
      </c>
      <c r="H866" s="6" t="str">
        <f>VLOOKUP(F866, ArtistCount!$A$1:$C$286, 3, FALSE)</f>
        <v>#N/A</v>
      </c>
    </row>
    <row r="867" ht="22.5" customHeight="1">
      <c r="A867" s="5" t="s">
        <v>1033</v>
      </c>
      <c r="B867" s="2" t="s">
        <v>43</v>
      </c>
      <c r="C867" s="6" t="str">
        <f t="shared" si="1"/>
        <v>Puriya_9</v>
      </c>
      <c r="D867" s="12" t="s">
        <v>1044</v>
      </c>
      <c r="E867" s="2" t="s">
        <v>25</v>
      </c>
      <c r="F867" s="2" t="s">
        <v>94</v>
      </c>
      <c r="H867" s="6" t="str">
        <f>VLOOKUP(F867, ArtistCount!$A$1:$C$286, 3, FALSE)</f>
        <v>#N/A</v>
      </c>
    </row>
    <row r="868" ht="22.5" customHeight="1">
      <c r="A868" s="5" t="s">
        <v>1033</v>
      </c>
      <c r="B868" s="2" t="s">
        <v>28</v>
      </c>
      <c r="C868" s="6" t="str">
        <f t="shared" si="1"/>
        <v>Puriya_10</v>
      </c>
      <c r="D868" s="12" t="s">
        <v>1045</v>
      </c>
      <c r="E868" s="2" t="s">
        <v>25</v>
      </c>
      <c r="F868" s="2" t="s">
        <v>26</v>
      </c>
      <c r="H868" s="6" t="str">
        <f>VLOOKUP(F868, ArtistCount!$A$1:$C$286, 3, FALSE)</f>
        <v>#N/A</v>
      </c>
    </row>
    <row r="869" ht="22.5" customHeight="1">
      <c r="A869" s="5" t="s">
        <v>1046</v>
      </c>
      <c r="B869" s="2" t="s">
        <v>43</v>
      </c>
      <c r="C869" s="6" t="str">
        <f t="shared" si="1"/>
        <v>Puriya Dhanashree_1</v>
      </c>
      <c r="D869" s="18"/>
      <c r="E869" s="8" t="s">
        <v>25</v>
      </c>
      <c r="F869" s="8" t="s">
        <v>26</v>
      </c>
      <c r="H869" s="2" t="str">
        <f>VLOOKUP(F869, ArtistCount!$A$1:$C$286, 3, FALSE)</f>
        <v>#N/A</v>
      </c>
      <c r="I869" s="2" t="s">
        <v>27</v>
      </c>
    </row>
    <row r="870" ht="22.5" customHeight="1">
      <c r="A870" s="5" t="s">
        <v>1046</v>
      </c>
      <c r="B870" s="2" t="s">
        <v>43</v>
      </c>
      <c r="C870" s="6" t="str">
        <f t="shared" si="1"/>
        <v>Puriya Dhanashree_2</v>
      </c>
      <c r="D870" s="18"/>
      <c r="E870" s="8" t="s">
        <v>25</v>
      </c>
      <c r="F870" s="8" t="s">
        <v>26</v>
      </c>
      <c r="H870" s="2" t="str">
        <f>VLOOKUP(F870, ArtistCount!$A$1:$C$286, 3, FALSE)</f>
        <v>#N/A</v>
      </c>
      <c r="I870" s="2" t="s">
        <v>27</v>
      </c>
    </row>
    <row r="871" ht="22.5" customHeight="1">
      <c r="A871" s="5" t="s">
        <v>1046</v>
      </c>
      <c r="B871" s="2" t="s">
        <v>28</v>
      </c>
      <c r="C871" s="6" t="str">
        <f t="shared" si="1"/>
        <v>Puriya Dhanashree_3</v>
      </c>
      <c r="D871" s="18"/>
      <c r="E871" s="8" t="s">
        <v>25</v>
      </c>
      <c r="F871" s="8" t="s">
        <v>48</v>
      </c>
      <c r="H871" s="2" t="str">
        <f>VLOOKUP(F871, ArtistCount!$A$1:$C$286, 3, FALSE)</f>
        <v>#N/A</v>
      </c>
      <c r="I871" s="2" t="s">
        <v>27</v>
      </c>
    </row>
    <row r="872" ht="22.5" customHeight="1">
      <c r="A872" s="5" t="s">
        <v>1046</v>
      </c>
      <c r="B872" s="2" t="s">
        <v>67</v>
      </c>
      <c r="C872" s="6" t="str">
        <f t="shared" si="1"/>
        <v>Puriya Dhanashree_4</v>
      </c>
      <c r="D872" s="18"/>
      <c r="E872" s="8" t="s">
        <v>25</v>
      </c>
      <c r="F872" s="8" t="s">
        <v>68</v>
      </c>
      <c r="H872" s="2" t="str">
        <f>VLOOKUP(F872, ArtistCount!$A$1:$C$286, 3, FALSE)</f>
        <v>#N/A</v>
      </c>
      <c r="I872" s="2" t="s">
        <v>27</v>
      </c>
    </row>
    <row r="873" ht="22.5" customHeight="1">
      <c r="A873" s="5" t="s">
        <v>1046</v>
      </c>
      <c r="B873" s="2" t="s">
        <v>43</v>
      </c>
      <c r="C873" s="6" t="str">
        <f t="shared" si="1"/>
        <v>Puriya Dhanashree_5</v>
      </c>
      <c r="D873" s="18"/>
      <c r="E873" s="8" t="s">
        <v>25</v>
      </c>
      <c r="F873" s="8" t="s">
        <v>849</v>
      </c>
      <c r="H873" s="2" t="str">
        <f>VLOOKUP(F873, ArtistCount!$A$1:$C$286, 3, FALSE)</f>
        <v>#N/A</v>
      </c>
      <c r="I873" s="2" t="s">
        <v>27</v>
      </c>
    </row>
    <row r="874" ht="22.5" customHeight="1">
      <c r="A874" s="5" t="s">
        <v>1046</v>
      </c>
      <c r="B874" s="2" t="s">
        <v>24</v>
      </c>
      <c r="C874" s="6" t="str">
        <f t="shared" si="1"/>
        <v>Puriya Dhanashree_6</v>
      </c>
      <c r="D874" s="18"/>
      <c r="E874" s="8" t="s">
        <v>25</v>
      </c>
      <c r="F874" s="8" t="s">
        <v>30</v>
      </c>
      <c r="H874" s="2" t="str">
        <f>VLOOKUP(F874, ArtistCount!$A$1:$C$286, 3, FALSE)</f>
        <v>#N/A</v>
      </c>
      <c r="I874" s="2" t="s">
        <v>27</v>
      </c>
    </row>
    <row r="875" ht="22.5" customHeight="1">
      <c r="A875" s="5" t="s">
        <v>1046</v>
      </c>
      <c r="B875" s="2" t="s">
        <v>24</v>
      </c>
      <c r="C875" s="6" t="str">
        <f t="shared" si="1"/>
        <v>Puriya Dhanashree_7</v>
      </c>
      <c r="D875" s="18"/>
      <c r="E875" s="8" t="s">
        <v>25</v>
      </c>
      <c r="F875" s="8" t="s">
        <v>56</v>
      </c>
      <c r="H875" s="2" t="str">
        <f>VLOOKUP(F875, ArtistCount!$A$1:$C$286, 3, FALSE)</f>
        <v>#N/A</v>
      </c>
      <c r="I875" s="2" t="s">
        <v>27</v>
      </c>
    </row>
    <row r="876" ht="22.5" customHeight="1">
      <c r="A876" s="5" t="s">
        <v>1046</v>
      </c>
      <c r="B876" s="2" t="s">
        <v>67</v>
      </c>
      <c r="C876" s="6" t="str">
        <f t="shared" si="1"/>
        <v>Puriya Dhanashree_8</v>
      </c>
      <c r="D876" s="18"/>
      <c r="E876" s="8" t="s">
        <v>25</v>
      </c>
      <c r="F876" s="8" t="s">
        <v>68</v>
      </c>
      <c r="H876" s="2" t="str">
        <f>VLOOKUP(F876, ArtistCount!$A$1:$C$286, 3, FALSE)</f>
        <v>#N/A</v>
      </c>
      <c r="I876" s="2" t="s">
        <v>27</v>
      </c>
    </row>
    <row r="877" ht="22.5" customHeight="1">
      <c r="A877" s="5" t="s">
        <v>1046</v>
      </c>
      <c r="B877" s="2" t="s">
        <v>127</v>
      </c>
      <c r="C877" s="6" t="str">
        <f t="shared" si="1"/>
        <v>Puriya Dhanashree_9</v>
      </c>
      <c r="D877" s="18"/>
      <c r="E877" s="8" t="s">
        <v>25</v>
      </c>
      <c r="F877" s="8" t="s">
        <v>39</v>
      </c>
      <c r="H877" s="2" t="str">
        <f>VLOOKUP(F877, ArtistCount!$A$1:$C$286, 3, FALSE)</f>
        <v>#N/A</v>
      </c>
      <c r="I877" s="2" t="s">
        <v>27</v>
      </c>
    </row>
    <row r="878" ht="22.5" customHeight="1">
      <c r="A878" s="5" t="s">
        <v>1046</v>
      </c>
      <c r="B878" s="2" t="s">
        <v>127</v>
      </c>
      <c r="C878" s="6" t="str">
        <f t="shared" si="1"/>
        <v>Puriya Dhanashree_10</v>
      </c>
      <c r="D878" s="18"/>
      <c r="E878" s="8" t="s">
        <v>25</v>
      </c>
      <c r="F878" s="8" t="s">
        <v>39</v>
      </c>
      <c r="H878" s="2" t="str">
        <f>VLOOKUP(F878, ArtistCount!$A$1:$C$286, 3, FALSE)</f>
        <v>#N/A</v>
      </c>
      <c r="I878" s="2" t="s">
        <v>27</v>
      </c>
    </row>
    <row r="879" ht="22.5" customHeight="1">
      <c r="A879" s="5" t="s">
        <v>1047</v>
      </c>
      <c r="B879" s="2" t="s">
        <v>28</v>
      </c>
      <c r="C879" s="6" t="str">
        <f t="shared" si="1"/>
        <v>Puriya Kalyan_1</v>
      </c>
      <c r="D879" s="12" t="s">
        <v>1048</v>
      </c>
      <c r="E879" s="2" t="s">
        <v>167</v>
      </c>
      <c r="F879" s="2" t="s">
        <v>1049</v>
      </c>
      <c r="H879" s="6" t="str">
        <f>VLOOKUP(F879, ArtistCount!$A$1:$C$286, 3, FALSE)</f>
        <v>#N/A</v>
      </c>
    </row>
    <row r="880" ht="22.5" customHeight="1">
      <c r="A880" s="5" t="s">
        <v>1047</v>
      </c>
      <c r="B880" s="9" t="s">
        <v>32</v>
      </c>
      <c r="C880" s="6" t="str">
        <f t="shared" si="1"/>
        <v>Puriya Kalyan_2</v>
      </c>
      <c r="D880" s="12" t="s">
        <v>1050</v>
      </c>
      <c r="E880" s="2" t="s">
        <v>25</v>
      </c>
      <c r="F880" s="2" t="s">
        <v>34</v>
      </c>
      <c r="H880" s="6" t="str">
        <f>VLOOKUP(F880, ArtistCount!$A$1:$C$286, 3, FALSE)</f>
        <v>#N/A</v>
      </c>
    </row>
    <row r="881" ht="22.5" customHeight="1">
      <c r="A881" s="5" t="s">
        <v>1047</v>
      </c>
      <c r="B881" s="2" t="s">
        <v>28</v>
      </c>
      <c r="C881" s="6" t="str">
        <f t="shared" si="1"/>
        <v>Puriya Kalyan_3</v>
      </c>
      <c r="D881" s="12" t="s">
        <v>1051</v>
      </c>
      <c r="E881" s="2" t="s">
        <v>25</v>
      </c>
      <c r="F881" s="2" t="s">
        <v>26</v>
      </c>
      <c r="H881" s="6" t="str">
        <f>VLOOKUP(F881, ArtistCount!$A$1:$C$286, 3, FALSE)</f>
        <v>#N/A</v>
      </c>
    </row>
    <row r="882" ht="22.5" customHeight="1">
      <c r="A882" s="5" t="s">
        <v>1047</v>
      </c>
      <c r="B882" s="2" t="s">
        <v>28</v>
      </c>
      <c r="C882" s="6" t="str">
        <f t="shared" si="1"/>
        <v>Puriya Kalyan_4</v>
      </c>
      <c r="D882" s="12" t="s">
        <v>1052</v>
      </c>
      <c r="E882" s="2" t="s">
        <v>167</v>
      </c>
      <c r="F882" s="2" t="s">
        <v>168</v>
      </c>
      <c r="H882" s="6" t="str">
        <f>VLOOKUP(F882, ArtistCount!$A$1:$C$286, 3, FALSE)</f>
        <v>#N/A</v>
      </c>
    </row>
    <row r="883" ht="22.5" customHeight="1">
      <c r="A883" s="5" t="s">
        <v>1047</v>
      </c>
      <c r="B883" s="9" t="s">
        <v>28</v>
      </c>
      <c r="C883" s="6" t="str">
        <f t="shared" si="1"/>
        <v>Puriya Kalyan_5</v>
      </c>
      <c r="D883" s="12" t="s">
        <v>1053</v>
      </c>
      <c r="E883" s="2" t="s">
        <v>25</v>
      </c>
      <c r="F883" s="2" t="s">
        <v>52</v>
      </c>
      <c r="H883" s="6" t="str">
        <f>VLOOKUP(F883, ArtistCount!$A$1:$C$286, 3, FALSE)</f>
        <v>#N/A</v>
      </c>
    </row>
    <row r="884" ht="22.5" customHeight="1">
      <c r="A884" s="5" t="s">
        <v>1047</v>
      </c>
      <c r="B884" s="2" t="s">
        <v>58</v>
      </c>
      <c r="C884" s="6" t="str">
        <f t="shared" si="1"/>
        <v>Puriya Kalyan_6</v>
      </c>
      <c r="D884" s="12" t="s">
        <v>1054</v>
      </c>
      <c r="E884" s="2" t="s">
        <v>25</v>
      </c>
      <c r="F884" s="2" t="s">
        <v>107</v>
      </c>
      <c r="H884" s="6" t="str">
        <f>VLOOKUP(F884, ArtistCount!$A$1:$C$286, 3, FALSE)</f>
        <v>#N/A</v>
      </c>
    </row>
    <row r="885" ht="22.5" customHeight="1">
      <c r="A885" s="5" t="s">
        <v>1047</v>
      </c>
      <c r="B885" s="2" t="s">
        <v>29</v>
      </c>
      <c r="C885" s="6" t="str">
        <f t="shared" si="1"/>
        <v>Puriya Kalyan_7</v>
      </c>
      <c r="D885" s="12" t="s">
        <v>1055</v>
      </c>
      <c r="E885" s="2" t="s">
        <v>25</v>
      </c>
      <c r="F885" s="2" t="s">
        <v>129</v>
      </c>
      <c r="H885" s="6" t="str">
        <f>VLOOKUP(F885, ArtistCount!$A$1:$C$286, 3, FALSE)</f>
        <v>#N/A</v>
      </c>
    </row>
    <row r="886" ht="22.5" customHeight="1">
      <c r="A886" s="5" t="s">
        <v>1047</v>
      </c>
      <c r="B886" s="2" t="s">
        <v>29</v>
      </c>
      <c r="C886" s="6" t="str">
        <f t="shared" si="1"/>
        <v>Puriya Kalyan_8</v>
      </c>
      <c r="D886" s="15" t="s">
        <v>1056</v>
      </c>
      <c r="E886" s="2" t="s">
        <v>25</v>
      </c>
      <c r="F886" s="2" t="s">
        <v>157</v>
      </c>
      <c r="H886" s="6" t="str">
        <f>VLOOKUP(F886, ArtistCount!$A$1:$C$286, 3, FALSE)</f>
        <v>#N/A</v>
      </c>
    </row>
    <row r="887" ht="22.5" customHeight="1">
      <c r="A887" s="5" t="s">
        <v>1047</v>
      </c>
      <c r="B887" s="2" t="s">
        <v>38</v>
      </c>
      <c r="C887" s="6" t="str">
        <f t="shared" si="1"/>
        <v>Puriya Kalyan_9</v>
      </c>
      <c r="D887" s="12" t="s">
        <v>1057</v>
      </c>
      <c r="E887" s="2" t="s">
        <v>25</v>
      </c>
      <c r="F887" s="2" t="s">
        <v>157</v>
      </c>
      <c r="H887" s="6" t="str">
        <f>VLOOKUP(F887, ArtistCount!$A$1:$C$286, 3, FALSE)</f>
        <v>#N/A</v>
      </c>
    </row>
    <row r="888" ht="22.5" customHeight="1">
      <c r="A888" s="5" t="s">
        <v>1047</v>
      </c>
      <c r="B888" s="2" t="s">
        <v>38</v>
      </c>
      <c r="C888" s="6" t="str">
        <f t="shared" si="1"/>
        <v>Puriya Kalyan_10</v>
      </c>
      <c r="D888" s="12" t="s">
        <v>1058</v>
      </c>
      <c r="E888" s="2" t="s">
        <v>25</v>
      </c>
      <c r="F888" s="2" t="s">
        <v>142</v>
      </c>
      <c r="H888" s="6" t="str">
        <f>VLOOKUP(F888, ArtistCount!$A$1:$C$286, 3, FALSE)</f>
        <v>#N/A</v>
      </c>
    </row>
    <row r="889" ht="22.5" customHeight="1">
      <c r="A889" s="5" t="s">
        <v>1059</v>
      </c>
      <c r="B889" s="2" t="s">
        <v>38</v>
      </c>
      <c r="C889" s="6" t="str">
        <f t="shared" si="1"/>
        <v>Rageshri_1</v>
      </c>
      <c r="D889" s="18"/>
      <c r="E889" s="8" t="s">
        <v>25</v>
      </c>
      <c r="F889" s="8" t="s">
        <v>75</v>
      </c>
      <c r="H889" s="2" t="str">
        <f>VLOOKUP(F889, ArtistCount!$A$1:$C$286, 3, FALSE)</f>
        <v>#N/A</v>
      </c>
      <c r="I889" s="2" t="s">
        <v>27</v>
      </c>
    </row>
    <row r="890" ht="22.5" customHeight="1">
      <c r="A890" s="5" t="s">
        <v>1059</v>
      </c>
      <c r="B890" s="2" t="s">
        <v>24</v>
      </c>
      <c r="C890" s="6" t="str">
        <f t="shared" si="1"/>
        <v>Rageshri_2</v>
      </c>
      <c r="D890" s="18"/>
      <c r="E890" s="8" t="s">
        <v>25</v>
      </c>
      <c r="F890" s="8" t="s">
        <v>30</v>
      </c>
      <c r="H890" s="2" t="str">
        <f>VLOOKUP(F890, ArtistCount!$A$1:$C$286, 3, FALSE)</f>
        <v>#N/A</v>
      </c>
      <c r="I890" s="2" t="s">
        <v>27</v>
      </c>
    </row>
    <row r="891" ht="22.5" customHeight="1">
      <c r="A891" s="5" t="s">
        <v>1059</v>
      </c>
      <c r="B891" s="2" t="s">
        <v>24</v>
      </c>
      <c r="C891" s="6" t="str">
        <f t="shared" si="1"/>
        <v>Rageshri_3</v>
      </c>
      <c r="D891" s="18"/>
      <c r="E891" s="8" t="s">
        <v>25</v>
      </c>
      <c r="F891" s="8" t="s">
        <v>30</v>
      </c>
      <c r="H891" s="2" t="str">
        <f>VLOOKUP(F891, ArtistCount!$A$1:$C$286, 3, FALSE)</f>
        <v>#N/A</v>
      </c>
      <c r="I891" s="2" t="s">
        <v>27</v>
      </c>
    </row>
    <row r="892" ht="22.5" customHeight="1">
      <c r="A892" s="5" t="s">
        <v>1059</v>
      </c>
      <c r="B892" s="2" t="s">
        <v>32</v>
      </c>
      <c r="C892" s="6" t="str">
        <f t="shared" si="1"/>
        <v>Rageshri_4</v>
      </c>
      <c r="D892" s="18"/>
      <c r="E892" s="8" t="s">
        <v>25</v>
      </c>
      <c r="F892" s="8" t="s">
        <v>34</v>
      </c>
      <c r="H892" s="2" t="str">
        <f>VLOOKUP(F892, ArtistCount!$A$1:$C$286, 3, FALSE)</f>
        <v>#N/A</v>
      </c>
      <c r="I892" s="2" t="s">
        <v>27</v>
      </c>
    </row>
    <row r="893" ht="22.5" customHeight="1">
      <c r="A893" s="5" t="s">
        <v>1059</v>
      </c>
      <c r="B893" s="2" t="s">
        <v>38</v>
      </c>
      <c r="C893" s="6" t="str">
        <f t="shared" si="1"/>
        <v>Rageshri_5</v>
      </c>
      <c r="D893" s="18"/>
      <c r="E893" s="8" t="s">
        <v>25</v>
      </c>
      <c r="F893" s="8" t="s">
        <v>157</v>
      </c>
      <c r="H893" s="2" t="str">
        <f>VLOOKUP(F893, ArtistCount!$A$1:$C$286, 3, FALSE)</f>
        <v>#N/A</v>
      </c>
      <c r="I893" s="2" t="s">
        <v>27</v>
      </c>
    </row>
    <row r="894" ht="22.5" customHeight="1">
      <c r="A894" s="5" t="s">
        <v>1059</v>
      </c>
      <c r="B894" s="2" t="s">
        <v>38</v>
      </c>
      <c r="C894" s="6" t="str">
        <f t="shared" si="1"/>
        <v>Rageshri_6</v>
      </c>
      <c r="D894" s="18"/>
      <c r="E894" s="8" t="s">
        <v>25</v>
      </c>
      <c r="F894" s="8" t="s">
        <v>157</v>
      </c>
      <c r="H894" s="2" t="str">
        <f>VLOOKUP(F894, ArtistCount!$A$1:$C$286, 3, FALSE)</f>
        <v>#N/A</v>
      </c>
      <c r="I894" s="2" t="s">
        <v>27</v>
      </c>
    </row>
    <row r="895" ht="22.5" customHeight="1">
      <c r="A895" s="5" t="s">
        <v>1059</v>
      </c>
      <c r="B895" s="2" t="s">
        <v>38</v>
      </c>
      <c r="C895" s="6" t="str">
        <f t="shared" si="1"/>
        <v>Rageshri_7</v>
      </c>
      <c r="D895" s="18"/>
      <c r="E895" s="8" t="s">
        <v>25</v>
      </c>
      <c r="F895" s="8" t="s">
        <v>157</v>
      </c>
      <c r="H895" s="2" t="str">
        <f>VLOOKUP(F895, ArtistCount!$A$1:$C$286, 3, FALSE)</f>
        <v>#N/A</v>
      </c>
      <c r="I895" s="2" t="s">
        <v>27</v>
      </c>
    </row>
    <row r="896" ht="22.5" customHeight="1">
      <c r="A896" s="5" t="s">
        <v>1059</v>
      </c>
      <c r="B896" s="2" t="s">
        <v>38</v>
      </c>
      <c r="C896" s="6" t="str">
        <f t="shared" si="1"/>
        <v>Rageshri_8</v>
      </c>
      <c r="D896" s="18"/>
      <c r="E896" s="8" t="s">
        <v>25</v>
      </c>
      <c r="F896" s="8" t="s">
        <v>157</v>
      </c>
      <c r="H896" s="2" t="str">
        <f>VLOOKUP(F896, ArtistCount!$A$1:$C$286, 3, FALSE)</f>
        <v>#N/A</v>
      </c>
      <c r="I896" s="2" t="s">
        <v>27</v>
      </c>
    </row>
    <row r="897" ht="22.5" customHeight="1">
      <c r="A897" s="5" t="s">
        <v>1059</v>
      </c>
      <c r="B897" s="2" t="s">
        <v>24</v>
      </c>
      <c r="C897" s="6" t="str">
        <f t="shared" si="1"/>
        <v>Rageshri_9</v>
      </c>
      <c r="D897" s="18"/>
      <c r="E897" s="8" t="s">
        <v>25</v>
      </c>
      <c r="F897" s="8" t="s">
        <v>37</v>
      </c>
      <c r="H897" s="2" t="str">
        <f>VLOOKUP(F897, ArtistCount!$A$1:$C$286, 3, FALSE)</f>
        <v>#N/A</v>
      </c>
      <c r="I897" s="2" t="s">
        <v>27</v>
      </c>
    </row>
    <row r="898" ht="22.5" customHeight="1">
      <c r="A898" s="5" t="s">
        <v>1059</v>
      </c>
      <c r="B898" s="2" t="s">
        <v>24</v>
      </c>
      <c r="C898" s="6" t="str">
        <f t="shared" si="1"/>
        <v>Rageshri_10</v>
      </c>
      <c r="D898" s="18"/>
      <c r="E898" s="8" t="s">
        <v>25</v>
      </c>
      <c r="F898" s="8" t="s">
        <v>37</v>
      </c>
      <c r="H898" s="2" t="str">
        <f>VLOOKUP(F898, ArtistCount!$A$1:$C$286, 3, FALSE)</f>
        <v>#N/A</v>
      </c>
      <c r="I898" s="2" t="s">
        <v>27</v>
      </c>
    </row>
    <row r="899" ht="22.5" customHeight="1">
      <c r="A899" s="5" t="s">
        <v>1060</v>
      </c>
      <c r="B899" s="2" t="s">
        <v>43</v>
      </c>
      <c r="C899" s="6" t="str">
        <f t="shared" si="1"/>
        <v>Ramdasi Malhar_1</v>
      </c>
      <c r="D899" s="12" t="s">
        <v>1061</v>
      </c>
      <c r="E899" s="2" t="s">
        <v>25</v>
      </c>
      <c r="F899" s="2" t="s">
        <v>52</v>
      </c>
      <c r="H899" s="6" t="str">
        <f>VLOOKUP(F899, ArtistCount!$A$1:$C$286, 3, FALSE)</f>
        <v>#N/A</v>
      </c>
    </row>
    <row r="900" ht="22.5" customHeight="1">
      <c r="A900" s="5" t="s">
        <v>1060</v>
      </c>
      <c r="B900" s="2" t="s">
        <v>24</v>
      </c>
      <c r="C900" s="6" t="str">
        <f t="shared" si="1"/>
        <v>Ramdasi Malhar_2</v>
      </c>
      <c r="D900" s="12" t="s">
        <v>1062</v>
      </c>
      <c r="E900" s="2" t="s">
        <v>25</v>
      </c>
      <c r="F900" s="2" t="s">
        <v>26</v>
      </c>
      <c r="H900" s="6" t="str">
        <f>VLOOKUP(F900, ArtistCount!$A$1:$C$286, 3, FALSE)</f>
        <v>#N/A</v>
      </c>
    </row>
    <row r="901" ht="22.5" customHeight="1">
      <c r="A901" s="5" t="s">
        <v>1060</v>
      </c>
      <c r="B901" s="2" t="s">
        <v>38</v>
      </c>
      <c r="C901" s="6" t="str">
        <f t="shared" si="1"/>
        <v>Ramdasi Malhar_3</v>
      </c>
      <c r="D901" s="12" t="s">
        <v>1063</v>
      </c>
      <c r="E901" s="2" t="s">
        <v>25</v>
      </c>
      <c r="F901" s="2" t="s">
        <v>64</v>
      </c>
      <c r="H901" s="6" t="str">
        <f>VLOOKUP(F901, ArtistCount!$A$1:$C$286, 3, FALSE)</f>
        <v>#N/A</v>
      </c>
    </row>
    <row r="902" ht="22.5" customHeight="1">
      <c r="A902" s="5" t="s">
        <v>1060</v>
      </c>
      <c r="B902" s="2" t="s">
        <v>24</v>
      </c>
      <c r="C902" s="6" t="str">
        <f t="shared" si="1"/>
        <v>Ramdasi Malhar_4</v>
      </c>
      <c r="D902" s="12" t="s">
        <v>1064</v>
      </c>
      <c r="E902" s="2" t="s">
        <v>25</v>
      </c>
      <c r="F902" s="8" t="s">
        <v>56</v>
      </c>
      <c r="H902" s="6" t="str">
        <f>VLOOKUP(F902, ArtistCount!$A$1:$C$286, 3, FALSE)</f>
        <v>#N/A</v>
      </c>
    </row>
    <row r="903" ht="22.5" customHeight="1">
      <c r="A903" s="5" t="s">
        <v>1060</v>
      </c>
      <c r="B903" s="2" t="s">
        <v>43</v>
      </c>
      <c r="C903" s="6" t="str">
        <f t="shared" si="1"/>
        <v>Ramdasi Malhar_5</v>
      </c>
      <c r="D903" s="12" t="s">
        <v>1065</v>
      </c>
      <c r="E903" s="2" t="s">
        <v>114</v>
      </c>
      <c r="F903" s="2" t="s">
        <v>1066</v>
      </c>
      <c r="H903" s="6" t="str">
        <f>VLOOKUP(F903, ArtistCount!$A$1:$C$286, 3, FALSE)</f>
        <v>#N/A</v>
      </c>
    </row>
    <row r="904" ht="22.5" customHeight="1">
      <c r="A904" s="5" t="s">
        <v>1060</v>
      </c>
      <c r="B904" s="2" t="s">
        <v>38</v>
      </c>
      <c r="C904" s="6" t="str">
        <f t="shared" si="1"/>
        <v>Ramdasi Malhar_6</v>
      </c>
      <c r="D904" s="12" t="s">
        <v>1067</v>
      </c>
      <c r="E904" s="2" t="s">
        <v>25</v>
      </c>
      <c r="F904" s="2" t="s">
        <v>153</v>
      </c>
      <c r="H904" s="2" t="str">
        <f>VLOOKUP(F904, ArtistCount!$A$1:$C$286, 3, FALSE)</f>
        <v>#N/A</v>
      </c>
      <c r="I904" s="2" t="s">
        <v>154</v>
      </c>
    </row>
    <row r="905" ht="22.5" customHeight="1">
      <c r="A905" s="5" t="s">
        <v>1060</v>
      </c>
      <c r="B905" s="2" t="s">
        <v>32</v>
      </c>
      <c r="C905" s="6" t="str">
        <f t="shared" si="1"/>
        <v>Ramdasi Malhar_7</v>
      </c>
      <c r="D905" s="12" t="s">
        <v>1068</v>
      </c>
      <c r="E905" s="2" t="s">
        <v>25</v>
      </c>
      <c r="F905" s="2" t="s">
        <v>34</v>
      </c>
      <c r="H905" s="6" t="str">
        <f>VLOOKUP(F905, ArtistCount!$A$1:$C$286, 3, FALSE)</f>
        <v>#N/A</v>
      </c>
    </row>
    <row r="906" ht="22.5" customHeight="1">
      <c r="A906" s="5" t="s">
        <v>1060</v>
      </c>
      <c r="B906" s="2" t="s">
        <v>38</v>
      </c>
      <c r="C906" s="6" t="str">
        <f t="shared" si="1"/>
        <v>Ramdasi Malhar_8</v>
      </c>
      <c r="D906" s="15" t="s">
        <v>1069</v>
      </c>
      <c r="E906" s="2" t="s">
        <v>25</v>
      </c>
      <c r="F906" s="2" t="s">
        <v>34</v>
      </c>
      <c r="H906" s="6" t="str">
        <f>VLOOKUP(F906, ArtistCount!$A$1:$C$286, 3, FALSE)</f>
        <v>#N/A</v>
      </c>
    </row>
    <row r="907" ht="22.5" customHeight="1">
      <c r="A907" s="5" t="s">
        <v>1060</v>
      </c>
      <c r="B907" s="2" t="s">
        <v>24</v>
      </c>
      <c r="C907" s="6" t="str">
        <f t="shared" si="1"/>
        <v>Ramdasi Malhar_9</v>
      </c>
      <c r="D907" s="12" t="s">
        <v>1070</v>
      </c>
      <c r="E907" s="2" t="s">
        <v>25</v>
      </c>
      <c r="F907" s="2" t="s">
        <v>30</v>
      </c>
      <c r="H907" s="6" t="str">
        <f>VLOOKUP(F907, ArtistCount!$A$1:$C$286, 3, FALSE)</f>
        <v>#N/A</v>
      </c>
    </row>
    <row r="908" ht="22.5" customHeight="1">
      <c r="A908" s="5" t="s">
        <v>1060</v>
      </c>
      <c r="B908" s="2" t="s">
        <v>62</v>
      </c>
      <c r="C908" s="6" t="str">
        <f t="shared" si="1"/>
        <v>Ramdasi Malhar_10</v>
      </c>
      <c r="D908" s="12" t="s">
        <v>1071</v>
      </c>
      <c r="E908" s="2" t="s">
        <v>25</v>
      </c>
      <c r="F908" s="2" t="s">
        <v>153</v>
      </c>
      <c r="H908" s="2" t="str">
        <f>VLOOKUP(F908, ArtistCount!$A$1:$C$286, 3, FALSE)</f>
        <v>#N/A</v>
      </c>
      <c r="I908" s="2" t="s">
        <v>154</v>
      </c>
    </row>
    <row r="909" ht="22.5" customHeight="1">
      <c r="A909" s="5" t="s">
        <v>1072</v>
      </c>
      <c r="B909" s="2" t="s">
        <v>32</v>
      </c>
      <c r="C909" s="6" t="str">
        <f t="shared" si="1"/>
        <v>Ramkali_1</v>
      </c>
      <c r="D909" s="12" t="s">
        <v>1073</v>
      </c>
      <c r="E909" s="2" t="s">
        <v>25</v>
      </c>
      <c r="F909" s="2" t="s">
        <v>1074</v>
      </c>
      <c r="H909" s="6" t="str">
        <f>VLOOKUP(F909, ArtistCount!$A$1:$C$286, 3, FALSE)</f>
        <v>#N/A</v>
      </c>
    </row>
    <row r="910" ht="22.5" customHeight="1">
      <c r="A910" s="5" t="s">
        <v>1072</v>
      </c>
      <c r="B910" s="2" t="s">
        <v>29</v>
      </c>
      <c r="C910" s="6" t="str">
        <f t="shared" si="1"/>
        <v>Ramkali_2</v>
      </c>
      <c r="D910" s="12" t="s">
        <v>1075</v>
      </c>
      <c r="E910" s="2" t="s">
        <v>25</v>
      </c>
      <c r="F910" s="2" t="s">
        <v>134</v>
      </c>
      <c r="H910" s="6" t="str">
        <f>VLOOKUP(F910, ArtistCount!$A$1:$C$286, 3, FALSE)</f>
        <v>#N/A</v>
      </c>
    </row>
    <row r="911" ht="22.5" customHeight="1">
      <c r="A911" s="5" t="s">
        <v>1072</v>
      </c>
      <c r="B911" s="2" t="s">
        <v>24</v>
      </c>
      <c r="C911" s="6" t="str">
        <f t="shared" si="1"/>
        <v>Ramkali_3</v>
      </c>
      <c r="D911" s="12" t="s">
        <v>1076</v>
      </c>
      <c r="E911" s="2" t="s">
        <v>25</v>
      </c>
      <c r="F911" s="2" t="s">
        <v>26</v>
      </c>
      <c r="H911" s="6" t="str">
        <f>VLOOKUP(F911, ArtistCount!$A$1:$C$286, 3, FALSE)</f>
        <v>#N/A</v>
      </c>
    </row>
    <row r="912" ht="22.5" customHeight="1">
      <c r="A912" s="5" t="s">
        <v>1072</v>
      </c>
      <c r="B912" s="2" t="s">
        <v>32</v>
      </c>
      <c r="C912" s="6" t="str">
        <f t="shared" si="1"/>
        <v>Ramkali_4</v>
      </c>
      <c r="D912" s="12" t="s">
        <v>1077</v>
      </c>
      <c r="E912" s="2" t="s">
        <v>25</v>
      </c>
      <c r="F912" s="2" t="s">
        <v>70</v>
      </c>
      <c r="H912" s="6" t="str">
        <f>VLOOKUP(F912, ArtistCount!$A$1:$C$286, 3, FALSE)</f>
        <v>#N/A</v>
      </c>
    </row>
    <row r="913" ht="22.5" customHeight="1">
      <c r="A913" s="5" t="s">
        <v>1072</v>
      </c>
      <c r="B913" s="2" t="s">
        <v>29</v>
      </c>
      <c r="C913" s="6" t="str">
        <f t="shared" si="1"/>
        <v>Ramkali_5</v>
      </c>
      <c r="D913" s="12" t="s">
        <v>1078</v>
      </c>
      <c r="E913" s="2" t="s">
        <v>25</v>
      </c>
      <c r="F913" s="2" t="s">
        <v>1079</v>
      </c>
      <c r="H913" s="6" t="str">
        <f>VLOOKUP(F913, ArtistCount!$A$1:$C$286, 3, FALSE)</f>
        <v>#N/A</v>
      </c>
    </row>
    <row r="914" ht="22.5" customHeight="1">
      <c r="A914" s="5" t="s">
        <v>1072</v>
      </c>
      <c r="B914" s="2" t="s">
        <v>32</v>
      </c>
      <c r="C914" s="6" t="str">
        <f t="shared" si="1"/>
        <v>Ramkali_6</v>
      </c>
      <c r="D914" s="12" t="s">
        <v>1080</v>
      </c>
      <c r="E914" s="2" t="s">
        <v>25</v>
      </c>
      <c r="F914" s="2" t="s">
        <v>112</v>
      </c>
      <c r="H914" s="6" t="str">
        <f>VLOOKUP(F914, ArtistCount!$A$1:$C$286, 3, FALSE)</f>
        <v>#N/A</v>
      </c>
    </row>
    <row r="915" ht="22.5" customHeight="1">
      <c r="A915" s="5" t="s">
        <v>1072</v>
      </c>
      <c r="B915" s="2" t="s">
        <v>43</v>
      </c>
      <c r="C915" s="6" t="str">
        <f t="shared" si="1"/>
        <v>Ramkali_7</v>
      </c>
      <c r="D915" s="12" t="s">
        <v>1081</v>
      </c>
      <c r="E915" s="2" t="s">
        <v>25</v>
      </c>
      <c r="F915" s="2" t="s">
        <v>94</v>
      </c>
      <c r="H915" s="6" t="str">
        <f>VLOOKUP(F915, ArtistCount!$A$1:$C$286, 3, FALSE)</f>
        <v>#N/A</v>
      </c>
    </row>
    <row r="916" ht="22.5" customHeight="1">
      <c r="A916" s="5" t="s">
        <v>1072</v>
      </c>
      <c r="B916" s="2" t="s">
        <v>43</v>
      </c>
      <c r="C916" s="6" t="str">
        <f t="shared" si="1"/>
        <v>Ramkali_8</v>
      </c>
      <c r="D916" s="12" t="s">
        <v>1082</v>
      </c>
      <c r="E916" s="2" t="s">
        <v>25</v>
      </c>
      <c r="F916" s="2" t="s">
        <v>83</v>
      </c>
      <c r="H916" s="6" t="str">
        <f>VLOOKUP(F916, ArtistCount!$A$1:$C$286, 3, FALSE)</f>
        <v>#N/A</v>
      </c>
    </row>
    <row r="917" ht="22.5" customHeight="1">
      <c r="A917" s="5" t="s">
        <v>1072</v>
      </c>
      <c r="B917" s="2" t="s">
        <v>127</v>
      </c>
      <c r="C917" s="6" t="str">
        <f t="shared" si="1"/>
        <v>Ramkali_9</v>
      </c>
      <c r="D917" s="12" t="s">
        <v>1083</v>
      </c>
      <c r="E917" s="2" t="s">
        <v>25</v>
      </c>
      <c r="F917" s="2" t="s">
        <v>129</v>
      </c>
      <c r="H917" s="6" t="str">
        <f>VLOOKUP(F917, ArtistCount!$A$1:$C$286, 3, FALSE)</f>
        <v>#N/A</v>
      </c>
    </row>
    <row r="918" ht="22.5" customHeight="1">
      <c r="A918" s="5" t="s">
        <v>1084</v>
      </c>
      <c r="B918" s="2" t="s">
        <v>38</v>
      </c>
      <c r="C918" s="6" t="str">
        <f t="shared" si="1"/>
        <v>Salagavarali_1</v>
      </c>
      <c r="D918" s="13" t="s">
        <v>1085</v>
      </c>
      <c r="E918" s="2" t="s">
        <v>25</v>
      </c>
      <c r="F918" s="2" t="s">
        <v>103</v>
      </c>
      <c r="H918" s="6" t="str">
        <f>VLOOKUP(F918, ArtistCount!$A$1:$C$286, 3, FALSE)</f>
        <v>#N/A</v>
      </c>
    </row>
    <row r="919" ht="22.5" customHeight="1">
      <c r="A919" s="5" t="s">
        <v>1084</v>
      </c>
      <c r="B919" s="2" t="s">
        <v>43</v>
      </c>
      <c r="C919" s="6" t="str">
        <f t="shared" si="1"/>
        <v>Salagavarali_2</v>
      </c>
      <c r="D919" s="12" t="s">
        <v>1086</v>
      </c>
      <c r="E919" s="2" t="s">
        <v>25</v>
      </c>
      <c r="F919" s="2" t="s">
        <v>286</v>
      </c>
      <c r="H919" s="6" t="str">
        <f>VLOOKUP(F919, ArtistCount!$A$1:$C$286, 3, FALSE)</f>
        <v>#N/A</v>
      </c>
    </row>
    <row r="920" ht="22.5" customHeight="1">
      <c r="A920" s="5" t="s">
        <v>1084</v>
      </c>
      <c r="B920" s="2" t="s">
        <v>24</v>
      </c>
      <c r="C920" s="6" t="str">
        <f t="shared" si="1"/>
        <v>Salagavarali_3</v>
      </c>
      <c r="D920" s="12" t="s">
        <v>1087</v>
      </c>
      <c r="E920" s="2" t="s">
        <v>25</v>
      </c>
      <c r="F920" s="2" t="s">
        <v>50</v>
      </c>
      <c r="H920" s="6" t="str">
        <f>VLOOKUP(F920, ArtistCount!$A$1:$C$286, 3, FALSE)</f>
        <v>#N/A</v>
      </c>
    </row>
    <row r="921" ht="22.5" customHeight="1">
      <c r="A921" s="5" t="s">
        <v>1084</v>
      </c>
      <c r="B921" s="2" t="s">
        <v>127</v>
      </c>
      <c r="C921" s="6" t="str">
        <f t="shared" si="1"/>
        <v>Salagavarali_4</v>
      </c>
      <c r="D921" s="15" t="s">
        <v>1088</v>
      </c>
      <c r="E921" s="2" t="s">
        <v>25</v>
      </c>
      <c r="F921" s="2" t="s">
        <v>1089</v>
      </c>
      <c r="H921" s="6" t="str">
        <f>VLOOKUP(F921, ArtistCount!$A$1:$C$286, 3, FALSE)</f>
        <v>#N/A</v>
      </c>
    </row>
    <row r="922" ht="22.5" customHeight="1">
      <c r="A922" s="5" t="s">
        <v>1084</v>
      </c>
      <c r="B922" s="9" t="s">
        <v>38</v>
      </c>
      <c r="C922" s="6" t="str">
        <f t="shared" si="1"/>
        <v>Salagavarali_5</v>
      </c>
      <c r="D922" s="13" t="s">
        <v>1090</v>
      </c>
      <c r="E922" s="2" t="s">
        <v>25</v>
      </c>
      <c r="F922" s="2" t="s">
        <v>558</v>
      </c>
      <c r="H922" s="6" t="str">
        <f>VLOOKUP(F922, ArtistCount!$A$1:$C$286, 3, FALSE)</f>
        <v>#N/A</v>
      </c>
    </row>
    <row r="923" ht="22.5" customHeight="1">
      <c r="A923" s="5" t="s">
        <v>1084</v>
      </c>
      <c r="B923" s="2" t="s">
        <v>127</v>
      </c>
      <c r="C923" s="6" t="str">
        <f t="shared" si="1"/>
        <v>Salagavarali_6</v>
      </c>
      <c r="D923" s="13" t="s">
        <v>1091</v>
      </c>
      <c r="E923" s="2" t="s">
        <v>25</v>
      </c>
      <c r="F923" s="2" t="s">
        <v>129</v>
      </c>
      <c r="H923" s="6" t="str">
        <f>VLOOKUP(F923, ArtistCount!$A$1:$C$286, 3, FALSE)</f>
        <v>#N/A</v>
      </c>
    </row>
    <row r="924" ht="22.5" customHeight="1">
      <c r="A924" s="5" t="s">
        <v>1084</v>
      </c>
      <c r="B924" s="2" t="s">
        <v>38</v>
      </c>
      <c r="C924" s="6" t="str">
        <f t="shared" si="1"/>
        <v>Salagavarali_7</v>
      </c>
      <c r="D924" s="13" t="s">
        <v>1092</v>
      </c>
      <c r="E924" s="2" t="s">
        <v>25</v>
      </c>
      <c r="F924" s="2" t="s">
        <v>142</v>
      </c>
      <c r="H924" s="6" t="str">
        <f>VLOOKUP(F924, ArtistCount!$A$1:$C$286, 3, FALSE)</f>
        <v>#N/A</v>
      </c>
    </row>
    <row r="925" ht="22.5" customHeight="1">
      <c r="A925" s="5" t="s">
        <v>1084</v>
      </c>
      <c r="B925" s="16" t="s">
        <v>28</v>
      </c>
      <c r="C925" s="6" t="str">
        <f t="shared" si="1"/>
        <v>Salagavarali_8</v>
      </c>
      <c r="D925" s="13" t="s">
        <v>1093</v>
      </c>
      <c r="E925" s="2" t="s">
        <v>25</v>
      </c>
      <c r="F925" s="2" t="s">
        <v>286</v>
      </c>
      <c r="H925" s="6" t="str">
        <f>VLOOKUP(F925, ArtistCount!$A$1:$C$286, 3, FALSE)</f>
        <v>#N/A</v>
      </c>
    </row>
    <row r="926" ht="22.5" customHeight="1">
      <c r="A926" s="29" t="s">
        <v>1084</v>
      </c>
      <c r="B926" s="21" t="s">
        <v>36</v>
      </c>
      <c r="C926" s="30" t="str">
        <f t="shared" si="1"/>
        <v>Salagavarali_9</v>
      </c>
      <c r="D926" s="31" t="s">
        <v>1094</v>
      </c>
      <c r="E926" s="21" t="s">
        <v>25</v>
      </c>
      <c r="F926" s="21" t="s">
        <v>1095</v>
      </c>
      <c r="G926" s="30"/>
      <c r="H926" s="30" t="str">
        <f>VLOOKUP(F926, ArtistCount!$A$1:$C$286, 3, FALSE)</f>
        <v>#N/A</v>
      </c>
      <c r="I926" s="30"/>
      <c r="J926" s="30"/>
      <c r="K926" s="30"/>
      <c r="L926" s="30"/>
    </row>
    <row r="927" ht="22.5" customHeight="1">
      <c r="A927" s="5" t="s">
        <v>1084</v>
      </c>
      <c r="B927" s="2" t="s">
        <v>43</v>
      </c>
      <c r="C927" s="6" t="str">
        <f t="shared" si="1"/>
        <v>Salagavarali_10</v>
      </c>
      <c r="D927" s="13" t="s">
        <v>1096</v>
      </c>
      <c r="E927" s="2" t="s">
        <v>25</v>
      </c>
      <c r="F927" s="2" t="s">
        <v>720</v>
      </c>
      <c r="H927" s="6" t="str">
        <f>VLOOKUP(F927, ArtistCount!$A$1:$C$286, 3, FALSE)</f>
        <v>#N/A</v>
      </c>
    </row>
    <row r="928" ht="22.5" customHeight="1">
      <c r="A928" s="5" t="s">
        <v>1097</v>
      </c>
      <c r="B928" s="2" t="s">
        <v>32</v>
      </c>
      <c r="C928" s="6" t="str">
        <f t="shared" si="1"/>
        <v>Sarang_1</v>
      </c>
      <c r="D928" s="13" t="s">
        <v>1098</v>
      </c>
      <c r="E928" s="2" t="s">
        <v>25</v>
      </c>
      <c r="F928" s="2" t="s">
        <v>34</v>
      </c>
      <c r="H928" s="6" t="str">
        <f>VLOOKUP(F928, ArtistCount!$A$1:$C$286, 3, FALSE)</f>
        <v>#N/A</v>
      </c>
    </row>
    <row r="929" ht="22.5" customHeight="1">
      <c r="A929" s="5" t="s">
        <v>1097</v>
      </c>
      <c r="B929" s="2" t="s">
        <v>38</v>
      </c>
      <c r="C929" s="6" t="str">
        <f t="shared" si="1"/>
        <v>Sarang_2</v>
      </c>
      <c r="D929" s="15" t="s">
        <v>1099</v>
      </c>
      <c r="E929" s="2" t="s">
        <v>25</v>
      </c>
      <c r="F929" s="2" t="s">
        <v>157</v>
      </c>
      <c r="H929" s="6" t="str">
        <f>VLOOKUP(F929, ArtistCount!$A$1:$C$286, 3, FALSE)</f>
        <v>#N/A</v>
      </c>
    </row>
    <row r="930" ht="22.5" customHeight="1">
      <c r="A930" s="5" t="s">
        <v>1097</v>
      </c>
      <c r="B930" s="2" t="s">
        <v>28</v>
      </c>
      <c r="C930" s="6" t="str">
        <f t="shared" si="1"/>
        <v>Sarang_3</v>
      </c>
      <c r="D930" s="12" t="s">
        <v>1100</v>
      </c>
      <c r="E930" s="2" t="s">
        <v>167</v>
      </c>
      <c r="F930" s="2" t="s">
        <v>168</v>
      </c>
      <c r="H930" s="6" t="str">
        <f>VLOOKUP(F930, ArtistCount!$A$1:$C$286, 3, FALSE)</f>
        <v>#N/A</v>
      </c>
    </row>
    <row r="931" ht="22.5" customHeight="1">
      <c r="A931" s="5" t="s">
        <v>1097</v>
      </c>
      <c r="B931" s="2" t="s">
        <v>62</v>
      </c>
      <c r="C931" s="6" t="str">
        <f t="shared" si="1"/>
        <v>Sarang_4</v>
      </c>
      <c r="D931" s="13" t="s">
        <v>1101</v>
      </c>
      <c r="E931" s="2" t="s">
        <v>25</v>
      </c>
      <c r="F931" s="2" t="s">
        <v>75</v>
      </c>
      <c r="H931" s="6" t="str">
        <f>VLOOKUP(F931, ArtistCount!$A$1:$C$286, 3, FALSE)</f>
        <v>#N/A</v>
      </c>
    </row>
    <row r="932" ht="22.5" customHeight="1">
      <c r="A932" s="5" t="s">
        <v>1097</v>
      </c>
      <c r="B932" s="2" t="s">
        <v>38</v>
      </c>
      <c r="C932" s="6" t="str">
        <f t="shared" si="1"/>
        <v>Sarang_5</v>
      </c>
      <c r="D932" s="13" t="s">
        <v>1102</v>
      </c>
      <c r="E932" s="2" t="s">
        <v>25</v>
      </c>
      <c r="F932" s="2" t="s">
        <v>134</v>
      </c>
      <c r="H932" s="6" t="str">
        <f>VLOOKUP(F932, ArtistCount!$A$1:$C$286, 3, FALSE)</f>
        <v>#N/A</v>
      </c>
    </row>
    <row r="933" ht="22.5" customHeight="1">
      <c r="A933" s="5" t="s">
        <v>1097</v>
      </c>
      <c r="B933" s="2" t="s">
        <v>32</v>
      </c>
      <c r="C933" s="6" t="str">
        <f t="shared" si="1"/>
        <v>Sarang_6</v>
      </c>
      <c r="D933" s="13" t="s">
        <v>1103</v>
      </c>
      <c r="E933" s="2" t="s">
        <v>25</v>
      </c>
      <c r="F933" s="2" t="s">
        <v>69</v>
      </c>
      <c r="H933" s="6" t="str">
        <f>VLOOKUP(F933, ArtistCount!$A$1:$C$286, 3, FALSE)</f>
        <v>#N/A</v>
      </c>
    </row>
    <row r="934" ht="22.5" customHeight="1">
      <c r="A934" s="5" t="s">
        <v>1097</v>
      </c>
      <c r="B934" s="2" t="s">
        <v>67</v>
      </c>
      <c r="C934" s="6" t="str">
        <f t="shared" si="1"/>
        <v>Sarang_7</v>
      </c>
      <c r="D934" s="13" t="s">
        <v>1104</v>
      </c>
      <c r="E934" s="2" t="s">
        <v>25</v>
      </c>
      <c r="F934" s="2" t="s">
        <v>68</v>
      </c>
      <c r="H934" s="6" t="str">
        <f>VLOOKUP(F934, ArtistCount!$A$1:$C$286, 3, FALSE)</f>
        <v>#N/A</v>
      </c>
    </row>
    <row r="935" ht="22.5" customHeight="1">
      <c r="A935" s="5" t="s">
        <v>1097</v>
      </c>
      <c r="B935" s="2" t="s">
        <v>127</v>
      </c>
      <c r="C935" s="6" t="str">
        <f t="shared" si="1"/>
        <v>Sarang_8</v>
      </c>
      <c r="D935" s="13" t="s">
        <v>1105</v>
      </c>
      <c r="E935" s="2" t="s">
        <v>25</v>
      </c>
      <c r="F935" s="2" t="s">
        <v>1106</v>
      </c>
      <c r="H935" s="6" t="str">
        <f>VLOOKUP(F935, ArtistCount!$A$1:$C$286, 3, FALSE)</f>
        <v>#N/A</v>
      </c>
    </row>
    <row r="936" ht="22.5" customHeight="1">
      <c r="A936" s="5" t="s">
        <v>1097</v>
      </c>
      <c r="B936" s="2" t="s">
        <v>24</v>
      </c>
      <c r="C936" s="6" t="str">
        <f t="shared" si="1"/>
        <v>Sarang_9</v>
      </c>
      <c r="D936" s="13" t="s">
        <v>1107</v>
      </c>
      <c r="E936" s="2" t="s">
        <v>25</v>
      </c>
      <c r="F936" s="2" t="s">
        <v>56</v>
      </c>
      <c r="H936" s="6" t="str">
        <f>VLOOKUP(F936, ArtistCount!$A$1:$C$286, 3, FALSE)</f>
        <v>#N/A</v>
      </c>
    </row>
    <row r="937" ht="22.5" customHeight="1">
      <c r="A937" s="5" t="s">
        <v>1097</v>
      </c>
      <c r="B937" s="16" t="s">
        <v>28</v>
      </c>
      <c r="C937" s="6" t="str">
        <f t="shared" si="1"/>
        <v>Sarang_10</v>
      </c>
      <c r="D937" s="13" t="s">
        <v>1108</v>
      </c>
      <c r="E937" s="2" t="s">
        <v>25</v>
      </c>
      <c r="F937" s="2" t="s">
        <v>94</v>
      </c>
      <c r="H937" s="6" t="str">
        <f>VLOOKUP(F937, ArtistCount!$A$1:$C$286, 3, FALSE)</f>
        <v>#N/A</v>
      </c>
    </row>
    <row r="938" ht="22.5" customHeight="1">
      <c r="A938" s="5" t="s">
        <v>1109</v>
      </c>
      <c r="B938" s="2" t="s">
        <v>43</v>
      </c>
      <c r="C938" s="6" t="str">
        <f t="shared" si="1"/>
        <v>Saraswati_1</v>
      </c>
      <c r="D938" s="13" t="s">
        <v>1110</v>
      </c>
      <c r="E938" s="2" t="s">
        <v>25</v>
      </c>
      <c r="F938" s="2" t="s">
        <v>52</v>
      </c>
      <c r="H938" s="6" t="str">
        <f>VLOOKUP(F938, ArtistCount!$A$1:$C$286, 3, FALSE)</f>
        <v>#N/A</v>
      </c>
    </row>
    <row r="939" ht="22.5" customHeight="1">
      <c r="A939" s="29" t="s">
        <v>1109</v>
      </c>
      <c r="B939" s="21" t="s">
        <v>32</v>
      </c>
      <c r="C939" s="30" t="str">
        <f t="shared" si="1"/>
        <v>Saraswati_2</v>
      </c>
      <c r="D939" s="31" t="s">
        <v>1111</v>
      </c>
      <c r="E939" s="21" t="s">
        <v>25</v>
      </c>
      <c r="F939" s="21" t="s">
        <v>577</v>
      </c>
      <c r="G939" s="30"/>
      <c r="H939" s="30" t="str">
        <f>VLOOKUP(F939, ArtistCount!$A$1:$C$286, 3, FALSE)</f>
        <v>#N/A</v>
      </c>
      <c r="I939" s="30"/>
      <c r="J939" s="30"/>
      <c r="K939" s="30"/>
      <c r="L939" s="30"/>
    </row>
    <row r="940" ht="22.5" customHeight="1">
      <c r="A940" s="5" t="s">
        <v>1109</v>
      </c>
      <c r="B940" s="2" t="s">
        <v>32</v>
      </c>
      <c r="C940" s="6" t="str">
        <f t="shared" si="1"/>
        <v>Saraswati_3</v>
      </c>
      <c r="D940" s="13" t="s">
        <v>1112</v>
      </c>
      <c r="E940" s="2" t="s">
        <v>114</v>
      </c>
      <c r="F940" s="2" t="s">
        <v>211</v>
      </c>
      <c r="H940" s="6" t="str">
        <f>VLOOKUP(F940, ArtistCount!$A$1:$C$286, 3, FALSE)</f>
        <v>#N/A</v>
      </c>
    </row>
    <row r="941" ht="22.5" customHeight="1">
      <c r="A941" s="5" t="s">
        <v>1109</v>
      </c>
      <c r="B941" s="2" t="s">
        <v>43</v>
      </c>
      <c r="C941" s="6" t="str">
        <f t="shared" si="1"/>
        <v>Saraswati_4</v>
      </c>
      <c r="D941" s="13" t="s">
        <v>1113</v>
      </c>
      <c r="E941" s="2" t="s">
        <v>25</v>
      </c>
      <c r="F941" s="2" t="s">
        <v>94</v>
      </c>
      <c r="H941" s="6" t="str">
        <f>VLOOKUP(F941, ArtistCount!$A$1:$C$286, 3, FALSE)</f>
        <v>#N/A</v>
      </c>
    </row>
    <row r="942" ht="22.5" customHeight="1">
      <c r="A942" s="5" t="s">
        <v>1109</v>
      </c>
      <c r="B942" s="2" t="s">
        <v>24</v>
      </c>
      <c r="C942" s="6" t="str">
        <f t="shared" si="1"/>
        <v>Saraswati_5</v>
      </c>
      <c r="D942" s="13" t="s">
        <v>1114</v>
      </c>
      <c r="E942" s="2" t="s">
        <v>25</v>
      </c>
      <c r="F942" s="2" t="s">
        <v>30</v>
      </c>
      <c r="H942" s="6" t="str">
        <f>VLOOKUP(F942, ArtistCount!$A$1:$C$286, 3, FALSE)</f>
        <v>#N/A</v>
      </c>
    </row>
    <row r="943" ht="22.5" customHeight="1">
      <c r="A943" s="5" t="s">
        <v>1109</v>
      </c>
      <c r="B943" s="2" t="s">
        <v>43</v>
      </c>
      <c r="C943" s="6" t="str">
        <f t="shared" si="1"/>
        <v>Saraswati_6</v>
      </c>
      <c r="D943" s="13" t="s">
        <v>1115</v>
      </c>
      <c r="E943" s="2" t="s">
        <v>25</v>
      </c>
      <c r="F943" s="2" t="s">
        <v>34</v>
      </c>
      <c r="H943" s="6" t="str">
        <f>VLOOKUP(F943, ArtistCount!$A$1:$C$286, 3, FALSE)</f>
        <v>#N/A</v>
      </c>
    </row>
    <row r="944" ht="22.5" customHeight="1">
      <c r="A944" s="5" t="s">
        <v>1109</v>
      </c>
      <c r="B944" s="2" t="s">
        <v>32</v>
      </c>
      <c r="C944" s="6" t="str">
        <f t="shared" si="1"/>
        <v>Saraswati_7</v>
      </c>
      <c r="D944" s="13" t="s">
        <v>1116</v>
      </c>
      <c r="E944" s="2" t="s">
        <v>25</v>
      </c>
      <c r="F944" s="2" t="s">
        <v>1117</v>
      </c>
      <c r="H944" s="6" t="str">
        <f>VLOOKUP(F944, ArtistCount!$A$1:$C$286, 3, FALSE)</f>
        <v>#N/A</v>
      </c>
    </row>
    <row r="945" ht="22.5" customHeight="1">
      <c r="A945" s="5" t="s">
        <v>1109</v>
      </c>
      <c r="B945" s="2" t="s">
        <v>29</v>
      </c>
      <c r="C945" s="6" t="str">
        <f t="shared" si="1"/>
        <v>Saraswati_8</v>
      </c>
      <c r="D945" s="13" t="s">
        <v>1118</v>
      </c>
      <c r="E945" s="2" t="s">
        <v>25</v>
      </c>
      <c r="F945" s="2" t="s">
        <v>129</v>
      </c>
      <c r="H945" s="6" t="str">
        <f>VLOOKUP(F945, ArtistCount!$A$1:$C$286, 3, FALSE)</f>
        <v>#N/A</v>
      </c>
    </row>
    <row r="946" ht="22.5" customHeight="1">
      <c r="A946" s="5" t="s">
        <v>1109</v>
      </c>
      <c r="B946" s="2" t="s">
        <v>43</v>
      </c>
      <c r="C946" s="6" t="str">
        <f t="shared" si="1"/>
        <v>Saraswati_9</v>
      </c>
      <c r="D946" s="13" t="s">
        <v>1119</v>
      </c>
      <c r="E946" s="2" t="s">
        <v>25</v>
      </c>
      <c r="F946" s="2" t="s">
        <v>1120</v>
      </c>
      <c r="H946" s="6" t="str">
        <f>VLOOKUP(F946, ArtistCount!$A$1:$C$286, 3, FALSE)</f>
        <v>#N/A</v>
      </c>
    </row>
    <row r="947" ht="22.5" customHeight="1">
      <c r="A947" s="5" t="s">
        <v>1109</v>
      </c>
      <c r="B947" s="2" t="s">
        <v>32</v>
      </c>
      <c r="C947" s="6" t="str">
        <f t="shared" si="1"/>
        <v>Saraswati_10</v>
      </c>
      <c r="D947" s="13" t="s">
        <v>1121</v>
      </c>
      <c r="E947" s="2" t="s">
        <v>25</v>
      </c>
      <c r="F947" s="2" t="s">
        <v>34</v>
      </c>
      <c r="H947" s="6" t="str">
        <f>VLOOKUP(F947, ArtistCount!$A$1:$C$286, 3, FALSE)</f>
        <v>#N/A</v>
      </c>
    </row>
    <row r="948" ht="22.5" customHeight="1">
      <c r="A948" s="5" t="s">
        <v>1122</v>
      </c>
      <c r="B948" s="2" t="s">
        <v>24</v>
      </c>
      <c r="C948" s="6" t="str">
        <f t="shared" si="1"/>
        <v>Shahana_1</v>
      </c>
      <c r="D948" s="12" t="s">
        <v>1123</v>
      </c>
      <c r="E948" s="2" t="s">
        <v>114</v>
      </c>
      <c r="F948" s="2" t="s">
        <v>1035</v>
      </c>
      <c r="H948" s="6" t="str">
        <f>VLOOKUP(F948, ArtistCount!$A$1:$C$286, 3, FALSE)</f>
        <v>#N/A</v>
      </c>
    </row>
    <row r="949" ht="22.5" customHeight="1">
      <c r="A949" s="5" t="s">
        <v>1122</v>
      </c>
      <c r="B949" s="2" t="s">
        <v>32</v>
      </c>
      <c r="C949" s="6" t="str">
        <f t="shared" si="1"/>
        <v>Shahana_2</v>
      </c>
      <c r="D949" s="32" t="s">
        <v>1124</v>
      </c>
      <c r="E949" s="2" t="s">
        <v>25</v>
      </c>
      <c r="F949" s="2" t="s">
        <v>34</v>
      </c>
      <c r="H949" s="6" t="str">
        <f>VLOOKUP(F949, ArtistCount!$A$1:$C$286, 3, FALSE)</f>
        <v>#N/A</v>
      </c>
    </row>
    <row r="950" ht="22.5" customHeight="1">
      <c r="A950" s="5" t="s">
        <v>1122</v>
      </c>
      <c r="B950" s="2" t="s">
        <v>43</v>
      </c>
      <c r="C950" s="6" t="str">
        <f t="shared" si="1"/>
        <v>Shahana_3</v>
      </c>
      <c r="D950" s="12" t="s">
        <v>1125</v>
      </c>
      <c r="E950" s="2" t="s">
        <v>25</v>
      </c>
      <c r="F950" s="2" t="s">
        <v>83</v>
      </c>
      <c r="H950" s="6" t="str">
        <f>VLOOKUP(F950, ArtistCount!$A$1:$C$286, 3, FALSE)</f>
        <v>#N/A</v>
      </c>
    </row>
    <row r="951" ht="22.5" customHeight="1">
      <c r="A951" s="5" t="s">
        <v>1122</v>
      </c>
      <c r="B951" s="2" t="s">
        <v>32</v>
      </c>
      <c r="C951" s="6" t="str">
        <f t="shared" si="1"/>
        <v>Shahana_4</v>
      </c>
      <c r="D951" s="12" t="s">
        <v>1126</v>
      </c>
      <c r="E951" s="2" t="s">
        <v>25</v>
      </c>
      <c r="F951" s="2" t="s">
        <v>69</v>
      </c>
      <c r="H951" s="6" t="str">
        <f>VLOOKUP(F951, ArtistCount!$A$1:$C$286, 3, FALSE)</f>
        <v>#N/A</v>
      </c>
    </row>
    <row r="952" ht="22.5" customHeight="1">
      <c r="A952" s="5" t="s">
        <v>1122</v>
      </c>
      <c r="B952" s="2" t="s">
        <v>24</v>
      </c>
      <c r="C952" s="6" t="str">
        <f t="shared" si="1"/>
        <v>Shahana_5</v>
      </c>
      <c r="D952" s="12" t="s">
        <v>1127</v>
      </c>
      <c r="E952" s="2" t="s">
        <v>114</v>
      </c>
      <c r="F952" s="2" t="s">
        <v>180</v>
      </c>
      <c r="H952" s="6" t="str">
        <f>VLOOKUP(F952, ArtistCount!$A$1:$C$286, 3, FALSE)</f>
        <v>#N/A</v>
      </c>
    </row>
    <row r="953" ht="22.5" customHeight="1">
      <c r="A953" s="5" t="s">
        <v>1122</v>
      </c>
      <c r="B953" s="2" t="s">
        <v>24</v>
      </c>
      <c r="C953" s="6" t="str">
        <f t="shared" si="1"/>
        <v>Shahana_6</v>
      </c>
      <c r="D953" s="12" t="s">
        <v>1128</v>
      </c>
      <c r="E953" s="2" t="s">
        <v>25</v>
      </c>
      <c r="F953" s="2" t="s">
        <v>50</v>
      </c>
      <c r="H953" s="6" t="str">
        <f>VLOOKUP(F953, ArtistCount!$A$1:$C$286, 3, FALSE)</f>
        <v>#N/A</v>
      </c>
    </row>
    <row r="954" ht="22.5" customHeight="1">
      <c r="A954" s="5" t="s">
        <v>1122</v>
      </c>
      <c r="B954" s="2" t="s">
        <v>62</v>
      </c>
      <c r="C954" s="6" t="str">
        <f t="shared" si="1"/>
        <v>Shahana_7</v>
      </c>
      <c r="D954" s="27" t="s">
        <v>1129</v>
      </c>
      <c r="E954" s="2" t="s">
        <v>25</v>
      </c>
      <c r="F954" s="2" t="s">
        <v>153</v>
      </c>
      <c r="H954" s="2" t="str">
        <f>VLOOKUP(F954, ArtistCount!$A$1:$C$286, 3, FALSE)</f>
        <v>#N/A</v>
      </c>
      <c r="I954" s="2" t="s">
        <v>154</v>
      </c>
    </row>
    <row r="955" ht="22.5" customHeight="1">
      <c r="A955" s="5" t="s">
        <v>1122</v>
      </c>
      <c r="B955" s="2" t="s">
        <v>36</v>
      </c>
      <c r="C955" s="6" t="str">
        <f t="shared" si="1"/>
        <v>Shahana_8</v>
      </c>
      <c r="D955" s="12" t="s">
        <v>1130</v>
      </c>
      <c r="E955" s="2" t="s">
        <v>162</v>
      </c>
      <c r="F955" s="2" t="s">
        <v>1131</v>
      </c>
      <c r="H955" s="6" t="str">
        <f>VLOOKUP(F955, ArtistCount!$A$1:$C$286, 3, FALSE)</f>
        <v>#N/A</v>
      </c>
    </row>
    <row r="956" ht="22.5" customHeight="1">
      <c r="A956" s="5" t="s">
        <v>1132</v>
      </c>
      <c r="B956" s="2" t="s">
        <v>24</v>
      </c>
      <c r="C956" s="6" t="str">
        <f t="shared" si="1"/>
        <v>Shankara_1</v>
      </c>
      <c r="D956" s="12" t="s">
        <v>1133</v>
      </c>
      <c r="E956" s="2" t="s">
        <v>25</v>
      </c>
      <c r="F956" s="2" t="s">
        <v>56</v>
      </c>
      <c r="H956" s="6" t="str">
        <f>VLOOKUP(F956, ArtistCount!$A$1:$C$286, 3, FALSE)</f>
        <v>#N/A</v>
      </c>
    </row>
    <row r="957" ht="22.5" customHeight="1">
      <c r="A957" s="5" t="s">
        <v>1132</v>
      </c>
      <c r="B957" s="2" t="s">
        <v>38</v>
      </c>
      <c r="C957" s="6" t="str">
        <f t="shared" si="1"/>
        <v>Shankara_2</v>
      </c>
      <c r="D957" s="12" t="s">
        <v>1134</v>
      </c>
      <c r="E957" s="2" t="s">
        <v>25</v>
      </c>
      <c r="F957" s="2" t="s">
        <v>256</v>
      </c>
      <c r="H957" s="6" t="str">
        <f>VLOOKUP(F957, ArtistCount!$A$1:$C$286, 3, FALSE)</f>
        <v>#N/A</v>
      </c>
    </row>
    <row r="958" ht="22.5" customHeight="1">
      <c r="A958" s="5" t="s">
        <v>1132</v>
      </c>
      <c r="B958" s="2" t="s">
        <v>43</v>
      </c>
      <c r="C958" s="6" t="str">
        <f t="shared" si="1"/>
        <v>Shankara_3</v>
      </c>
      <c r="D958" s="12" t="s">
        <v>1135</v>
      </c>
      <c r="E958" s="2" t="s">
        <v>25</v>
      </c>
      <c r="F958" s="2" t="s">
        <v>52</v>
      </c>
      <c r="H958" s="6" t="str">
        <f>VLOOKUP(F958, ArtistCount!$A$1:$C$286, 3, FALSE)</f>
        <v>#N/A</v>
      </c>
    </row>
    <row r="959" ht="22.5" customHeight="1">
      <c r="A959" s="5" t="s">
        <v>1132</v>
      </c>
      <c r="B959" s="2" t="s">
        <v>28</v>
      </c>
      <c r="C959" s="6" t="str">
        <f t="shared" si="1"/>
        <v>Shankara_4</v>
      </c>
      <c r="D959" s="12" t="s">
        <v>1136</v>
      </c>
      <c r="E959" s="2" t="s">
        <v>25</v>
      </c>
      <c r="F959" s="2" t="s">
        <v>1137</v>
      </c>
      <c r="H959" s="6" t="str">
        <f>VLOOKUP(F959, ArtistCount!$A$1:$C$286, 3, FALSE)</f>
        <v>#N/A</v>
      </c>
    </row>
    <row r="960" ht="22.5" customHeight="1">
      <c r="A960" s="5" t="s">
        <v>1132</v>
      </c>
      <c r="B960" s="2" t="s">
        <v>29</v>
      </c>
      <c r="C960" s="6" t="str">
        <f t="shared" si="1"/>
        <v>Shankara_5</v>
      </c>
      <c r="D960" s="12" t="s">
        <v>1138</v>
      </c>
      <c r="E960" s="2" t="s">
        <v>25</v>
      </c>
      <c r="F960" s="2" t="s">
        <v>75</v>
      </c>
      <c r="H960" s="6" t="str">
        <f>VLOOKUP(F960, ArtistCount!$A$1:$C$286, 3, FALSE)</f>
        <v>#N/A</v>
      </c>
    </row>
    <row r="961" ht="22.5" customHeight="1">
      <c r="A961" s="5" t="s">
        <v>1132</v>
      </c>
      <c r="B961" s="2" t="s">
        <v>32</v>
      </c>
      <c r="C961" s="6" t="str">
        <f t="shared" si="1"/>
        <v>Shankara_6</v>
      </c>
      <c r="D961" s="12" t="s">
        <v>1139</v>
      </c>
      <c r="E961" s="2" t="s">
        <v>25</v>
      </c>
      <c r="F961" s="2" t="s">
        <v>34</v>
      </c>
      <c r="H961" s="6" t="str">
        <f>VLOOKUP(F961, ArtistCount!$A$1:$C$286, 3, FALSE)</f>
        <v>#N/A</v>
      </c>
    </row>
    <row r="962" ht="22.5" customHeight="1">
      <c r="A962" s="5" t="s">
        <v>1132</v>
      </c>
      <c r="B962" s="2" t="s">
        <v>24</v>
      </c>
      <c r="C962" s="6" t="str">
        <f t="shared" si="1"/>
        <v>Shankara_7</v>
      </c>
      <c r="D962" s="12" t="s">
        <v>1140</v>
      </c>
      <c r="E962" s="2" t="s">
        <v>25</v>
      </c>
      <c r="F962" s="2" t="s">
        <v>1141</v>
      </c>
      <c r="H962" s="6" t="str">
        <f>VLOOKUP(F962, ArtistCount!$A$1:$C$286, 3, FALSE)</f>
        <v>#N/A</v>
      </c>
    </row>
    <row r="963" ht="22.5" customHeight="1">
      <c r="A963" s="5" t="s">
        <v>1132</v>
      </c>
      <c r="B963" s="2" t="s">
        <v>24</v>
      </c>
      <c r="C963" s="6" t="str">
        <f t="shared" si="1"/>
        <v>Shankara_8</v>
      </c>
      <c r="D963" s="12" t="s">
        <v>1142</v>
      </c>
      <c r="E963" s="2" t="s">
        <v>25</v>
      </c>
      <c r="F963" s="2" t="s">
        <v>37</v>
      </c>
      <c r="H963" s="6" t="str">
        <f>VLOOKUP(F963, ArtistCount!$A$1:$C$286, 3, FALSE)</f>
        <v>#N/A</v>
      </c>
    </row>
    <row r="964" ht="22.5" customHeight="1">
      <c r="A964" s="5" t="s">
        <v>1132</v>
      </c>
      <c r="B964" s="2" t="s">
        <v>24</v>
      </c>
      <c r="C964" s="6" t="str">
        <f t="shared" si="1"/>
        <v>Shankara_9</v>
      </c>
      <c r="D964" s="12" t="s">
        <v>1143</v>
      </c>
      <c r="E964" s="2" t="s">
        <v>25</v>
      </c>
      <c r="F964" s="2" t="s">
        <v>297</v>
      </c>
      <c r="H964" s="6" t="str">
        <f>VLOOKUP(F964, ArtistCount!$A$1:$C$286, 3, FALSE)</f>
        <v>#N/A</v>
      </c>
    </row>
    <row r="965" ht="22.5" customHeight="1">
      <c r="A965" s="5" t="s">
        <v>1144</v>
      </c>
      <c r="B965" s="2" t="s">
        <v>28</v>
      </c>
      <c r="C965" s="6" t="str">
        <f t="shared" si="1"/>
        <v>Shivranjani_1</v>
      </c>
      <c r="D965" s="12" t="s">
        <v>1145</v>
      </c>
      <c r="E965" s="2" t="s">
        <v>25</v>
      </c>
      <c r="F965" s="2" t="s">
        <v>1146</v>
      </c>
      <c r="H965" s="6" t="str">
        <f>VLOOKUP(F965, ArtistCount!$A$1:$C$286, 3, FALSE)</f>
        <v>#N/A</v>
      </c>
    </row>
    <row r="966" ht="22.5" customHeight="1">
      <c r="A966" s="5" t="s">
        <v>1144</v>
      </c>
      <c r="B966" s="2" t="s">
        <v>43</v>
      </c>
      <c r="C966" s="6" t="str">
        <f t="shared" si="1"/>
        <v>Shivranjani_2</v>
      </c>
      <c r="D966" s="12" t="s">
        <v>1147</v>
      </c>
      <c r="E966" s="2" t="s">
        <v>25</v>
      </c>
      <c r="F966" s="2" t="s">
        <v>94</v>
      </c>
      <c r="H966" s="6" t="str">
        <f>VLOOKUP(F966, ArtistCount!$A$1:$C$286, 3, FALSE)</f>
        <v>#N/A</v>
      </c>
    </row>
    <row r="967" ht="22.5" customHeight="1">
      <c r="A967" s="5" t="s">
        <v>1144</v>
      </c>
      <c r="B967" s="2" t="s">
        <v>38</v>
      </c>
      <c r="C967" s="6" t="str">
        <f t="shared" si="1"/>
        <v>Shivranjani_3</v>
      </c>
      <c r="D967" s="12" t="s">
        <v>1148</v>
      </c>
      <c r="E967" s="2" t="s">
        <v>25</v>
      </c>
      <c r="F967" s="2" t="s">
        <v>1149</v>
      </c>
      <c r="H967" s="6" t="str">
        <f>VLOOKUP(F967, ArtistCount!$A$1:$C$286, 3, FALSE)</f>
        <v>#N/A</v>
      </c>
    </row>
    <row r="968" ht="22.5" customHeight="1">
      <c r="A968" s="5" t="s">
        <v>1144</v>
      </c>
      <c r="B968" s="2" t="s">
        <v>28</v>
      </c>
      <c r="C968" s="6" t="str">
        <f t="shared" si="1"/>
        <v>Shivranjani_4</v>
      </c>
      <c r="D968" s="12" t="s">
        <v>1150</v>
      </c>
      <c r="E968" s="2" t="s">
        <v>167</v>
      </c>
      <c r="F968" s="2" t="s">
        <v>1049</v>
      </c>
      <c r="H968" s="6" t="str">
        <f>VLOOKUP(F968, ArtistCount!$A$1:$C$286, 3, FALSE)</f>
        <v>#N/A</v>
      </c>
    </row>
    <row r="969" ht="22.5" customHeight="1">
      <c r="A969" s="5" t="s">
        <v>1144</v>
      </c>
      <c r="B969" s="2" t="s">
        <v>32</v>
      </c>
      <c r="C969" s="6" t="str">
        <f t="shared" si="1"/>
        <v>Shivranjani_5</v>
      </c>
      <c r="D969" s="27" t="s">
        <v>1151</v>
      </c>
      <c r="E969" s="2" t="s">
        <v>114</v>
      </c>
      <c r="F969" s="2" t="s">
        <v>1152</v>
      </c>
      <c r="H969" s="6" t="str">
        <f>VLOOKUP(F969, ArtistCount!$A$1:$C$286, 3, FALSE)</f>
        <v>#N/A</v>
      </c>
    </row>
    <row r="970" ht="22.5" customHeight="1">
      <c r="A970" s="5" t="s">
        <v>1144</v>
      </c>
      <c r="B970" s="2" t="s">
        <v>32</v>
      </c>
      <c r="C970" s="6" t="str">
        <f t="shared" si="1"/>
        <v>Shivranjani_6</v>
      </c>
      <c r="D970" s="12" t="s">
        <v>1153</v>
      </c>
      <c r="E970" s="2" t="s">
        <v>25</v>
      </c>
      <c r="F970" s="2" t="s">
        <v>1154</v>
      </c>
      <c r="H970" s="6" t="str">
        <f>VLOOKUP(F970, ArtistCount!$A$1:$C$286, 3, FALSE)</f>
        <v>#N/A</v>
      </c>
    </row>
    <row r="971" ht="22.5" customHeight="1">
      <c r="A971" s="5" t="s">
        <v>1155</v>
      </c>
      <c r="B971" s="2" t="s">
        <v>43</v>
      </c>
      <c r="C971" s="6" t="str">
        <f t="shared" si="1"/>
        <v>Shobhawari_1</v>
      </c>
      <c r="D971" s="27" t="s">
        <v>1156</v>
      </c>
      <c r="E971" s="2" t="s">
        <v>25</v>
      </c>
      <c r="F971" s="2" t="s">
        <v>1157</v>
      </c>
      <c r="H971" s="6" t="str">
        <f>VLOOKUP(F971, ArtistCount!$A$1:$C$286, 3, FALSE)</f>
        <v>#N/A</v>
      </c>
    </row>
    <row r="972" ht="22.5" customHeight="1">
      <c r="A972" s="5" t="s">
        <v>1155</v>
      </c>
      <c r="B972" s="2" t="s">
        <v>24</v>
      </c>
      <c r="C972" s="6" t="str">
        <f t="shared" si="1"/>
        <v>Shobhawari_2</v>
      </c>
      <c r="D972" s="12" t="s">
        <v>1158</v>
      </c>
      <c r="E972" s="2" t="s">
        <v>25</v>
      </c>
      <c r="F972" s="2" t="s">
        <v>515</v>
      </c>
      <c r="H972" s="6" t="str">
        <f>VLOOKUP(F972, ArtistCount!$A$1:$C$286, 3, FALSE)</f>
        <v>#N/A</v>
      </c>
    </row>
    <row r="973" ht="22.5" customHeight="1">
      <c r="A973" s="5" t="s">
        <v>1155</v>
      </c>
      <c r="B973" s="2" t="s">
        <v>24</v>
      </c>
      <c r="C973" s="6" t="str">
        <f t="shared" si="1"/>
        <v>Shobhawari_3</v>
      </c>
      <c r="D973" s="12" t="s">
        <v>1159</v>
      </c>
      <c r="E973" s="2" t="s">
        <v>25</v>
      </c>
      <c r="F973" s="2" t="s">
        <v>1160</v>
      </c>
      <c r="H973" s="6" t="str">
        <f>VLOOKUP(F973, ArtistCount!$A$1:$C$286, 3, FALSE)</f>
        <v>#N/A</v>
      </c>
    </row>
    <row r="974" ht="22.5" customHeight="1">
      <c r="A974" s="5" t="s">
        <v>1155</v>
      </c>
      <c r="B974" s="2" t="s">
        <v>24</v>
      </c>
      <c r="C974" s="6" t="str">
        <f t="shared" si="1"/>
        <v>Shobhawari_4</v>
      </c>
      <c r="D974" s="12" t="s">
        <v>1161</v>
      </c>
      <c r="E974" s="2" t="s">
        <v>25</v>
      </c>
      <c r="F974" s="2" t="s">
        <v>77</v>
      </c>
      <c r="H974" s="6" t="str">
        <f>VLOOKUP(F974, ArtistCount!$A$1:$C$286, 3, FALSE)</f>
        <v>#N/A</v>
      </c>
    </row>
    <row r="975" ht="22.5" customHeight="1">
      <c r="A975" s="5" t="s">
        <v>1155</v>
      </c>
      <c r="B975" s="2" t="s">
        <v>43</v>
      </c>
      <c r="C975" s="6" t="str">
        <f t="shared" si="1"/>
        <v>Shobhawari_5</v>
      </c>
      <c r="D975" s="12" t="s">
        <v>1162</v>
      </c>
      <c r="E975" s="2" t="s">
        <v>25</v>
      </c>
      <c r="F975" s="2" t="s">
        <v>1163</v>
      </c>
      <c r="H975" s="6" t="str">
        <f>VLOOKUP(F975, ArtistCount!$A$1:$C$286, 3, FALSE)</f>
        <v>#N/A</v>
      </c>
    </row>
    <row r="976" ht="22.5" customHeight="1">
      <c r="A976" s="5" t="s">
        <v>1155</v>
      </c>
      <c r="B976" s="2" t="s">
        <v>43</v>
      </c>
      <c r="C976" s="6" t="str">
        <f t="shared" si="1"/>
        <v>Shobhawari_6</v>
      </c>
      <c r="D976" s="12" t="s">
        <v>1164</v>
      </c>
      <c r="E976" s="2" t="s">
        <v>25</v>
      </c>
      <c r="F976" s="2" t="s">
        <v>1165</v>
      </c>
      <c r="H976" s="6" t="str">
        <f>VLOOKUP(F976, ArtistCount!$A$1:$C$286, 3, FALSE)</f>
        <v>#N/A</v>
      </c>
    </row>
    <row r="977" ht="22.5" customHeight="1">
      <c r="A977" s="5" t="s">
        <v>1155</v>
      </c>
      <c r="B977" s="2" t="s">
        <v>28</v>
      </c>
      <c r="C977" s="6" t="str">
        <f t="shared" si="1"/>
        <v>Shobhawari_7</v>
      </c>
      <c r="D977" s="12" t="s">
        <v>1166</v>
      </c>
      <c r="E977" s="2" t="s">
        <v>167</v>
      </c>
      <c r="F977" s="2" t="s">
        <v>994</v>
      </c>
      <c r="H977" s="6" t="str">
        <f>VLOOKUP(F977, ArtistCount!$A$1:$C$286, 3, FALSE)</f>
        <v>#N/A</v>
      </c>
    </row>
    <row r="978" ht="22.5" customHeight="1">
      <c r="A978" s="5" t="s">
        <v>1167</v>
      </c>
      <c r="B978" s="2" t="s">
        <v>43</v>
      </c>
      <c r="C978" s="6" t="str">
        <f t="shared" si="1"/>
        <v>Shri_1</v>
      </c>
      <c r="D978" s="18"/>
      <c r="E978" s="8" t="s">
        <v>25</v>
      </c>
      <c r="F978" s="8" t="s">
        <v>193</v>
      </c>
      <c r="H978" s="2" t="str">
        <f>VLOOKUP(F978, ArtistCount!$A$1:$C$286, 3, FALSE)</f>
        <v>#N/A</v>
      </c>
      <c r="I978" s="2" t="s">
        <v>27</v>
      </c>
    </row>
    <row r="979" ht="22.5" customHeight="1">
      <c r="A979" s="5" t="s">
        <v>1167</v>
      </c>
      <c r="B979" s="2" t="s">
        <v>43</v>
      </c>
      <c r="C979" s="6" t="str">
        <f t="shared" si="1"/>
        <v>Shri_2</v>
      </c>
      <c r="D979" s="18"/>
      <c r="E979" s="8" t="s">
        <v>25</v>
      </c>
      <c r="F979" s="8" t="s">
        <v>143</v>
      </c>
      <c r="H979" s="2" t="str">
        <f>VLOOKUP(F979, ArtistCount!$A$1:$C$286, 3, FALSE)</f>
        <v>#N/A</v>
      </c>
      <c r="I979" s="2" t="s">
        <v>27</v>
      </c>
    </row>
    <row r="980" ht="22.5" customHeight="1">
      <c r="A980" s="5" t="s">
        <v>1167</v>
      </c>
      <c r="B980" s="2" t="s">
        <v>43</v>
      </c>
      <c r="C980" s="6" t="str">
        <f t="shared" si="1"/>
        <v>Shri_3</v>
      </c>
      <c r="D980" s="18"/>
      <c r="E980" s="8" t="s">
        <v>25</v>
      </c>
      <c r="F980" s="8" t="s">
        <v>143</v>
      </c>
      <c r="H980" s="2" t="str">
        <f>VLOOKUP(F980, ArtistCount!$A$1:$C$286, 3, FALSE)</f>
        <v>#N/A</v>
      </c>
      <c r="I980" s="2" t="s">
        <v>27</v>
      </c>
    </row>
    <row r="981" ht="22.5" customHeight="1">
      <c r="A981" s="5" t="s">
        <v>1167</v>
      </c>
      <c r="B981" s="2" t="s">
        <v>43</v>
      </c>
      <c r="C981" s="6" t="str">
        <f t="shared" si="1"/>
        <v>Shri_4</v>
      </c>
      <c r="D981" s="18"/>
      <c r="E981" s="8" t="s">
        <v>25</v>
      </c>
      <c r="F981" s="8" t="s">
        <v>143</v>
      </c>
      <c r="H981" s="2" t="str">
        <f>VLOOKUP(F981, ArtistCount!$A$1:$C$286, 3, FALSE)</f>
        <v>#N/A</v>
      </c>
      <c r="I981" s="2" t="s">
        <v>27</v>
      </c>
    </row>
    <row r="982" ht="22.5" customHeight="1">
      <c r="A982" s="5" t="s">
        <v>1167</v>
      </c>
      <c r="B982" s="2" t="s">
        <v>32</v>
      </c>
      <c r="C982" s="6" t="str">
        <f t="shared" si="1"/>
        <v>Shri_5</v>
      </c>
      <c r="D982" s="18"/>
      <c r="E982" s="8" t="s">
        <v>25</v>
      </c>
      <c r="F982" s="8" t="s">
        <v>250</v>
      </c>
      <c r="H982" s="2" t="str">
        <f>VLOOKUP(F982, ArtistCount!$A$1:$C$286, 3, FALSE)</f>
        <v>#N/A</v>
      </c>
      <c r="I982" s="2" t="s">
        <v>27</v>
      </c>
    </row>
    <row r="983" ht="22.5" customHeight="1">
      <c r="A983" s="5" t="s">
        <v>1167</v>
      </c>
      <c r="B983" s="2" t="s">
        <v>28</v>
      </c>
      <c r="C983" s="6" t="str">
        <f t="shared" si="1"/>
        <v>Shri_6</v>
      </c>
      <c r="D983" s="18"/>
      <c r="E983" s="8" t="s">
        <v>25</v>
      </c>
      <c r="F983" s="8" t="s">
        <v>122</v>
      </c>
      <c r="H983" s="2" t="str">
        <f>VLOOKUP(F983, ArtistCount!$A$1:$C$286, 3, FALSE)</f>
        <v>#N/A</v>
      </c>
      <c r="I983" s="2" t="s">
        <v>27</v>
      </c>
    </row>
    <row r="984" ht="22.5" customHeight="1">
      <c r="A984" s="5" t="s">
        <v>1167</v>
      </c>
      <c r="B984" s="16" t="s">
        <v>43</v>
      </c>
      <c r="C984" s="6" t="str">
        <f t="shared" si="1"/>
        <v>Shri_7</v>
      </c>
      <c r="D984" s="18"/>
      <c r="E984" s="8" t="s">
        <v>25</v>
      </c>
      <c r="F984" s="8" t="s">
        <v>70</v>
      </c>
      <c r="H984" s="2" t="str">
        <f>VLOOKUP(F984, ArtistCount!$A$1:$C$286, 3, FALSE)</f>
        <v>#N/A</v>
      </c>
      <c r="I984" s="2" t="s">
        <v>27</v>
      </c>
    </row>
    <row r="985" ht="22.5" customHeight="1">
      <c r="A985" s="5" t="s">
        <v>1167</v>
      </c>
      <c r="B985" s="2" t="s">
        <v>32</v>
      </c>
      <c r="C985" s="6" t="str">
        <f t="shared" si="1"/>
        <v>Shri_8</v>
      </c>
      <c r="D985" s="18"/>
      <c r="E985" s="8" t="s">
        <v>25</v>
      </c>
      <c r="F985" s="8" t="s">
        <v>710</v>
      </c>
      <c r="H985" s="2" t="str">
        <f>VLOOKUP(F985, ArtistCount!$A$1:$C$286, 3, FALSE)</f>
        <v>#N/A</v>
      </c>
      <c r="I985" s="2" t="s">
        <v>27</v>
      </c>
    </row>
    <row r="986" ht="22.5" customHeight="1">
      <c r="A986" s="5" t="s">
        <v>1167</v>
      </c>
      <c r="B986" s="2" t="s">
        <v>32</v>
      </c>
      <c r="C986" s="6" t="str">
        <f t="shared" si="1"/>
        <v>Shri_9</v>
      </c>
      <c r="D986" s="18"/>
      <c r="E986" s="8" t="s">
        <v>25</v>
      </c>
      <c r="F986" s="8" t="s">
        <v>710</v>
      </c>
      <c r="H986" s="2" t="str">
        <f>VLOOKUP(F986, ArtistCount!$A$1:$C$286, 3, FALSE)</f>
        <v>#N/A</v>
      </c>
      <c r="I986" s="2" t="s">
        <v>27</v>
      </c>
    </row>
    <row r="987" ht="22.5" customHeight="1">
      <c r="A987" s="5" t="s">
        <v>1167</v>
      </c>
      <c r="B987" s="2" t="s">
        <v>32</v>
      </c>
      <c r="C987" s="6" t="str">
        <f t="shared" si="1"/>
        <v>Shri_10</v>
      </c>
      <c r="D987" s="18"/>
      <c r="E987" s="8" t="s">
        <v>25</v>
      </c>
      <c r="F987" s="8" t="s">
        <v>37</v>
      </c>
      <c r="H987" s="2" t="str">
        <f>VLOOKUP(F987, ArtistCount!$A$1:$C$286, 3, FALSE)</f>
        <v>#N/A</v>
      </c>
      <c r="I987" s="2" t="s">
        <v>27</v>
      </c>
    </row>
    <row r="988" ht="22.5" customHeight="1">
      <c r="A988" s="5" t="s">
        <v>1168</v>
      </c>
      <c r="B988" s="2" t="s">
        <v>32</v>
      </c>
      <c r="C988" s="6" t="str">
        <f t="shared" si="1"/>
        <v>Shuddh Sarang_1</v>
      </c>
      <c r="D988" s="18"/>
      <c r="E988" s="8" t="s">
        <v>25</v>
      </c>
      <c r="F988" s="8" t="s">
        <v>233</v>
      </c>
      <c r="H988" s="2" t="str">
        <f>VLOOKUP(F988, ArtistCount!$A$1:$C$286, 3, FALSE)</f>
        <v>#N/A</v>
      </c>
      <c r="I988" s="2" t="s">
        <v>27</v>
      </c>
    </row>
    <row r="989" ht="22.5" customHeight="1">
      <c r="A989" s="5" t="s">
        <v>1168</v>
      </c>
      <c r="B989" s="2" t="s">
        <v>28</v>
      </c>
      <c r="C989" s="6" t="str">
        <f t="shared" si="1"/>
        <v>Shuddh Sarang_2</v>
      </c>
      <c r="D989" s="18"/>
      <c r="E989" s="8" t="s">
        <v>25</v>
      </c>
      <c r="F989" s="8" t="s">
        <v>74</v>
      </c>
      <c r="H989" s="2" t="str">
        <f>VLOOKUP(F989, ArtistCount!$A$1:$C$286, 3, FALSE)</f>
        <v>#N/A</v>
      </c>
      <c r="I989" s="2" t="s">
        <v>27</v>
      </c>
    </row>
    <row r="990" ht="22.5" customHeight="1">
      <c r="A990" s="5" t="s">
        <v>1168</v>
      </c>
      <c r="B990" s="2" t="s">
        <v>38</v>
      </c>
      <c r="C990" s="6" t="str">
        <f t="shared" si="1"/>
        <v>Shuddh Sarang_3</v>
      </c>
      <c r="D990" s="18"/>
      <c r="E990" s="8" t="s">
        <v>25</v>
      </c>
      <c r="F990" s="8" t="s">
        <v>64</v>
      </c>
      <c r="H990" s="2" t="str">
        <f>VLOOKUP(F990, ArtistCount!$A$1:$C$286, 3, FALSE)</f>
        <v>#N/A</v>
      </c>
      <c r="I990" s="2" t="s">
        <v>27</v>
      </c>
    </row>
    <row r="991" ht="22.5" customHeight="1">
      <c r="A991" s="5" t="s">
        <v>1168</v>
      </c>
      <c r="B991" s="2" t="s">
        <v>24</v>
      </c>
      <c r="C991" s="6" t="str">
        <f t="shared" si="1"/>
        <v>Shuddh Sarang_4</v>
      </c>
      <c r="D991" s="18"/>
      <c r="E991" s="8" t="s">
        <v>25</v>
      </c>
      <c r="F991" s="8" t="s">
        <v>56</v>
      </c>
      <c r="H991" s="2" t="str">
        <f>VLOOKUP(F991, ArtistCount!$A$1:$C$286, 3, FALSE)</f>
        <v>#N/A</v>
      </c>
      <c r="I991" s="2" t="s">
        <v>27</v>
      </c>
    </row>
    <row r="992" ht="22.5" customHeight="1">
      <c r="A992" s="5" t="s">
        <v>1168</v>
      </c>
      <c r="B992" s="2" t="s">
        <v>28</v>
      </c>
      <c r="C992" s="6" t="str">
        <f t="shared" si="1"/>
        <v>Shuddh Sarang_5</v>
      </c>
      <c r="D992" s="18"/>
      <c r="E992" s="8" t="s">
        <v>25</v>
      </c>
      <c r="F992" s="8" t="s">
        <v>122</v>
      </c>
      <c r="H992" s="2" t="str">
        <f>VLOOKUP(F992, ArtistCount!$A$1:$C$286, 3, FALSE)</f>
        <v>#N/A</v>
      </c>
      <c r="I992" s="2" t="s">
        <v>27</v>
      </c>
    </row>
    <row r="993" ht="22.5" customHeight="1">
      <c r="A993" s="5" t="s">
        <v>1168</v>
      </c>
      <c r="B993" s="2" t="s">
        <v>32</v>
      </c>
      <c r="C993" s="6" t="str">
        <f t="shared" si="1"/>
        <v>Shuddh Sarang_6</v>
      </c>
      <c r="D993" s="18"/>
      <c r="E993" s="8" t="s">
        <v>25</v>
      </c>
      <c r="F993" s="8" t="s">
        <v>102</v>
      </c>
      <c r="H993" s="2" t="str">
        <f>VLOOKUP(F993, ArtistCount!$A$1:$C$286, 3, FALSE)</f>
        <v>#N/A</v>
      </c>
      <c r="I993" s="2" t="s">
        <v>27</v>
      </c>
    </row>
    <row r="994" ht="22.5" customHeight="1">
      <c r="A994" s="5" t="s">
        <v>1168</v>
      </c>
      <c r="B994" s="2" t="s">
        <v>32</v>
      </c>
      <c r="C994" s="6" t="str">
        <f t="shared" si="1"/>
        <v>Shuddh Sarang_7</v>
      </c>
      <c r="D994" s="18"/>
      <c r="E994" s="8" t="s">
        <v>25</v>
      </c>
      <c r="F994" s="8" t="s">
        <v>102</v>
      </c>
      <c r="H994" s="2" t="str">
        <f>VLOOKUP(F994, ArtistCount!$A$1:$C$286, 3, FALSE)</f>
        <v>#N/A</v>
      </c>
      <c r="I994" s="2" t="s">
        <v>27</v>
      </c>
    </row>
    <row r="995" ht="22.5" customHeight="1">
      <c r="A995" s="5" t="s">
        <v>1168</v>
      </c>
      <c r="B995" s="2" t="s">
        <v>32</v>
      </c>
      <c r="C995" s="6" t="str">
        <f t="shared" si="1"/>
        <v>Shuddh Sarang_8</v>
      </c>
      <c r="D995" s="18"/>
      <c r="E995" s="8" t="s">
        <v>25</v>
      </c>
      <c r="F995" s="8" t="s">
        <v>102</v>
      </c>
      <c r="H995" s="2" t="str">
        <f>VLOOKUP(F995, ArtistCount!$A$1:$C$286, 3, FALSE)</f>
        <v>#N/A</v>
      </c>
      <c r="I995" s="2" t="s">
        <v>27</v>
      </c>
    </row>
    <row r="996" ht="22.5" customHeight="1">
      <c r="A996" s="5" t="s">
        <v>1168</v>
      </c>
      <c r="B996" s="2" t="s">
        <v>67</v>
      </c>
      <c r="C996" s="6" t="str">
        <f t="shared" si="1"/>
        <v>Shuddh Sarang_9</v>
      </c>
      <c r="D996" s="18"/>
      <c r="E996" s="8" t="s">
        <v>25</v>
      </c>
      <c r="F996" s="8" t="s">
        <v>68</v>
      </c>
      <c r="H996" s="2" t="str">
        <f>VLOOKUP(F996, ArtistCount!$A$1:$C$286, 3, FALSE)</f>
        <v>#N/A</v>
      </c>
      <c r="I996" s="2" t="s">
        <v>27</v>
      </c>
    </row>
    <row r="997" ht="22.5" customHeight="1">
      <c r="A997" s="5" t="s">
        <v>1168</v>
      </c>
      <c r="B997" s="2" t="s">
        <v>24</v>
      </c>
      <c r="C997" s="6" t="str">
        <f t="shared" si="1"/>
        <v>Shuddh Sarang_10</v>
      </c>
      <c r="D997" s="18"/>
      <c r="E997" s="8" t="s">
        <v>25</v>
      </c>
      <c r="F997" s="8" t="s">
        <v>37</v>
      </c>
      <c r="H997" s="2" t="str">
        <f>VLOOKUP(F997, ArtistCount!$A$1:$C$286, 3, FALSE)</f>
        <v>#N/A</v>
      </c>
      <c r="I997" s="2" t="s">
        <v>27</v>
      </c>
    </row>
    <row r="998" ht="22.5" customHeight="1">
      <c r="A998" s="5" t="s">
        <v>1169</v>
      </c>
      <c r="B998" s="2" t="s">
        <v>43</v>
      </c>
      <c r="C998" s="6" t="str">
        <f t="shared" si="1"/>
        <v>Shuddha Basant_1</v>
      </c>
      <c r="D998" s="12" t="s">
        <v>1170</v>
      </c>
      <c r="E998" s="2" t="s">
        <v>167</v>
      </c>
      <c r="F998" s="2" t="s">
        <v>1171</v>
      </c>
      <c r="H998" s="6" t="str">
        <f>VLOOKUP(F998, ArtistCount!$A$1:$C$286, 3, FALSE)</f>
        <v>#N/A</v>
      </c>
    </row>
    <row r="999" ht="22.5" customHeight="1">
      <c r="A999" s="5" t="s">
        <v>1169</v>
      </c>
      <c r="B999" s="2" t="s">
        <v>28</v>
      </c>
      <c r="C999" s="6" t="str">
        <f t="shared" si="1"/>
        <v>Shuddha Basant_2</v>
      </c>
      <c r="D999" s="12" t="s">
        <v>1172</v>
      </c>
      <c r="E999" s="2" t="s">
        <v>167</v>
      </c>
      <c r="F999" s="2" t="s">
        <v>1171</v>
      </c>
      <c r="H999" s="6" t="str">
        <f>VLOOKUP(F999, ArtistCount!$A$1:$C$286, 3, FALSE)</f>
        <v>#N/A</v>
      </c>
    </row>
    <row r="1000" ht="22.5" customHeight="1">
      <c r="A1000" s="5" t="s">
        <v>1169</v>
      </c>
      <c r="B1000" s="2" t="s">
        <v>32</v>
      </c>
      <c r="C1000" s="6" t="str">
        <f t="shared" si="1"/>
        <v>Shuddha Basant_3</v>
      </c>
      <c r="D1000" s="12" t="s">
        <v>1173</v>
      </c>
      <c r="E1000" s="2" t="s">
        <v>114</v>
      </c>
      <c r="F1000" s="2" t="s">
        <v>1174</v>
      </c>
      <c r="H1000" s="6" t="str">
        <f>VLOOKUP(F1000, ArtistCount!$A$1:$C$286, 3, FALSE)</f>
        <v>#N/A</v>
      </c>
    </row>
    <row r="1001" ht="22.5" customHeight="1">
      <c r="A1001" s="5" t="s">
        <v>1169</v>
      </c>
      <c r="B1001" s="2" t="s">
        <v>43</v>
      </c>
      <c r="C1001" s="6" t="str">
        <f t="shared" si="1"/>
        <v>Shuddha Basant_4</v>
      </c>
      <c r="D1001" s="12" t="s">
        <v>1175</v>
      </c>
      <c r="E1001" s="2" t="s">
        <v>25</v>
      </c>
      <c r="F1001" s="2" t="s">
        <v>52</v>
      </c>
      <c r="H1001" s="6" t="str">
        <f>VLOOKUP(F1001, ArtistCount!$A$1:$C$286, 3, FALSE)</f>
        <v>#N/A</v>
      </c>
    </row>
    <row r="1002" ht="22.5" customHeight="1">
      <c r="A1002" s="5" t="s">
        <v>1169</v>
      </c>
      <c r="B1002" s="2" t="s">
        <v>43</v>
      </c>
      <c r="C1002" s="6" t="str">
        <f t="shared" si="1"/>
        <v>Shuddha Basant_5</v>
      </c>
      <c r="D1002" s="12" t="s">
        <v>1176</v>
      </c>
      <c r="E1002" s="2" t="s">
        <v>25</v>
      </c>
      <c r="F1002" s="2" t="s">
        <v>52</v>
      </c>
      <c r="H1002" s="6" t="str">
        <f>VLOOKUP(F1002, ArtistCount!$A$1:$C$286, 3, FALSE)</f>
        <v>#N/A</v>
      </c>
    </row>
    <row r="1003" ht="22.5" customHeight="1">
      <c r="A1003" s="5" t="s">
        <v>1169</v>
      </c>
      <c r="B1003" s="2" t="s">
        <v>43</v>
      </c>
      <c r="C1003" s="6" t="str">
        <f t="shared" si="1"/>
        <v>Shuddha Basant_6</v>
      </c>
      <c r="D1003" s="12" t="s">
        <v>1177</v>
      </c>
      <c r="E1003" s="2" t="s">
        <v>25</v>
      </c>
      <c r="F1003" s="2" t="s">
        <v>890</v>
      </c>
      <c r="H1003" s="6" t="str">
        <f>VLOOKUP(F1003, ArtistCount!$A$1:$C$286, 3, FALSE)</f>
        <v>#N/A</v>
      </c>
    </row>
    <row r="1004" ht="22.5" customHeight="1">
      <c r="A1004" s="5" t="s">
        <v>1169</v>
      </c>
      <c r="B1004" s="2" t="s">
        <v>32</v>
      </c>
      <c r="C1004" s="6" t="str">
        <f t="shared" si="1"/>
        <v>Shuddha Basant_7</v>
      </c>
      <c r="D1004" s="12" t="s">
        <v>1178</v>
      </c>
      <c r="E1004" s="2" t="s">
        <v>25</v>
      </c>
      <c r="F1004" s="2" t="s">
        <v>1179</v>
      </c>
      <c r="H1004" s="6" t="str">
        <f>VLOOKUP(F1004, ArtistCount!$A$1:$C$286, 3, FALSE)</f>
        <v>#N/A</v>
      </c>
    </row>
    <row r="1005" ht="22.5" customHeight="1">
      <c r="A1005" s="5" t="s">
        <v>1169</v>
      </c>
      <c r="B1005" s="2" t="s">
        <v>43</v>
      </c>
      <c r="C1005" s="6" t="str">
        <f t="shared" si="1"/>
        <v>Shuddha Basant_8</v>
      </c>
      <c r="D1005" s="12" t="s">
        <v>1180</v>
      </c>
      <c r="E1005" s="2" t="s">
        <v>25</v>
      </c>
      <c r="F1005" s="2" t="s">
        <v>112</v>
      </c>
      <c r="H1005" s="6" t="str">
        <f>VLOOKUP(F1005, ArtistCount!$A$1:$C$286, 3, FALSE)</f>
        <v>#N/A</v>
      </c>
    </row>
    <row r="1006" ht="22.5" customHeight="1">
      <c r="A1006" s="5" t="s">
        <v>1169</v>
      </c>
      <c r="B1006" s="2" t="s">
        <v>32</v>
      </c>
      <c r="C1006" s="6" t="str">
        <f t="shared" si="1"/>
        <v>Shuddha Basant_9</v>
      </c>
      <c r="D1006" s="12" t="s">
        <v>1181</v>
      </c>
      <c r="E1006" s="2" t="s">
        <v>25</v>
      </c>
      <c r="F1006" s="2" t="s">
        <v>34</v>
      </c>
      <c r="H1006" s="6" t="str">
        <f>VLOOKUP(F1006, ArtistCount!$A$1:$C$286, 3, FALSE)</f>
        <v>#N/A</v>
      </c>
    </row>
    <row r="1007" ht="22.5" customHeight="1">
      <c r="A1007" s="5" t="s">
        <v>1182</v>
      </c>
      <c r="B1007" s="2" t="s">
        <v>127</v>
      </c>
      <c r="C1007" s="6" t="str">
        <f t="shared" si="1"/>
        <v>Shuddha Kalyan_1</v>
      </c>
      <c r="D1007" s="33" t="s">
        <v>1183</v>
      </c>
      <c r="E1007" s="2" t="s">
        <v>25</v>
      </c>
      <c r="F1007" s="2" t="s">
        <v>52</v>
      </c>
      <c r="H1007" s="6" t="str">
        <f>VLOOKUP(F1007, ArtistCount!$A$1:$C$286, 3, FALSE)</f>
        <v>#N/A</v>
      </c>
    </row>
    <row r="1008" ht="22.5" customHeight="1">
      <c r="A1008" s="5" t="s">
        <v>1182</v>
      </c>
      <c r="B1008" s="2" t="s">
        <v>24</v>
      </c>
      <c r="C1008" s="6" t="str">
        <f t="shared" si="1"/>
        <v>Shuddha Kalyan_2</v>
      </c>
      <c r="D1008" s="33" t="s">
        <v>1184</v>
      </c>
      <c r="E1008" s="2" t="s">
        <v>162</v>
      </c>
      <c r="F1008" s="2" t="s">
        <v>726</v>
      </c>
      <c r="H1008" s="6" t="str">
        <f>VLOOKUP(F1008, ArtistCount!$A$1:$C$286, 3, FALSE)</f>
        <v>#N/A</v>
      </c>
    </row>
    <row r="1009" ht="22.5" customHeight="1">
      <c r="A1009" s="5" t="s">
        <v>1182</v>
      </c>
      <c r="B1009" s="2" t="s">
        <v>32</v>
      </c>
      <c r="C1009" s="6" t="str">
        <f t="shared" si="1"/>
        <v>Shuddha Kalyan_3</v>
      </c>
      <c r="D1009" s="33" t="s">
        <v>1185</v>
      </c>
      <c r="E1009" s="2" t="s">
        <v>236</v>
      </c>
      <c r="F1009" s="2" t="s">
        <v>728</v>
      </c>
      <c r="H1009" s="6" t="str">
        <f>VLOOKUP(F1009, ArtistCount!$A$1:$C$286, 3, FALSE)</f>
        <v>#N/A</v>
      </c>
    </row>
    <row r="1010" ht="22.5" customHeight="1">
      <c r="A1010" s="5" t="s">
        <v>1182</v>
      </c>
      <c r="B1010" s="2" t="s">
        <v>32</v>
      </c>
      <c r="C1010" s="6" t="str">
        <f t="shared" si="1"/>
        <v>Shuddha Kalyan_4</v>
      </c>
      <c r="D1010" s="33" t="s">
        <v>1186</v>
      </c>
      <c r="E1010" s="2" t="s">
        <v>25</v>
      </c>
      <c r="F1010" s="2" t="s">
        <v>26</v>
      </c>
      <c r="H1010" s="6" t="str">
        <f>VLOOKUP(F1010, ArtistCount!$A$1:$C$286, 3, FALSE)</f>
        <v>#N/A</v>
      </c>
    </row>
    <row r="1011" ht="22.5" customHeight="1">
      <c r="A1011" s="5" t="s">
        <v>1182</v>
      </c>
      <c r="B1011" s="2" t="s">
        <v>32</v>
      </c>
      <c r="C1011" s="6" t="str">
        <f t="shared" si="1"/>
        <v>Shuddha Kalyan_5</v>
      </c>
      <c r="D1011" s="33" t="s">
        <v>1187</v>
      </c>
      <c r="E1011" s="2" t="s">
        <v>25</v>
      </c>
      <c r="F1011" s="2" t="s">
        <v>797</v>
      </c>
      <c r="H1011" s="6" t="str">
        <f>VLOOKUP(F1011, ArtistCount!$A$1:$C$286, 3, FALSE)</f>
        <v>#N/A</v>
      </c>
    </row>
    <row r="1012" ht="22.5" customHeight="1">
      <c r="A1012" s="5" t="s">
        <v>1182</v>
      </c>
      <c r="B1012" s="2" t="s">
        <v>38</v>
      </c>
      <c r="C1012" s="6" t="str">
        <f t="shared" si="1"/>
        <v>Shuddha Kalyan_6</v>
      </c>
      <c r="D1012" s="33" t="s">
        <v>1188</v>
      </c>
      <c r="E1012" s="2" t="s">
        <v>25</v>
      </c>
      <c r="F1012" s="2" t="s">
        <v>134</v>
      </c>
      <c r="H1012" s="6" t="str">
        <f>VLOOKUP(F1012, ArtistCount!$A$1:$C$286, 3, FALSE)</f>
        <v>#N/A</v>
      </c>
    </row>
    <row r="1013" ht="22.5" customHeight="1">
      <c r="A1013" s="5" t="s">
        <v>1182</v>
      </c>
      <c r="B1013" s="2" t="s">
        <v>32</v>
      </c>
      <c r="C1013" s="6" t="str">
        <f t="shared" si="1"/>
        <v>Shuddha Kalyan_7</v>
      </c>
      <c r="D1013" s="33" t="s">
        <v>1189</v>
      </c>
      <c r="E1013" s="2" t="s">
        <v>25</v>
      </c>
      <c r="F1013" s="2" t="s">
        <v>34</v>
      </c>
      <c r="H1013" s="6" t="str">
        <f>VLOOKUP(F1013, ArtistCount!$A$1:$C$286, 3, FALSE)</f>
        <v>#N/A</v>
      </c>
    </row>
    <row r="1014" ht="22.5" customHeight="1">
      <c r="A1014" s="5" t="s">
        <v>1182</v>
      </c>
      <c r="B1014" s="2" t="s">
        <v>38</v>
      </c>
      <c r="C1014" s="6" t="str">
        <f t="shared" si="1"/>
        <v>Shuddha Kalyan_8</v>
      </c>
      <c r="D1014" s="34" t="s">
        <v>1190</v>
      </c>
      <c r="E1014" s="2" t="s">
        <v>25</v>
      </c>
      <c r="F1014" s="2" t="s">
        <v>157</v>
      </c>
      <c r="H1014" s="6" t="str">
        <f>VLOOKUP(F1014, ArtistCount!$A$1:$C$286, 3, FALSE)</f>
        <v>#N/A</v>
      </c>
    </row>
    <row r="1015" ht="22.5" customHeight="1">
      <c r="A1015" s="5" t="s">
        <v>1182</v>
      </c>
      <c r="B1015" s="2" t="s">
        <v>38</v>
      </c>
      <c r="C1015" s="6" t="str">
        <f t="shared" si="1"/>
        <v>Shuddha Kalyan_9</v>
      </c>
      <c r="D1015" s="33" t="s">
        <v>1191</v>
      </c>
      <c r="E1015" s="2" t="s">
        <v>25</v>
      </c>
      <c r="F1015" s="2" t="s">
        <v>75</v>
      </c>
      <c r="H1015" s="6" t="str">
        <f>VLOOKUP(F1015, ArtistCount!$A$1:$C$286, 3, FALSE)</f>
        <v>#N/A</v>
      </c>
    </row>
    <row r="1016" ht="22.5" customHeight="1">
      <c r="A1016" s="5" t="s">
        <v>1182</v>
      </c>
      <c r="B1016" s="2" t="s">
        <v>43</v>
      </c>
      <c r="C1016" s="6" t="str">
        <f t="shared" si="1"/>
        <v>Shuddha Kalyan_10</v>
      </c>
      <c r="D1016" s="33" t="s">
        <v>1192</v>
      </c>
      <c r="E1016" s="2" t="s">
        <v>25</v>
      </c>
      <c r="F1016" s="2" t="s">
        <v>26</v>
      </c>
      <c r="H1016" s="6" t="str">
        <f>VLOOKUP(F1016, ArtistCount!$A$1:$C$286, 3, FALSE)</f>
        <v>#N/A</v>
      </c>
    </row>
    <row r="1017" ht="22.5" customHeight="1">
      <c r="A1017" s="5" t="s">
        <v>1193</v>
      </c>
      <c r="B1017" s="2" t="s">
        <v>43</v>
      </c>
      <c r="C1017" s="6" t="str">
        <f t="shared" si="1"/>
        <v>Shyam Kalyan_1</v>
      </c>
      <c r="D1017" s="33" t="s">
        <v>1194</v>
      </c>
      <c r="E1017" s="2" t="s">
        <v>25</v>
      </c>
      <c r="F1017" s="2" t="s">
        <v>34</v>
      </c>
      <c r="H1017" s="6" t="str">
        <f>VLOOKUP(F1017, ArtistCount!$A$1:$C$286, 3, FALSE)</f>
        <v>#N/A</v>
      </c>
    </row>
    <row r="1018" ht="22.5" customHeight="1">
      <c r="A1018" s="5" t="s">
        <v>1193</v>
      </c>
      <c r="B1018" s="2" t="s">
        <v>43</v>
      </c>
      <c r="C1018" s="6" t="str">
        <f t="shared" si="1"/>
        <v>Shyam Kalyan_2</v>
      </c>
      <c r="D1018" s="33" t="s">
        <v>1195</v>
      </c>
      <c r="E1018" s="2" t="s">
        <v>25</v>
      </c>
      <c r="F1018" s="2" t="s">
        <v>94</v>
      </c>
      <c r="H1018" s="6" t="str">
        <f>VLOOKUP(F1018, ArtistCount!$A$1:$C$286, 3, FALSE)</f>
        <v>#N/A</v>
      </c>
    </row>
    <row r="1019" ht="22.5" customHeight="1">
      <c r="A1019" s="5" t="s">
        <v>1193</v>
      </c>
      <c r="B1019" s="2" t="s">
        <v>29</v>
      </c>
      <c r="C1019" s="6" t="str">
        <f t="shared" si="1"/>
        <v>Shyam Kalyan_3</v>
      </c>
      <c r="D1019" s="33" t="s">
        <v>1196</v>
      </c>
      <c r="E1019" s="2" t="s">
        <v>25</v>
      </c>
      <c r="F1019" s="8" t="s">
        <v>198</v>
      </c>
      <c r="H1019" s="6" t="str">
        <f>VLOOKUP(F1019, ArtistCount!$A$1:$C$286, 3, FALSE)</f>
        <v>#N/A</v>
      </c>
    </row>
    <row r="1020" ht="22.5" customHeight="1">
      <c r="A1020" s="5" t="s">
        <v>1193</v>
      </c>
      <c r="B1020" s="2" t="s">
        <v>24</v>
      </c>
      <c r="C1020" s="6" t="str">
        <f t="shared" si="1"/>
        <v>Shyam Kalyan_4</v>
      </c>
      <c r="D1020" s="33" t="s">
        <v>1197</v>
      </c>
      <c r="E1020" s="2" t="s">
        <v>236</v>
      </c>
      <c r="F1020" s="2" t="s">
        <v>551</v>
      </c>
      <c r="H1020" s="6" t="str">
        <f>VLOOKUP(F1020, ArtistCount!$A$1:$C$286, 3, FALSE)</f>
        <v>#N/A</v>
      </c>
    </row>
    <row r="1021" ht="22.5" customHeight="1">
      <c r="A1021" s="5" t="s">
        <v>1193</v>
      </c>
      <c r="B1021" s="2" t="s">
        <v>62</v>
      </c>
      <c r="C1021" s="6" t="str">
        <f t="shared" si="1"/>
        <v>Shyam Kalyan_5</v>
      </c>
      <c r="D1021" s="33" t="s">
        <v>1198</v>
      </c>
      <c r="E1021" s="2" t="s">
        <v>162</v>
      </c>
      <c r="F1021" s="2" t="s">
        <v>337</v>
      </c>
      <c r="H1021" s="6" t="str">
        <f>VLOOKUP(F1021, ArtistCount!$A$1:$C$286, 3, FALSE)</f>
        <v>#N/A</v>
      </c>
    </row>
    <row r="1022" ht="22.5" customHeight="1">
      <c r="A1022" s="5" t="s">
        <v>1193</v>
      </c>
      <c r="B1022" s="2" t="s">
        <v>127</v>
      </c>
      <c r="C1022" s="6" t="str">
        <f t="shared" si="1"/>
        <v>Shyam Kalyan_6</v>
      </c>
      <c r="D1022" s="33" t="s">
        <v>1199</v>
      </c>
      <c r="E1022" s="2" t="s">
        <v>25</v>
      </c>
      <c r="F1022" s="2" t="s">
        <v>142</v>
      </c>
      <c r="H1022" s="6" t="str">
        <f>VLOOKUP(F1022, ArtistCount!$A$1:$C$286, 3, FALSE)</f>
        <v>#N/A</v>
      </c>
    </row>
    <row r="1023" ht="22.5" customHeight="1">
      <c r="A1023" s="5" t="s">
        <v>1193</v>
      </c>
      <c r="B1023" s="2" t="s">
        <v>38</v>
      </c>
      <c r="C1023" s="6" t="str">
        <f t="shared" si="1"/>
        <v>Shyam Kalyan_7</v>
      </c>
      <c r="D1023" s="33" t="s">
        <v>1200</v>
      </c>
      <c r="E1023" s="2" t="s">
        <v>25</v>
      </c>
      <c r="F1023" s="2" t="s">
        <v>153</v>
      </c>
      <c r="H1023" s="2" t="str">
        <f>VLOOKUP(F1023, ArtistCount!$A$1:$C$286, 3, FALSE)</f>
        <v>#N/A</v>
      </c>
      <c r="I1023" s="2" t="s">
        <v>154</v>
      </c>
    </row>
    <row r="1024" ht="22.5" customHeight="1">
      <c r="A1024" s="5" t="s">
        <v>1193</v>
      </c>
      <c r="B1024" s="2" t="s">
        <v>38</v>
      </c>
      <c r="C1024" s="6" t="str">
        <f t="shared" si="1"/>
        <v>Shyam Kalyan_8</v>
      </c>
      <c r="D1024" s="12" t="s">
        <v>1201</v>
      </c>
      <c r="E1024" s="2" t="s">
        <v>25</v>
      </c>
      <c r="F1024" s="2" t="s">
        <v>157</v>
      </c>
      <c r="H1024" s="6" t="str">
        <f>VLOOKUP(F1024, ArtistCount!$A$1:$C$286, 3, FALSE)</f>
        <v>#N/A</v>
      </c>
    </row>
    <row r="1025" ht="22.5" customHeight="1">
      <c r="A1025" s="5" t="s">
        <v>1193</v>
      </c>
      <c r="B1025" s="2" t="s">
        <v>127</v>
      </c>
      <c r="C1025" s="6" t="str">
        <f t="shared" si="1"/>
        <v>Shyam Kalyan_9</v>
      </c>
      <c r="D1025" s="33" t="s">
        <v>1202</v>
      </c>
      <c r="E1025" s="2" t="s">
        <v>25</v>
      </c>
      <c r="F1025" s="2" t="s">
        <v>850</v>
      </c>
      <c r="H1025" s="6" t="str">
        <f>VLOOKUP(F1025, ArtistCount!$A$1:$C$286, 3, FALSE)</f>
        <v>#N/A</v>
      </c>
    </row>
    <row r="1026" ht="22.5" customHeight="1">
      <c r="A1026" s="5" t="s">
        <v>1193</v>
      </c>
      <c r="B1026" s="2" t="s">
        <v>32</v>
      </c>
      <c r="C1026" s="6" t="str">
        <f t="shared" si="1"/>
        <v>Shyam Kalyan_10</v>
      </c>
      <c r="D1026" s="15" t="s">
        <v>1203</v>
      </c>
      <c r="E1026" s="2" t="s">
        <v>25</v>
      </c>
      <c r="F1026" s="2" t="s">
        <v>1204</v>
      </c>
      <c r="H1026" s="6" t="str">
        <f>VLOOKUP(F1026, ArtistCount!$A$1:$C$286, 3, FALSE)</f>
        <v>#N/A</v>
      </c>
    </row>
    <row r="1027" ht="22.5" customHeight="1">
      <c r="A1027" s="5" t="s">
        <v>1205</v>
      </c>
      <c r="B1027" s="2" t="s">
        <v>32</v>
      </c>
      <c r="C1027" s="6" t="str">
        <f t="shared" si="1"/>
        <v>Sindhura_1</v>
      </c>
      <c r="D1027" s="12" t="s">
        <v>1206</v>
      </c>
      <c r="E1027" s="2" t="s">
        <v>25</v>
      </c>
      <c r="F1027" s="2" t="s">
        <v>1207</v>
      </c>
      <c r="H1027" s="6" t="str">
        <f>VLOOKUP(F1027, ArtistCount!$A$1:$C$286, 3, FALSE)</f>
        <v>#N/A</v>
      </c>
    </row>
    <row r="1028" ht="22.5" customHeight="1">
      <c r="A1028" s="5" t="s">
        <v>1205</v>
      </c>
      <c r="B1028" s="2" t="s">
        <v>67</v>
      </c>
      <c r="C1028" s="6" t="str">
        <f t="shared" si="1"/>
        <v>Sindhura_2</v>
      </c>
      <c r="D1028" s="12" t="s">
        <v>1208</v>
      </c>
      <c r="E1028" s="2" t="s">
        <v>25</v>
      </c>
      <c r="F1028" s="2" t="s">
        <v>68</v>
      </c>
      <c r="H1028" s="6" t="str">
        <f>VLOOKUP(F1028, ArtistCount!$A$1:$C$286, 3, FALSE)</f>
        <v>#N/A</v>
      </c>
    </row>
    <row r="1029" ht="22.5" customHeight="1">
      <c r="A1029" s="5" t="s">
        <v>1205</v>
      </c>
      <c r="B1029" s="2" t="s">
        <v>32</v>
      </c>
      <c r="C1029" s="6" t="str">
        <f t="shared" si="1"/>
        <v>Sindhura_3</v>
      </c>
      <c r="D1029" s="12" t="s">
        <v>1209</v>
      </c>
      <c r="E1029" s="2" t="s">
        <v>25</v>
      </c>
      <c r="F1029" s="2" t="s">
        <v>1210</v>
      </c>
      <c r="H1029" s="6" t="str">
        <f>VLOOKUP(F1029, ArtistCount!$A$1:$C$286, 3, FALSE)</f>
        <v>#N/A</v>
      </c>
    </row>
    <row r="1030" ht="22.5" customHeight="1">
      <c r="A1030" s="5" t="s">
        <v>1205</v>
      </c>
      <c r="B1030" s="9" t="s">
        <v>32</v>
      </c>
      <c r="C1030" s="2" t="str">
        <f t="shared" si="1"/>
        <v>Sindhura_4</v>
      </c>
      <c r="D1030" s="15" t="s">
        <v>1211</v>
      </c>
      <c r="E1030" s="2" t="s">
        <v>25</v>
      </c>
      <c r="F1030" s="2" t="s">
        <v>1212</v>
      </c>
      <c r="H1030" s="6" t="str">
        <f>VLOOKUP(F1030, ArtistCount!$A$1:$C$286, 3, FALSE)</f>
        <v>#N/A</v>
      </c>
      <c r="L1030" s="2" t="s">
        <v>1213</v>
      </c>
    </row>
    <row r="1031" ht="22.5" customHeight="1">
      <c r="A1031" s="5" t="s">
        <v>1205</v>
      </c>
      <c r="B1031" s="2" t="s">
        <v>43</v>
      </c>
      <c r="C1031" s="6" t="str">
        <f t="shared" si="1"/>
        <v>Sindhura_5</v>
      </c>
      <c r="D1031" s="12" t="s">
        <v>1214</v>
      </c>
      <c r="E1031" s="2" t="s">
        <v>25</v>
      </c>
      <c r="F1031" s="2" t="s">
        <v>83</v>
      </c>
      <c r="H1031" s="6" t="str">
        <f>VLOOKUP(F1031, ArtistCount!$A$1:$C$286, 3, FALSE)</f>
        <v>#N/A</v>
      </c>
    </row>
    <row r="1032" ht="22.5" customHeight="1">
      <c r="A1032" s="5" t="s">
        <v>1205</v>
      </c>
      <c r="B1032" s="2" t="s">
        <v>127</v>
      </c>
      <c r="C1032" s="6" t="str">
        <f t="shared" si="1"/>
        <v>Sindhura_6</v>
      </c>
      <c r="D1032" s="12" t="s">
        <v>1215</v>
      </c>
      <c r="E1032" s="2" t="s">
        <v>25</v>
      </c>
      <c r="F1032" s="2" t="s">
        <v>248</v>
      </c>
      <c r="H1032" s="6" t="str">
        <f>VLOOKUP(F1032, ArtistCount!$A$1:$C$286, 3, FALSE)</f>
        <v>#N/A</v>
      </c>
    </row>
    <row r="1033" ht="22.5" customHeight="1">
      <c r="A1033" s="5" t="s">
        <v>1205</v>
      </c>
      <c r="B1033" s="2" t="s">
        <v>43</v>
      </c>
      <c r="C1033" s="6" t="str">
        <f t="shared" si="1"/>
        <v>Sindhura_7</v>
      </c>
      <c r="D1033" s="12" t="s">
        <v>1216</v>
      </c>
      <c r="E1033" s="2" t="s">
        <v>25</v>
      </c>
      <c r="F1033" s="2" t="s">
        <v>83</v>
      </c>
      <c r="H1033" s="6" t="str">
        <f>VLOOKUP(F1033, ArtistCount!$A$1:$C$286, 3, FALSE)</f>
        <v>#N/A</v>
      </c>
    </row>
    <row r="1034" ht="22.5" customHeight="1">
      <c r="A1034" s="5" t="s">
        <v>1205</v>
      </c>
      <c r="B1034" s="2" t="s">
        <v>29</v>
      </c>
      <c r="C1034" s="6" t="str">
        <f t="shared" si="1"/>
        <v>Sindhura_8</v>
      </c>
      <c r="D1034" s="12" t="s">
        <v>1217</v>
      </c>
      <c r="E1034" s="2" t="s">
        <v>25</v>
      </c>
      <c r="F1034" s="2" t="s">
        <v>376</v>
      </c>
      <c r="H1034" s="6" t="str">
        <f>VLOOKUP(F1034, ArtistCount!$A$1:$C$286, 3, FALSE)</f>
        <v>#N/A</v>
      </c>
    </row>
    <row r="1035" ht="22.5" customHeight="1">
      <c r="A1035" s="5" t="s">
        <v>1205</v>
      </c>
      <c r="B1035" s="2" t="s">
        <v>24</v>
      </c>
      <c r="C1035" s="6" t="str">
        <f t="shared" si="1"/>
        <v>Sindhura_9</v>
      </c>
      <c r="D1035" s="12" t="s">
        <v>1218</v>
      </c>
      <c r="E1035" s="2" t="s">
        <v>25</v>
      </c>
      <c r="F1035" s="2" t="s">
        <v>26</v>
      </c>
      <c r="H1035" s="6" t="str">
        <f>VLOOKUP(F1035, ArtistCount!$A$1:$C$286, 3, FALSE)</f>
        <v>#N/A</v>
      </c>
    </row>
    <row r="1036" ht="22.5" customHeight="1">
      <c r="A1036" s="5" t="s">
        <v>1219</v>
      </c>
      <c r="B1036" s="2" t="s">
        <v>32</v>
      </c>
      <c r="C1036" s="6" t="str">
        <f t="shared" si="1"/>
        <v>Sohini_1</v>
      </c>
      <c r="D1036" s="12" t="s">
        <v>1220</v>
      </c>
      <c r="E1036" s="2" t="s">
        <v>25</v>
      </c>
      <c r="F1036" s="2" t="s">
        <v>34</v>
      </c>
      <c r="H1036" s="6" t="str">
        <f>VLOOKUP(F1036, ArtistCount!$A$1:$C$286, 3, FALSE)</f>
        <v>#N/A</v>
      </c>
    </row>
    <row r="1037" ht="22.5" customHeight="1">
      <c r="A1037" s="5" t="s">
        <v>1219</v>
      </c>
      <c r="B1037" s="2" t="s">
        <v>43</v>
      </c>
      <c r="C1037" s="6" t="str">
        <f t="shared" si="1"/>
        <v>Sohini_2</v>
      </c>
      <c r="D1037" s="12" t="s">
        <v>1221</v>
      </c>
      <c r="E1037" s="2" t="s">
        <v>25</v>
      </c>
      <c r="F1037" s="2" t="s">
        <v>52</v>
      </c>
      <c r="H1037" s="6" t="str">
        <f>VLOOKUP(F1037, ArtistCount!$A$1:$C$286, 3, FALSE)</f>
        <v>#N/A</v>
      </c>
    </row>
    <row r="1038" ht="22.5" customHeight="1">
      <c r="A1038" s="5" t="s">
        <v>1219</v>
      </c>
      <c r="B1038" s="2" t="s">
        <v>62</v>
      </c>
      <c r="C1038" s="6" t="str">
        <f t="shared" si="1"/>
        <v>Sohini_3</v>
      </c>
      <c r="D1038" s="13" t="s">
        <v>1222</v>
      </c>
      <c r="E1038" s="2" t="s">
        <v>25</v>
      </c>
      <c r="F1038" s="2" t="s">
        <v>153</v>
      </c>
      <c r="H1038" s="2" t="str">
        <f>VLOOKUP(F1038, ArtistCount!$A$1:$C$286, 3, FALSE)</f>
        <v>#N/A</v>
      </c>
      <c r="I1038" s="2" t="s">
        <v>154</v>
      </c>
    </row>
    <row r="1039" ht="22.5" customHeight="1">
      <c r="A1039" s="5" t="s">
        <v>1219</v>
      </c>
      <c r="B1039" s="2" t="s">
        <v>24</v>
      </c>
      <c r="C1039" s="6" t="str">
        <f t="shared" si="1"/>
        <v>Sohini_4</v>
      </c>
      <c r="D1039" s="13" t="s">
        <v>1223</v>
      </c>
      <c r="E1039" s="2" t="s">
        <v>25</v>
      </c>
      <c r="F1039" s="8" t="s">
        <v>31</v>
      </c>
      <c r="H1039" s="6" t="str">
        <f>VLOOKUP(F1039, ArtistCount!$A$1:$C$286, 3, FALSE)</f>
        <v>#N/A</v>
      </c>
    </row>
    <row r="1040" ht="22.5" customHeight="1">
      <c r="A1040" s="5" t="s">
        <v>1219</v>
      </c>
      <c r="B1040" s="2" t="s">
        <v>28</v>
      </c>
      <c r="C1040" s="6" t="str">
        <f t="shared" si="1"/>
        <v>Sohini_5</v>
      </c>
      <c r="D1040" s="12" t="s">
        <v>1224</v>
      </c>
      <c r="E1040" s="2" t="s">
        <v>25</v>
      </c>
      <c r="F1040" s="2" t="s">
        <v>83</v>
      </c>
      <c r="H1040" s="6" t="str">
        <f>VLOOKUP(F1040, ArtistCount!$A$1:$C$286, 3, FALSE)</f>
        <v>#N/A</v>
      </c>
    </row>
    <row r="1041" ht="22.5" customHeight="1">
      <c r="A1041" s="5" t="s">
        <v>1219</v>
      </c>
      <c r="B1041" s="2" t="s">
        <v>24</v>
      </c>
      <c r="C1041" s="6" t="str">
        <f t="shared" si="1"/>
        <v>Sohini_6</v>
      </c>
      <c r="D1041" s="12" t="s">
        <v>1225</v>
      </c>
      <c r="E1041" s="2" t="s">
        <v>114</v>
      </c>
      <c r="F1041" s="2" t="s">
        <v>180</v>
      </c>
      <c r="H1041" s="6" t="str">
        <f>VLOOKUP(F1041, ArtistCount!$A$1:$C$286, 3, FALSE)</f>
        <v>#N/A</v>
      </c>
    </row>
    <row r="1042" ht="22.5" customHeight="1">
      <c r="A1042" s="5" t="s">
        <v>1219</v>
      </c>
      <c r="B1042" s="2" t="s">
        <v>38</v>
      </c>
      <c r="C1042" s="6" t="str">
        <f t="shared" si="1"/>
        <v>Sohini_7</v>
      </c>
      <c r="D1042" s="13" t="s">
        <v>1226</v>
      </c>
      <c r="E1042" s="2" t="s">
        <v>25</v>
      </c>
      <c r="F1042" s="2" t="s">
        <v>153</v>
      </c>
      <c r="H1042" s="2" t="str">
        <f>VLOOKUP(F1042, ArtistCount!$A$1:$C$286, 3, FALSE)</f>
        <v>#N/A</v>
      </c>
      <c r="I1042" s="2" t="s">
        <v>154</v>
      </c>
    </row>
    <row r="1043" ht="22.5" customHeight="1">
      <c r="A1043" s="5" t="s">
        <v>1219</v>
      </c>
      <c r="B1043" s="9" t="s">
        <v>38</v>
      </c>
      <c r="C1043" s="6" t="str">
        <f t="shared" si="1"/>
        <v>Sohini_8</v>
      </c>
      <c r="D1043" s="13" t="s">
        <v>1227</v>
      </c>
      <c r="E1043" s="2" t="s">
        <v>25</v>
      </c>
      <c r="F1043" s="2" t="s">
        <v>103</v>
      </c>
      <c r="H1043" s="6" t="str">
        <f>VLOOKUP(F1043, ArtistCount!$A$1:$C$286, 3, FALSE)</f>
        <v>#N/A</v>
      </c>
    </row>
    <row r="1044" ht="22.5" customHeight="1">
      <c r="A1044" s="5" t="s">
        <v>1219</v>
      </c>
      <c r="B1044" s="9" t="s">
        <v>43</v>
      </c>
      <c r="C1044" s="6" t="str">
        <f t="shared" si="1"/>
        <v>Sohini_9</v>
      </c>
      <c r="D1044" s="13" t="s">
        <v>1228</v>
      </c>
      <c r="E1044" s="2" t="s">
        <v>25</v>
      </c>
      <c r="F1044" s="2" t="s">
        <v>34</v>
      </c>
      <c r="H1044" s="6" t="str">
        <f>VLOOKUP(F1044, ArtistCount!$A$1:$C$286, 3, FALSE)</f>
        <v>#N/A</v>
      </c>
    </row>
    <row r="1045" ht="22.5" customHeight="1">
      <c r="A1045" s="5" t="s">
        <v>1229</v>
      </c>
      <c r="B1045" s="2" t="s">
        <v>43</v>
      </c>
      <c r="C1045" s="6" t="str">
        <f t="shared" si="1"/>
        <v>Surdasi Malhar_1</v>
      </c>
      <c r="D1045" s="33" t="s">
        <v>1230</v>
      </c>
      <c r="E1045" s="2" t="s">
        <v>25</v>
      </c>
      <c r="F1045" s="2" t="s">
        <v>52</v>
      </c>
      <c r="H1045" s="6" t="str">
        <f>VLOOKUP(F1045, ArtistCount!$A$1:$C$286, 3, FALSE)</f>
        <v>#N/A</v>
      </c>
    </row>
    <row r="1046" ht="22.5" customHeight="1">
      <c r="A1046" s="5" t="s">
        <v>1229</v>
      </c>
      <c r="B1046" s="2" t="s">
        <v>43</v>
      </c>
      <c r="C1046" s="6" t="str">
        <f t="shared" si="1"/>
        <v>Surdasi Malhar_2</v>
      </c>
      <c r="D1046" s="33" t="s">
        <v>1231</v>
      </c>
      <c r="E1046" s="2" t="s">
        <v>25</v>
      </c>
      <c r="F1046" s="2" t="s">
        <v>94</v>
      </c>
      <c r="H1046" s="6" t="str">
        <f>VLOOKUP(F1046, ArtistCount!$A$1:$C$286, 3, FALSE)</f>
        <v>#N/A</v>
      </c>
    </row>
    <row r="1047" ht="22.5" customHeight="1">
      <c r="A1047" s="5" t="s">
        <v>1229</v>
      </c>
      <c r="B1047" s="2" t="s">
        <v>43</v>
      </c>
      <c r="C1047" s="6" t="str">
        <f t="shared" si="1"/>
        <v>Surdasi Malhar_3</v>
      </c>
      <c r="D1047" s="33" t="s">
        <v>1232</v>
      </c>
      <c r="E1047" s="2" t="s">
        <v>25</v>
      </c>
      <c r="F1047" s="2" t="s">
        <v>34</v>
      </c>
      <c r="H1047" s="6" t="str">
        <f>VLOOKUP(F1047, ArtistCount!$A$1:$C$286, 3, FALSE)</f>
        <v>#N/A</v>
      </c>
    </row>
    <row r="1048" ht="22.5" customHeight="1">
      <c r="A1048" s="5" t="s">
        <v>1229</v>
      </c>
      <c r="B1048" s="2" t="s">
        <v>43</v>
      </c>
      <c r="C1048" s="6" t="str">
        <f t="shared" si="1"/>
        <v>Surdasi Malhar_4</v>
      </c>
      <c r="D1048" s="33" t="s">
        <v>1233</v>
      </c>
      <c r="E1048" s="2" t="s">
        <v>25</v>
      </c>
      <c r="F1048" s="2" t="s">
        <v>52</v>
      </c>
      <c r="H1048" s="6" t="str">
        <f>VLOOKUP(F1048, ArtistCount!$A$1:$C$286, 3, FALSE)</f>
        <v>#N/A</v>
      </c>
    </row>
    <row r="1049" ht="22.5" customHeight="1">
      <c r="A1049" s="5" t="s">
        <v>1229</v>
      </c>
      <c r="B1049" s="2" t="s">
        <v>28</v>
      </c>
      <c r="C1049" s="6" t="str">
        <f t="shared" si="1"/>
        <v>Surdasi Malhar_5</v>
      </c>
      <c r="D1049" s="33" t="s">
        <v>1234</v>
      </c>
      <c r="E1049" s="2" t="s">
        <v>167</v>
      </c>
      <c r="F1049" s="2" t="s">
        <v>994</v>
      </c>
      <c r="H1049" s="6" t="str">
        <f>VLOOKUP(F1049, ArtistCount!$A$1:$C$286, 3, FALSE)</f>
        <v>#N/A</v>
      </c>
    </row>
    <row r="1050" ht="22.5" customHeight="1">
      <c r="A1050" s="5" t="s">
        <v>1229</v>
      </c>
      <c r="B1050" s="2" t="s">
        <v>38</v>
      </c>
      <c r="C1050" s="6" t="str">
        <f t="shared" si="1"/>
        <v>Surdasi Malhar_6</v>
      </c>
      <c r="D1050" s="33" t="s">
        <v>1235</v>
      </c>
      <c r="E1050" s="2" t="s">
        <v>25</v>
      </c>
      <c r="F1050" s="2" t="s">
        <v>75</v>
      </c>
      <c r="H1050" s="6" t="str">
        <f>VLOOKUP(F1050, ArtistCount!$A$1:$C$286, 3, FALSE)</f>
        <v>#N/A</v>
      </c>
    </row>
    <row r="1051" ht="22.5" customHeight="1">
      <c r="A1051" s="5" t="s">
        <v>1229</v>
      </c>
      <c r="B1051" s="2" t="s">
        <v>28</v>
      </c>
      <c r="C1051" s="6" t="str">
        <f t="shared" si="1"/>
        <v>Surdasi Malhar_7</v>
      </c>
      <c r="D1051" s="33" t="s">
        <v>1236</v>
      </c>
      <c r="E1051" s="2" t="s">
        <v>25</v>
      </c>
      <c r="F1051" s="2" t="s">
        <v>112</v>
      </c>
      <c r="H1051" s="6" t="str">
        <f>VLOOKUP(F1051, ArtistCount!$A$1:$C$286, 3, FALSE)</f>
        <v>#N/A</v>
      </c>
    </row>
    <row r="1052" ht="22.5" customHeight="1">
      <c r="A1052" s="5" t="s">
        <v>1229</v>
      </c>
      <c r="B1052" s="2" t="s">
        <v>28</v>
      </c>
      <c r="C1052" s="6" t="str">
        <f t="shared" si="1"/>
        <v>Surdasi Malhar_8</v>
      </c>
      <c r="D1052" s="33" t="s">
        <v>1237</v>
      </c>
      <c r="E1052" s="2" t="s">
        <v>25</v>
      </c>
      <c r="F1052" s="8" t="s">
        <v>150</v>
      </c>
      <c r="H1052" s="6" t="str">
        <f>VLOOKUP(F1052, ArtistCount!$A$1:$C$286, 3, FALSE)</f>
        <v>#N/A</v>
      </c>
    </row>
    <row r="1053" ht="22.5" customHeight="1">
      <c r="A1053" s="5" t="s">
        <v>1229</v>
      </c>
      <c r="B1053" s="2" t="s">
        <v>32</v>
      </c>
      <c r="C1053" s="6" t="str">
        <f t="shared" si="1"/>
        <v>Surdasi Malhar_9</v>
      </c>
      <c r="D1053" s="33" t="s">
        <v>1238</v>
      </c>
      <c r="E1053" s="2" t="s">
        <v>25</v>
      </c>
      <c r="F1053" s="2" t="s">
        <v>26</v>
      </c>
      <c r="H1053" s="6" t="str">
        <f>VLOOKUP(F1053, ArtistCount!$A$1:$C$286, 3, FALSE)</f>
        <v>#N/A</v>
      </c>
    </row>
    <row r="1054" ht="22.5" customHeight="1">
      <c r="A1054" s="5" t="s">
        <v>1229</v>
      </c>
      <c r="B1054" s="2" t="s">
        <v>43</v>
      </c>
      <c r="C1054" s="6" t="str">
        <f t="shared" si="1"/>
        <v>Surdasi Malhar_10</v>
      </c>
      <c r="D1054" s="33" t="s">
        <v>1239</v>
      </c>
      <c r="E1054" s="2" t="s">
        <v>25</v>
      </c>
      <c r="F1054" s="2" t="s">
        <v>94</v>
      </c>
      <c r="H1054" s="6" t="str">
        <f>VLOOKUP(F1054, ArtistCount!$A$1:$C$286, 3, FALSE)</f>
        <v>#N/A</v>
      </c>
    </row>
    <row r="1055" ht="22.5" customHeight="1">
      <c r="A1055" s="5" t="s">
        <v>1240</v>
      </c>
      <c r="B1055" s="2" t="s">
        <v>43</v>
      </c>
      <c r="C1055" s="6" t="str">
        <f t="shared" si="1"/>
        <v>Tilak Kamod_1</v>
      </c>
      <c r="D1055" s="12" t="s">
        <v>1241</v>
      </c>
      <c r="E1055" s="2" t="s">
        <v>25</v>
      </c>
      <c r="F1055" s="2" t="s">
        <v>52</v>
      </c>
      <c r="H1055" s="6" t="str">
        <f>VLOOKUP(F1055, ArtistCount!$A$1:$C$286, 3, FALSE)</f>
        <v>#N/A</v>
      </c>
    </row>
    <row r="1056" ht="22.5" customHeight="1">
      <c r="A1056" s="5" t="s">
        <v>1240</v>
      </c>
      <c r="B1056" s="2" t="s">
        <v>67</v>
      </c>
      <c r="C1056" s="6" t="str">
        <f t="shared" si="1"/>
        <v>Tilak Kamod_2</v>
      </c>
      <c r="D1056" s="12" t="s">
        <v>1242</v>
      </c>
      <c r="E1056" s="2" t="s">
        <v>25</v>
      </c>
      <c r="F1056" s="2" t="s">
        <v>297</v>
      </c>
      <c r="H1056" s="6" t="str">
        <f>VLOOKUP(F1056, ArtistCount!$A$1:$C$286, 3, FALSE)</f>
        <v>#N/A</v>
      </c>
    </row>
    <row r="1057" ht="22.5" customHeight="1">
      <c r="A1057" s="5" t="s">
        <v>1240</v>
      </c>
      <c r="B1057" s="2" t="s">
        <v>43</v>
      </c>
      <c r="C1057" s="6" t="str">
        <f t="shared" si="1"/>
        <v>Tilak Kamod_3</v>
      </c>
      <c r="D1057" s="12" t="s">
        <v>1243</v>
      </c>
      <c r="E1057" s="2" t="s">
        <v>25</v>
      </c>
      <c r="F1057" s="2" t="s">
        <v>193</v>
      </c>
      <c r="H1057" s="6" t="str">
        <f>VLOOKUP(F1057, ArtistCount!$A$1:$C$286, 3, FALSE)</f>
        <v>#N/A</v>
      </c>
    </row>
    <row r="1058" ht="22.5" customHeight="1">
      <c r="A1058" s="5" t="s">
        <v>1240</v>
      </c>
      <c r="B1058" s="2" t="s">
        <v>43</v>
      </c>
      <c r="C1058" s="6" t="str">
        <f t="shared" si="1"/>
        <v>Tilak Kamod_4</v>
      </c>
      <c r="D1058" s="12" t="s">
        <v>1244</v>
      </c>
      <c r="E1058" s="2" t="s">
        <v>25</v>
      </c>
      <c r="F1058" s="2" t="s">
        <v>83</v>
      </c>
      <c r="H1058" s="6" t="str">
        <f>VLOOKUP(F1058, ArtistCount!$A$1:$C$286, 3, FALSE)</f>
        <v>#N/A</v>
      </c>
    </row>
    <row r="1059" ht="22.5" customHeight="1">
      <c r="A1059" s="5" t="s">
        <v>1240</v>
      </c>
      <c r="B1059" s="2" t="s">
        <v>89</v>
      </c>
      <c r="C1059" s="6" t="str">
        <f t="shared" si="1"/>
        <v>Tilak Kamod_5</v>
      </c>
      <c r="D1059" s="12" t="s">
        <v>1245</v>
      </c>
      <c r="E1059" s="2" t="s">
        <v>565</v>
      </c>
      <c r="F1059" s="2" t="s">
        <v>178</v>
      </c>
      <c r="H1059" s="6" t="str">
        <f>VLOOKUP(F1059, ArtistCount!$A$1:$C$286, 3, FALSE)</f>
        <v>#N/A</v>
      </c>
    </row>
    <row r="1060" ht="22.5" customHeight="1">
      <c r="A1060" s="5" t="s">
        <v>1240</v>
      </c>
      <c r="B1060" s="2" t="s">
        <v>43</v>
      </c>
      <c r="C1060" s="6" t="str">
        <f t="shared" si="1"/>
        <v>Tilak Kamod_6</v>
      </c>
      <c r="D1060" s="12" t="s">
        <v>1246</v>
      </c>
      <c r="E1060" s="2" t="s">
        <v>25</v>
      </c>
      <c r="F1060" s="2" t="s">
        <v>1247</v>
      </c>
      <c r="H1060" s="6" t="str">
        <f>VLOOKUP(F1060, ArtistCount!$A$1:$C$286, 3, FALSE)</f>
        <v>#N/A</v>
      </c>
    </row>
    <row r="1061" ht="22.5" customHeight="1">
      <c r="A1061" s="5" t="s">
        <v>1240</v>
      </c>
      <c r="B1061" s="2" t="s">
        <v>24</v>
      </c>
      <c r="C1061" s="6" t="str">
        <f t="shared" si="1"/>
        <v>Tilak Kamod_7</v>
      </c>
      <c r="D1061" s="12" t="s">
        <v>1248</v>
      </c>
      <c r="E1061" s="2" t="s">
        <v>114</v>
      </c>
      <c r="F1061" s="2" t="s">
        <v>1035</v>
      </c>
      <c r="H1061" s="6" t="str">
        <f>VLOOKUP(F1061, ArtistCount!$A$1:$C$286, 3, FALSE)</f>
        <v>#N/A</v>
      </c>
    </row>
    <row r="1062" ht="22.5" customHeight="1">
      <c r="A1062" s="5" t="s">
        <v>1240</v>
      </c>
      <c r="B1062" s="2" t="s">
        <v>32</v>
      </c>
      <c r="C1062" s="6" t="str">
        <f t="shared" si="1"/>
        <v>Tilak Kamod_8</v>
      </c>
      <c r="D1062" s="12" t="s">
        <v>1249</v>
      </c>
      <c r="E1062" s="2" t="s">
        <v>236</v>
      </c>
      <c r="F1062" s="2" t="s">
        <v>728</v>
      </c>
      <c r="H1062" s="6" t="str">
        <f>VLOOKUP(F1062, ArtistCount!$A$1:$C$286, 3, FALSE)</f>
        <v>#N/A</v>
      </c>
    </row>
    <row r="1063" ht="22.5" customHeight="1">
      <c r="A1063" s="5" t="s">
        <v>1250</v>
      </c>
      <c r="B1063" s="2" t="s">
        <v>89</v>
      </c>
      <c r="C1063" s="6" t="str">
        <f t="shared" si="1"/>
        <v>Tilang Bahar_1</v>
      </c>
      <c r="D1063" s="12" t="s">
        <v>1251</v>
      </c>
      <c r="E1063" s="2" t="s">
        <v>25</v>
      </c>
      <c r="F1063" s="2" t="s">
        <v>1252</v>
      </c>
      <c r="H1063" s="6" t="str">
        <f>VLOOKUP(F1063, ArtistCount!$A$1:$C$286, 3, FALSE)</f>
        <v>#N/A</v>
      </c>
    </row>
    <row r="1064" ht="22.5" customHeight="1">
      <c r="A1064" s="5" t="s">
        <v>1250</v>
      </c>
      <c r="B1064" s="2" t="s">
        <v>36</v>
      </c>
      <c r="C1064" s="6" t="str">
        <f t="shared" si="1"/>
        <v>Tilang Bahar_2</v>
      </c>
      <c r="D1064" s="15" t="s">
        <v>1253</v>
      </c>
      <c r="E1064" s="2" t="s">
        <v>25</v>
      </c>
      <c r="F1064" s="2" t="s">
        <v>1254</v>
      </c>
      <c r="H1064" s="6" t="str">
        <f>VLOOKUP(F1064, ArtistCount!$A$1:$C$286, 3, FALSE)</f>
        <v>#N/A</v>
      </c>
    </row>
    <row r="1065" ht="22.5" customHeight="1">
      <c r="A1065" s="5" t="s">
        <v>1250</v>
      </c>
      <c r="B1065" s="2" t="s">
        <v>62</v>
      </c>
      <c r="C1065" s="6" t="str">
        <f t="shared" si="1"/>
        <v>Tilang Bahar_3</v>
      </c>
      <c r="D1065" s="12" t="s">
        <v>1255</v>
      </c>
      <c r="E1065" s="2" t="s">
        <v>25</v>
      </c>
      <c r="F1065" s="2" t="s">
        <v>1256</v>
      </c>
      <c r="H1065" s="6" t="str">
        <f>VLOOKUP(F1065, ArtistCount!$A$1:$C$286, 3, FALSE)</f>
        <v>#N/A</v>
      </c>
    </row>
    <row r="1066" ht="22.5" customHeight="1">
      <c r="A1066" s="5" t="s">
        <v>1250</v>
      </c>
      <c r="B1066" s="2" t="s">
        <v>29</v>
      </c>
      <c r="C1066" s="6" t="str">
        <f t="shared" si="1"/>
        <v>Tilang Bahar_4</v>
      </c>
      <c r="D1066" s="12" t="s">
        <v>1257</v>
      </c>
      <c r="E1066" s="2" t="s">
        <v>25</v>
      </c>
      <c r="F1066" s="2" t="s">
        <v>1258</v>
      </c>
      <c r="H1066" s="6" t="str">
        <f>VLOOKUP(F1066, ArtistCount!$A$1:$C$286, 3, FALSE)</f>
        <v>#N/A</v>
      </c>
    </row>
    <row r="1067" ht="22.5" customHeight="1">
      <c r="A1067" s="5" t="s">
        <v>1259</v>
      </c>
      <c r="B1067" s="2" t="s">
        <v>32</v>
      </c>
      <c r="C1067" s="6" t="str">
        <f t="shared" si="1"/>
        <v>Tilang_1</v>
      </c>
      <c r="D1067" s="12" t="s">
        <v>1260</v>
      </c>
      <c r="E1067" s="2" t="s">
        <v>114</v>
      </c>
      <c r="F1067" s="2" t="s">
        <v>586</v>
      </c>
      <c r="H1067" s="6" t="str">
        <f>VLOOKUP(F1067, ArtistCount!$A$1:$C$286, 3, FALSE)</f>
        <v>#N/A</v>
      </c>
    </row>
    <row r="1068" ht="22.5" customHeight="1">
      <c r="A1068" s="5" t="s">
        <v>1259</v>
      </c>
      <c r="B1068" s="2" t="s">
        <v>38</v>
      </c>
      <c r="C1068" s="6" t="str">
        <f t="shared" si="1"/>
        <v>Tilang_2</v>
      </c>
      <c r="D1068" s="15" t="s">
        <v>1261</v>
      </c>
      <c r="E1068" s="2" t="s">
        <v>25</v>
      </c>
      <c r="F1068" s="2" t="s">
        <v>157</v>
      </c>
      <c r="H1068" s="6" t="str">
        <f>VLOOKUP(F1068, ArtistCount!$A$1:$C$286, 3, FALSE)</f>
        <v>#N/A</v>
      </c>
    </row>
    <row r="1069" ht="22.5" customHeight="1">
      <c r="A1069" s="5" t="s">
        <v>1259</v>
      </c>
      <c r="B1069" s="2" t="s">
        <v>89</v>
      </c>
      <c r="C1069" s="6" t="str">
        <f t="shared" si="1"/>
        <v>Tilang_3</v>
      </c>
      <c r="D1069" s="12" t="s">
        <v>1262</v>
      </c>
      <c r="E1069" s="2" t="s">
        <v>25</v>
      </c>
      <c r="F1069" s="2" t="s">
        <v>1263</v>
      </c>
      <c r="H1069" s="6" t="str">
        <f>VLOOKUP(F1069, ArtistCount!$A$1:$C$286, 3, FALSE)</f>
        <v>#N/A</v>
      </c>
    </row>
    <row r="1070" ht="22.5" customHeight="1">
      <c r="A1070" s="5" t="s">
        <v>1259</v>
      </c>
      <c r="B1070" s="2" t="s">
        <v>32</v>
      </c>
      <c r="C1070" s="6" t="str">
        <f t="shared" si="1"/>
        <v>Tilang_4</v>
      </c>
      <c r="D1070" s="12" t="s">
        <v>1264</v>
      </c>
      <c r="E1070" s="2" t="s">
        <v>114</v>
      </c>
      <c r="F1070" s="2" t="s">
        <v>211</v>
      </c>
      <c r="H1070" s="6" t="str">
        <f>VLOOKUP(F1070, ArtistCount!$A$1:$C$286, 3, FALSE)</f>
        <v>#N/A</v>
      </c>
    </row>
    <row r="1071" ht="22.5" customHeight="1">
      <c r="A1071" s="5" t="s">
        <v>1259</v>
      </c>
      <c r="B1071" s="2" t="s">
        <v>127</v>
      </c>
      <c r="C1071" s="6" t="str">
        <f t="shared" si="1"/>
        <v>Tilang_5</v>
      </c>
      <c r="D1071" s="12" t="s">
        <v>1265</v>
      </c>
      <c r="E1071" s="2" t="s">
        <v>25</v>
      </c>
      <c r="F1071" s="2" t="s">
        <v>850</v>
      </c>
      <c r="H1071" s="6" t="str">
        <f>VLOOKUP(F1071, ArtistCount!$A$1:$C$286, 3, FALSE)</f>
        <v>#N/A</v>
      </c>
    </row>
    <row r="1072" ht="22.5" customHeight="1">
      <c r="A1072" s="5" t="s">
        <v>1259</v>
      </c>
      <c r="B1072" s="2" t="s">
        <v>67</v>
      </c>
      <c r="C1072" s="6" t="str">
        <f t="shared" si="1"/>
        <v>Tilang_6</v>
      </c>
      <c r="D1072" s="12" t="s">
        <v>1266</v>
      </c>
      <c r="E1072" s="2" t="s">
        <v>25</v>
      </c>
      <c r="F1072" s="2" t="s">
        <v>26</v>
      </c>
      <c r="H1072" s="6" t="str">
        <f>VLOOKUP(F1072, ArtistCount!$A$1:$C$286, 3, FALSE)</f>
        <v>#N/A</v>
      </c>
    </row>
    <row r="1073" ht="22.5" customHeight="1">
      <c r="A1073" s="5" t="s">
        <v>1259</v>
      </c>
      <c r="B1073" s="2" t="s">
        <v>32</v>
      </c>
      <c r="C1073" s="6" t="str">
        <f t="shared" si="1"/>
        <v>Tilang_7</v>
      </c>
      <c r="D1073" s="12" t="s">
        <v>1267</v>
      </c>
      <c r="E1073" s="2" t="s">
        <v>25</v>
      </c>
      <c r="F1073" s="2" t="s">
        <v>1268</v>
      </c>
      <c r="H1073" s="6" t="str">
        <f>VLOOKUP(F1073, ArtistCount!$A$1:$C$286, 3, FALSE)</f>
        <v>#N/A</v>
      </c>
    </row>
    <row r="1074" ht="22.5" customHeight="1">
      <c r="A1074" s="5" t="s">
        <v>1259</v>
      </c>
      <c r="B1074" s="2" t="s">
        <v>43</v>
      </c>
      <c r="C1074" s="6" t="str">
        <f t="shared" si="1"/>
        <v>Tilang_8</v>
      </c>
      <c r="D1074" s="12" t="s">
        <v>1269</v>
      </c>
      <c r="E1074" s="2" t="s">
        <v>25</v>
      </c>
      <c r="F1074" s="2" t="s">
        <v>1270</v>
      </c>
      <c r="H1074" s="6" t="str">
        <f>VLOOKUP(F1074, ArtistCount!$A$1:$C$286, 3, FALSE)</f>
        <v>#N/A</v>
      </c>
    </row>
    <row r="1075" ht="22.5" customHeight="1">
      <c r="A1075" s="5" t="s">
        <v>1259</v>
      </c>
      <c r="B1075" s="2" t="s">
        <v>32</v>
      </c>
      <c r="C1075" s="6" t="str">
        <f t="shared" si="1"/>
        <v>Tilang_9</v>
      </c>
      <c r="D1075" s="12" t="s">
        <v>1271</v>
      </c>
      <c r="E1075" s="2" t="s">
        <v>25</v>
      </c>
      <c r="F1075" s="2" t="s">
        <v>70</v>
      </c>
      <c r="H1075" s="6" t="str">
        <f>VLOOKUP(F1075, ArtistCount!$A$1:$C$286, 3, FALSE)</f>
        <v>#N/A</v>
      </c>
    </row>
    <row r="1076" ht="22.5" customHeight="1">
      <c r="A1076" s="5" t="s">
        <v>1272</v>
      </c>
      <c r="B1076" s="2" t="s">
        <v>43</v>
      </c>
      <c r="C1076" s="6" t="str">
        <f t="shared" si="1"/>
        <v>Todi_1</v>
      </c>
      <c r="D1076" s="18"/>
      <c r="E1076" s="8" t="s">
        <v>25</v>
      </c>
      <c r="F1076" s="8" t="s">
        <v>26</v>
      </c>
      <c r="H1076" s="2" t="str">
        <f>VLOOKUP(F1076, ArtistCount!$A$1:$C$286, 3, FALSE)</f>
        <v>#N/A</v>
      </c>
      <c r="I1076" s="2" t="s">
        <v>27</v>
      </c>
    </row>
    <row r="1077" ht="22.5" customHeight="1">
      <c r="A1077" s="5" t="s">
        <v>1272</v>
      </c>
      <c r="B1077" s="2" t="s">
        <v>58</v>
      </c>
      <c r="C1077" s="6" t="str">
        <f t="shared" si="1"/>
        <v>Todi_2</v>
      </c>
      <c r="D1077" s="18"/>
      <c r="E1077" s="8" t="s">
        <v>25</v>
      </c>
      <c r="F1077" s="8" t="s">
        <v>66</v>
      </c>
      <c r="H1077" s="2" t="str">
        <f>VLOOKUP(F1077, ArtistCount!$A$1:$C$286, 3, FALSE)</f>
        <v>#N/A</v>
      </c>
      <c r="I1077" s="2" t="s">
        <v>27</v>
      </c>
    </row>
    <row r="1078" ht="22.5" customHeight="1">
      <c r="A1078" s="5" t="s">
        <v>1272</v>
      </c>
      <c r="B1078" s="2" t="s">
        <v>38</v>
      </c>
      <c r="C1078" s="6" t="str">
        <f t="shared" si="1"/>
        <v>Todi_3</v>
      </c>
      <c r="D1078" s="18"/>
      <c r="E1078" s="8" t="s">
        <v>25</v>
      </c>
      <c r="F1078" s="8" t="s">
        <v>142</v>
      </c>
      <c r="H1078" s="2" t="str">
        <f>VLOOKUP(F1078, ArtistCount!$A$1:$C$286, 3, FALSE)</f>
        <v>#N/A</v>
      </c>
      <c r="I1078" s="2" t="s">
        <v>27</v>
      </c>
    </row>
    <row r="1079" ht="22.5" customHeight="1">
      <c r="A1079" s="5" t="s">
        <v>1272</v>
      </c>
      <c r="B1079" s="2" t="s">
        <v>43</v>
      </c>
      <c r="C1079" s="6" t="str">
        <f t="shared" si="1"/>
        <v>Todi_4</v>
      </c>
      <c r="D1079" s="18"/>
      <c r="E1079" s="8" t="s">
        <v>25</v>
      </c>
      <c r="F1079" s="8" t="s">
        <v>849</v>
      </c>
      <c r="H1079" s="2" t="str">
        <f>VLOOKUP(F1079, ArtistCount!$A$1:$C$286, 3, FALSE)</f>
        <v>#N/A</v>
      </c>
      <c r="I1079" s="2" t="s">
        <v>27</v>
      </c>
    </row>
    <row r="1080" ht="22.5" customHeight="1">
      <c r="A1080" s="5" t="s">
        <v>1272</v>
      </c>
      <c r="B1080" s="2" t="s">
        <v>24</v>
      </c>
      <c r="C1080" s="6" t="str">
        <f t="shared" si="1"/>
        <v>Todi_5</v>
      </c>
      <c r="D1080" s="18"/>
      <c r="E1080" s="8" t="s">
        <v>25</v>
      </c>
      <c r="F1080" s="8" t="s">
        <v>69</v>
      </c>
      <c r="H1080" s="2" t="str">
        <f>VLOOKUP(F1080, ArtistCount!$A$1:$C$286, 3, FALSE)</f>
        <v>#N/A</v>
      </c>
      <c r="I1080" s="2" t="s">
        <v>27</v>
      </c>
    </row>
    <row r="1081" ht="22.5" customHeight="1">
      <c r="A1081" s="5" t="s">
        <v>1272</v>
      </c>
      <c r="B1081" s="2" t="s">
        <v>38</v>
      </c>
      <c r="C1081" s="6" t="str">
        <f t="shared" si="1"/>
        <v>Todi_6</v>
      </c>
      <c r="D1081" s="18"/>
      <c r="E1081" s="8" t="s">
        <v>25</v>
      </c>
      <c r="F1081" s="8" t="s">
        <v>75</v>
      </c>
      <c r="H1081" s="2" t="str">
        <f>VLOOKUP(F1081, ArtistCount!$A$1:$C$286, 3, FALSE)</f>
        <v>#N/A</v>
      </c>
      <c r="I1081" s="2" t="s">
        <v>27</v>
      </c>
    </row>
    <row r="1082" ht="22.5" customHeight="1">
      <c r="A1082" s="5" t="s">
        <v>1272</v>
      </c>
      <c r="B1082" s="2" t="s">
        <v>38</v>
      </c>
      <c r="C1082" s="6" t="str">
        <f t="shared" si="1"/>
        <v>Todi_7</v>
      </c>
      <c r="D1082" s="18"/>
      <c r="E1082" s="8" t="s">
        <v>25</v>
      </c>
      <c r="F1082" s="8" t="s">
        <v>64</v>
      </c>
      <c r="H1082" s="2" t="str">
        <f>VLOOKUP(F1082, ArtistCount!$A$1:$C$286, 3, FALSE)</f>
        <v>#N/A</v>
      </c>
      <c r="I1082" s="2" t="s">
        <v>27</v>
      </c>
    </row>
    <row r="1083" ht="22.5" customHeight="1">
      <c r="A1083" s="5" t="s">
        <v>1272</v>
      </c>
      <c r="B1083" s="2" t="s">
        <v>24</v>
      </c>
      <c r="C1083" s="6" t="str">
        <f t="shared" si="1"/>
        <v>Todi_8</v>
      </c>
      <c r="D1083" s="18"/>
      <c r="E1083" s="8" t="s">
        <v>25</v>
      </c>
      <c r="F1083" s="8" t="s">
        <v>56</v>
      </c>
      <c r="H1083" s="2" t="str">
        <f>VLOOKUP(F1083, ArtistCount!$A$1:$C$286, 3, FALSE)</f>
        <v>#N/A</v>
      </c>
      <c r="I1083" s="2" t="s">
        <v>27</v>
      </c>
    </row>
    <row r="1084" ht="22.5" customHeight="1">
      <c r="A1084" s="5" t="s">
        <v>1272</v>
      </c>
      <c r="B1084" s="2" t="s">
        <v>67</v>
      </c>
      <c r="C1084" s="6" t="str">
        <f t="shared" si="1"/>
        <v>Todi_9</v>
      </c>
      <c r="D1084" s="18"/>
      <c r="E1084" s="8" t="s">
        <v>25</v>
      </c>
      <c r="F1084" s="8" t="s">
        <v>68</v>
      </c>
      <c r="H1084" s="2" t="str">
        <f>VLOOKUP(F1084, ArtistCount!$A$1:$C$286, 3, FALSE)</f>
        <v>#N/A</v>
      </c>
      <c r="I1084" s="2" t="s">
        <v>27</v>
      </c>
    </row>
    <row r="1085" ht="22.5" customHeight="1">
      <c r="A1085" s="5" t="s">
        <v>1272</v>
      </c>
      <c r="B1085" s="2" t="s">
        <v>43</v>
      </c>
      <c r="C1085" s="6" t="str">
        <f t="shared" si="1"/>
        <v>Todi_10</v>
      </c>
      <c r="D1085" s="18"/>
      <c r="E1085" s="8" t="s">
        <v>25</v>
      </c>
      <c r="F1085" s="8" t="s">
        <v>70</v>
      </c>
      <c r="H1085" s="2" t="str">
        <f>VLOOKUP(F1085, ArtistCount!$A$1:$C$286, 3, FALSE)</f>
        <v>#N/A</v>
      </c>
      <c r="I1085" s="2" t="s">
        <v>27</v>
      </c>
    </row>
    <row r="1086" ht="22.5" customHeight="1">
      <c r="A1086" s="5" t="s">
        <v>1273</v>
      </c>
      <c r="B1086" s="2" t="s">
        <v>32</v>
      </c>
      <c r="C1086" s="6" t="str">
        <f t="shared" si="1"/>
        <v>Yaman Kalyan_1</v>
      </c>
      <c r="D1086" s="18"/>
      <c r="E1086" s="8" t="s">
        <v>25</v>
      </c>
      <c r="F1086" s="8" t="s">
        <v>26</v>
      </c>
      <c r="H1086" s="2" t="str">
        <f>VLOOKUP(F1086, ArtistCount!$A$1:$C$286, 3, FALSE)</f>
        <v>#N/A</v>
      </c>
      <c r="I1086" s="2" t="s">
        <v>27</v>
      </c>
    </row>
    <row r="1087" ht="22.5" customHeight="1">
      <c r="A1087" s="5" t="s">
        <v>1273</v>
      </c>
      <c r="B1087" s="2" t="s">
        <v>24</v>
      </c>
      <c r="C1087" s="6" t="str">
        <f t="shared" si="1"/>
        <v>Yaman Kalyan_2</v>
      </c>
      <c r="D1087" s="18"/>
      <c r="E1087" s="8" t="s">
        <v>25</v>
      </c>
      <c r="F1087" s="8" t="s">
        <v>26</v>
      </c>
      <c r="H1087" s="2" t="str">
        <f>VLOOKUP(F1087, ArtistCount!$A$1:$C$286, 3, FALSE)</f>
        <v>#N/A</v>
      </c>
      <c r="I1087" s="2" t="s">
        <v>27</v>
      </c>
    </row>
    <row r="1088" ht="22.5" customHeight="1">
      <c r="A1088" s="5" t="s">
        <v>1273</v>
      </c>
      <c r="B1088" s="2" t="s">
        <v>43</v>
      </c>
      <c r="C1088" s="6" t="str">
        <f t="shared" si="1"/>
        <v>Yaman Kalyan_3</v>
      </c>
      <c r="D1088" s="18"/>
      <c r="E1088" s="8" t="s">
        <v>25</v>
      </c>
      <c r="F1088" s="8" t="s">
        <v>262</v>
      </c>
      <c r="H1088" s="2" t="str">
        <f>VLOOKUP(F1088, ArtistCount!$A$1:$C$286, 3, FALSE)</f>
        <v>#N/A</v>
      </c>
      <c r="I1088" s="2" t="s">
        <v>27</v>
      </c>
    </row>
    <row r="1089" ht="22.5" customHeight="1">
      <c r="A1089" s="5" t="s">
        <v>1273</v>
      </c>
      <c r="B1089" s="2" t="s">
        <v>32</v>
      </c>
      <c r="C1089" s="6" t="str">
        <f t="shared" si="1"/>
        <v>Yaman Kalyan_4</v>
      </c>
      <c r="D1089" s="18"/>
      <c r="E1089" s="8" t="s">
        <v>25</v>
      </c>
      <c r="F1089" s="8" t="s">
        <v>31</v>
      </c>
      <c r="H1089" s="2" t="str">
        <f>VLOOKUP(F1089, ArtistCount!$A$1:$C$286, 3, FALSE)</f>
        <v>#N/A</v>
      </c>
      <c r="I1089" s="2" t="s">
        <v>27</v>
      </c>
    </row>
    <row r="1090" ht="22.5" customHeight="1">
      <c r="A1090" s="5" t="s">
        <v>1273</v>
      </c>
      <c r="B1090" s="2" t="s">
        <v>29</v>
      </c>
      <c r="C1090" s="6" t="str">
        <f t="shared" si="1"/>
        <v>Yaman Kalyan_5</v>
      </c>
      <c r="D1090" s="18"/>
      <c r="E1090" s="8" t="s">
        <v>25</v>
      </c>
      <c r="F1090" s="8" t="s">
        <v>142</v>
      </c>
      <c r="H1090" s="2" t="str">
        <f>VLOOKUP(F1090, ArtistCount!$A$1:$C$286, 3, FALSE)</f>
        <v>#N/A</v>
      </c>
      <c r="I1090" s="2" t="s">
        <v>27</v>
      </c>
    </row>
    <row r="1091" ht="22.5" customHeight="1">
      <c r="A1091" s="5" t="s">
        <v>1273</v>
      </c>
      <c r="B1091" s="2" t="s">
        <v>24</v>
      </c>
      <c r="C1091" s="6" t="str">
        <f t="shared" si="1"/>
        <v>Yaman Kalyan_6</v>
      </c>
      <c r="D1091" s="18"/>
      <c r="E1091" s="8" t="s">
        <v>25</v>
      </c>
      <c r="F1091" s="8" t="s">
        <v>76</v>
      </c>
      <c r="H1091" s="2" t="str">
        <f>VLOOKUP(F1091, ArtistCount!$A$1:$C$286, 3, FALSE)</f>
        <v>#N/A</v>
      </c>
      <c r="I1091" s="2" t="s">
        <v>27</v>
      </c>
    </row>
    <row r="1092" ht="22.5" customHeight="1">
      <c r="A1092" s="5" t="s">
        <v>1273</v>
      </c>
      <c r="B1092" s="2" t="s">
        <v>38</v>
      </c>
      <c r="C1092" s="6" t="str">
        <f t="shared" si="1"/>
        <v>Yaman Kalyan_7</v>
      </c>
      <c r="D1092" s="18"/>
      <c r="E1092" s="8" t="s">
        <v>25</v>
      </c>
      <c r="F1092" s="8" t="s">
        <v>64</v>
      </c>
      <c r="H1092" s="2" t="str">
        <f>VLOOKUP(F1092, ArtistCount!$A$1:$C$286, 3, FALSE)</f>
        <v>#N/A</v>
      </c>
      <c r="I1092" s="2" t="s">
        <v>27</v>
      </c>
    </row>
    <row r="1093" ht="22.5" customHeight="1">
      <c r="A1093" s="5" t="s">
        <v>1273</v>
      </c>
      <c r="B1093" s="2" t="s">
        <v>43</v>
      </c>
      <c r="C1093" s="6" t="str">
        <f t="shared" si="1"/>
        <v>Yaman Kalyan_8</v>
      </c>
      <c r="D1093" s="18"/>
      <c r="E1093" s="8" t="s">
        <v>25</v>
      </c>
      <c r="F1093" s="8" t="s">
        <v>70</v>
      </c>
      <c r="H1093" s="2" t="str">
        <f>VLOOKUP(F1093, ArtistCount!$A$1:$C$286, 3, FALSE)</f>
        <v>#N/A</v>
      </c>
      <c r="I1093" s="2" t="s">
        <v>27</v>
      </c>
    </row>
    <row r="1094" ht="22.5" customHeight="1">
      <c r="A1094" s="5" t="s">
        <v>1273</v>
      </c>
      <c r="B1094" s="2" t="s">
        <v>29</v>
      </c>
      <c r="C1094" s="6" t="str">
        <f t="shared" si="1"/>
        <v>Yaman Kalyan_9</v>
      </c>
      <c r="D1094" s="18"/>
      <c r="E1094" s="8" t="s">
        <v>25</v>
      </c>
      <c r="F1094" s="8" t="s">
        <v>71</v>
      </c>
      <c r="H1094" s="2" t="str">
        <f>VLOOKUP(F1094, ArtistCount!$A$1:$C$286, 3, FALSE)</f>
        <v>#N/A</v>
      </c>
      <c r="I1094" s="2" t="s">
        <v>27</v>
      </c>
    </row>
    <row r="1095" ht="22.5" customHeight="1">
      <c r="A1095" s="5" t="s">
        <v>1273</v>
      </c>
      <c r="B1095" s="2" t="s">
        <v>24</v>
      </c>
      <c r="C1095" s="6" t="str">
        <f t="shared" si="1"/>
        <v>Yaman Kalyan_10</v>
      </c>
      <c r="D1095" s="18"/>
      <c r="E1095" s="8" t="s">
        <v>25</v>
      </c>
      <c r="F1095" s="8" t="s">
        <v>37</v>
      </c>
      <c r="H1095" s="2" t="str">
        <f>VLOOKUP(F1095, ArtistCount!$A$1:$C$286, 3, FALSE)</f>
        <v>#N/A</v>
      </c>
      <c r="I1095" s="2" t="s">
        <v>27</v>
      </c>
    </row>
    <row r="1096" ht="22.5" customHeight="1">
      <c r="A1096" s="5" t="s">
        <v>1274</v>
      </c>
      <c r="B1096" s="2" t="s">
        <v>43</v>
      </c>
      <c r="C1096" s="6" t="str">
        <f t="shared" si="1"/>
        <v>Zila Kafi_1</v>
      </c>
      <c r="D1096" s="15" t="s">
        <v>1275</v>
      </c>
      <c r="E1096" s="2" t="s">
        <v>25</v>
      </c>
      <c r="F1096" s="2" t="s">
        <v>26</v>
      </c>
      <c r="H1096" s="6" t="str">
        <f>VLOOKUP(F1096, ArtistCount!$A$1:$C$286, 3, FALSE)</f>
        <v>#N/A</v>
      </c>
    </row>
  </sheetData>
  <dataValidations>
    <dataValidation type="list" allowBlank="1" sqref="E2:E1096">
      <formula1>InstrumentNames</formula1>
    </dataValidation>
    <dataValidation type="list" allowBlank="1" sqref="A2:A1096">
      <formula1>RagaNames</formula1>
    </dataValidation>
    <dataValidation type="list" allowBlank="1" sqref="F2:F1096">
      <formula1>ArtistNames</formula1>
    </dataValidation>
    <dataValidation allowBlank="1" showDropDown="1" sqref="D2:D1096"/>
    <dataValidation type="list" allowBlank="1" sqref="B2:B1096">
      <formula1>TonicNames</formula1>
    </dataValidation>
  </dataValidations>
  <hyperlinks>
    <hyperlink r:id="rId1" ref="D12"/>
    <hyperlink r:id="rId2" ref="D13"/>
    <hyperlink r:id="rId3" ref="D14"/>
    <hyperlink r:id="rId4" ref="D15"/>
    <hyperlink r:id="rId5" ref="D16"/>
    <hyperlink r:id="rId6" ref="D17"/>
    <hyperlink r:id="rId7" ref="D18"/>
    <hyperlink r:id="rId8" ref="D19"/>
    <hyperlink r:id="rId9" ref="D20"/>
    <hyperlink r:id="rId10" ref="D21"/>
    <hyperlink r:id="rId11" ref="D42"/>
    <hyperlink r:id="rId12" ref="D43"/>
    <hyperlink r:id="rId13" ref="D44"/>
    <hyperlink r:id="rId14" ref="D45"/>
    <hyperlink r:id="rId15" ref="D46"/>
    <hyperlink r:id="rId16" ref="D47"/>
    <hyperlink r:id="rId17" ref="D48"/>
    <hyperlink r:id="rId18" ref="D49"/>
    <hyperlink r:id="rId19" ref="D50"/>
    <hyperlink r:id="rId20" ref="D51"/>
    <hyperlink r:id="rId21" ref="D62"/>
    <hyperlink r:id="rId22" ref="D63"/>
    <hyperlink r:id="rId23" ref="D64"/>
    <hyperlink r:id="rId24" ref="D65"/>
    <hyperlink r:id="rId25" ref="D66"/>
    <hyperlink r:id="rId26" ref="D67"/>
    <hyperlink r:id="rId27" ref="D68"/>
    <hyperlink r:id="rId28" ref="D69"/>
    <hyperlink r:id="rId29" ref="D70"/>
    <hyperlink r:id="rId30" ref="D71"/>
    <hyperlink r:id="rId31" ref="D82"/>
    <hyperlink r:id="rId32" ref="D83"/>
    <hyperlink r:id="rId33" ref="D84"/>
    <hyperlink r:id="rId34" ref="D85"/>
    <hyperlink r:id="rId35" ref="D86"/>
    <hyperlink r:id="rId36" ref="D87"/>
    <hyperlink r:id="rId37" ref="D88"/>
    <hyperlink r:id="rId38" ref="D99"/>
    <hyperlink r:id="rId39" ref="D100"/>
    <hyperlink r:id="rId40" ref="D101"/>
    <hyperlink r:id="rId41" ref="D102"/>
    <hyperlink r:id="rId42" ref="D103"/>
    <hyperlink r:id="rId43" ref="D104"/>
    <hyperlink r:id="rId44" ref="D105"/>
    <hyperlink r:id="rId45" ref="D106"/>
    <hyperlink r:id="rId46" ref="D107"/>
    <hyperlink r:id="rId47" ref="D118"/>
    <hyperlink r:id="rId48" ref="D119"/>
    <hyperlink r:id="rId49" ref="D120"/>
    <hyperlink r:id="rId50" ref="D121"/>
    <hyperlink r:id="rId51" ref="D122"/>
    <hyperlink r:id="rId52" ref="D123"/>
    <hyperlink r:id="rId53" ref="D124"/>
    <hyperlink r:id="rId54" ref="D125"/>
    <hyperlink r:id="rId55" ref="D126"/>
    <hyperlink r:id="rId56" ref="D127"/>
    <hyperlink r:id="rId57" ref="D128"/>
    <hyperlink r:id="rId58" ref="D129"/>
    <hyperlink r:id="rId59" ref="D130"/>
    <hyperlink r:id="rId60" ref="D131"/>
    <hyperlink r:id="rId61" ref="D132"/>
    <hyperlink r:id="rId62" ref="D133"/>
    <hyperlink r:id="rId63" ref="D134"/>
    <hyperlink r:id="rId64" ref="D135"/>
    <hyperlink r:id="rId65" ref="D136"/>
    <hyperlink r:id="rId66" ref="D137"/>
    <hyperlink r:id="rId67" ref="D138"/>
    <hyperlink r:id="rId68" ref="D139"/>
    <hyperlink r:id="rId69" ref="D140"/>
    <hyperlink r:id="rId70" ref="D141"/>
    <hyperlink r:id="rId71" ref="D142"/>
    <hyperlink r:id="rId72" ref="D143"/>
    <hyperlink r:id="rId73" ref="D144"/>
    <hyperlink r:id="rId74" ref="D145"/>
    <hyperlink r:id="rId75" ref="D146"/>
    <hyperlink r:id="rId76" ref="D147"/>
    <hyperlink r:id="rId77" ref="D148"/>
    <hyperlink r:id="rId78" ref="D149"/>
    <hyperlink r:id="rId79" ref="D150"/>
    <hyperlink r:id="rId80" ref="D151"/>
    <hyperlink r:id="rId81" ref="D152"/>
    <hyperlink r:id="rId82" ref="D153"/>
    <hyperlink r:id="rId83" ref="D154"/>
    <hyperlink r:id="rId84" ref="D155"/>
    <hyperlink r:id="rId85" ref="D156"/>
    <hyperlink r:id="rId86" ref="D157"/>
    <hyperlink r:id="rId87" ref="D158"/>
    <hyperlink r:id="rId88" ref="D169"/>
    <hyperlink r:id="rId89" ref="D170"/>
    <hyperlink r:id="rId90" ref="D171"/>
    <hyperlink r:id="rId91" ref="D172"/>
    <hyperlink r:id="rId92" ref="D173"/>
    <hyperlink r:id="rId93" ref="D174"/>
    <hyperlink r:id="rId94" ref="D175"/>
    <hyperlink r:id="rId95" ref="D176"/>
    <hyperlink r:id="rId96" ref="D177"/>
    <hyperlink r:id="rId97" ref="D188"/>
    <hyperlink r:id="rId98" ref="D189"/>
    <hyperlink r:id="rId99" ref="D190"/>
    <hyperlink r:id="rId100" ref="D191"/>
    <hyperlink r:id="rId101" ref="D192"/>
    <hyperlink r:id="rId102" ref="D193"/>
    <hyperlink r:id="rId103" ref="D194"/>
    <hyperlink r:id="rId104" ref="D195"/>
    <hyperlink r:id="rId105" ref="D196"/>
    <hyperlink r:id="rId106" ref="D197"/>
    <hyperlink r:id="rId107" ref="D198"/>
    <hyperlink r:id="rId108" ref="D199"/>
    <hyperlink r:id="rId109" ref="D200"/>
    <hyperlink r:id="rId110" ref="D201"/>
    <hyperlink r:id="rId111" ref="D202"/>
    <hyperlink r:id="rId112" ref="D203"/>
    <hyperlink r:id="rId113" ref="D204"/>
    <hyperlink r:id="rId114" ref="D215"/>
    <hyperlink r:id="rId115" ref="D216"/>
    <hyperlink r:id="rId116" ref="D217"/>
    <hyperlink r:id="rId117" ref="D218"/>
    <hyperlink r:id="rId118" ref="D219"/>
    <hyperlink r:id="rId119" ref="D220"/>
    <hyperlink r:id="rId120" ref="D221"/>
    <hyperlink r:id="rId121" ref="D222"/>
    <hyperlink r:id="rId122" ref="D223"/>
    <hyperlink r:id="rId123" ref="D224"/>
    <hyperlink r:id="rId124" ref="D225"/>
    <hyperlink r:id="rId125" ref="D226"/>
    <hyperlink r:id="rId126" ref="D227"/>
    <hyperlink r:id="rId127" ref="D228"/>
    <hyperlink r:id="rId128" ref="D229"/>
    <hyperlink r:id="rId129" ref="D230"/>
    <hyperlink r:id="rId130" ref="D231"/>
    <hyperlink r:id="rId131" ref="D232"/>
    <hyperlink r:id="rId132" ref="D233"/>
    <hyperlink r:id="rId133" ref="D234"/>
    <hyperlink r:id="rId134" ref="D235"/>
    <hyperlink r:id="rId135" ref="D236"/>
    <hyperlink r:id="rId136" ref="D237"/>
    <hyperlink r:id="rId137" ref="D238"/>
    <hyperlink r:id="rId138" ref="D239"/>
    <hyperlink r:id="rId139" ref="D240"/>
    <hyperlink r:id="rId140" ref="D241"/>
    <hyperlink r:id="rId141" ref="D242"/>
    <hyperlink r:id="rId142" ref="D243"/>
    <hyperlink r:id="rId143" ref="D244"/>
    <hyperlink r:id="rId144" ref="D245"/>
    <hyperlink r:id="rId145" ref="D246"/>
    <hyperlink r:id="rId146" ref="D247"/>
    <hyperlink r:id="rId147" ref="D248"/>
    <hyperlink r:id="rId148" ref="D249"/>
    <hyperlink r:id="rId149" ref="D250"/>
    <hyperlink r:id="rId150" ref="D251"/>
    <hyperlink r:id="rId151" ref="D252"/>
    <hyperlink r:id="rId152" ref="D253"/>
    <hyperlink r:id="rId153" ref="D254"/>
    <hyperlink r:id="rId154" ref="D255"/>
    <hyperlink r:id="rId155" ref="D256"/>
    <hyperlink r:id="rId156" ref="D257"/>
    <hyperlink r:id="rId157" ref="D258"/>
    <hyperlink r:id="rId158" ref="D259"/>
    <hyperlink r:id="rId159" ref="D260"/>
    <hyperlink r:id="rId160" ref="D261"/>
    <hyperlink r:id="rId161" ref="D262"/>
    <hyperlink r:id="rId162" ref="D263"/>
    <hyperlink r:id="rId163" ref="D264"/>
    <hyperlink r:id="rId164" ref="D265"/>
    <hyperlink r:id="rId165" ref="D266"/>
    <hyperlink r:id="rId166" ref="D267"/>
    <hyperlink r:id="rId167" ref="D268"/>
    <hyperlink r:id="rId168" ref="D269"/>
    <hyperlink r:id="rId169" ref="D270"/>
    <hyperlink r:id="rId170" ref="D291"/>
    <hyperlink r:id="rId171" ref="D292"/>
    <hyperlink r:id="rId172" ref="D293"/>
    <hyperlink r:id="rId173" ref="D294"/>
    <hyperlink r:id="rId174" ref="D295"/>
    <hyperlink r:id="rId175" ref="D296"/>
    <hyperlink r:id="rId176" ref="D297"/>
    <hyperlink r:id="rId177" ref="D298"/>
    <hyperlink r:id="rId178" ref="D299"/>
    <hyperlink r:id="rId179" ref="D300"/>
    <hyperlink r:id="rId180" ref="D301"/>
    <hyperlink r:id="rId181" ref="D302"/>
    <hyperlink r:id="rId182" ref="D303"/>
    <hyperlink r:id="rId183" ref="D304"/>
    <hyperlink r:id="rId184" ref="D305"/>
    <hyperlink r:id="rId185" ref="D306"/>
    <hyperlink r:id="rId186" ref="D307"/>
    <hyperlink r:id="rId187" ref="D308"/>
    <hyperlink r:id="rId188" ref="D309"/>
    <hyperlink r:id="rId189" ref="D310"/>
    <hyperlink r:id="rId190" ref="D311"/>
    <hyperlink r:id="rId191" ref="D312"/>
    <hyperlink r:id="rId192" ref="D313"/>
    <hyperlink r:id="rId193" ref="D314"/>
    <hyperlink r:id="rId194" ref="D315"/>
    <hyperlink r:id="rId195" ref="D316"/>
    <hyperlink r:id="rId196" ref="D317"/>
    <hyperlink r:id="rId197" ref="D318"/>
    <hyperlink r:id="rId198" ref="D319"/>
    <hyperlink r:id="rId199" ref="D320"/>
    <hyperlink r:id="rId200" ref="D321"/>
    <hyperlink r:id="rId201" ref="D322"/>
    <hyperlink r:id="rId202" ref="D323"/>
    <hyperlink r:id="rId203" ref="D324"/>
    <hyperlink r:id="rId204" ref="D325"/>
    <hyperlink r:id="rId205" ref="D326"/>
    <hyperlink r:id="rId206" ref="D327"/>
    <hyperlink r:id="rId207" ref="D328"/>
    <hyperlink r:id="rId208" ref="D329"/>
    <hyperlink r:id="rId209" ref="D330"/>
    <hyperlink r:id="rId210" ref="D331"/>
    <hyperlink r:id="rId211" ref="D332"/>
    <hyperlink r:id="rId212" ref="D333"/>
    <hyperlink r:id="rId213" ref="D334"/>
    <hyperlink r:id="rId214" ref="D335"/>
    <hyperlink r:id="rId215" ref="D336"/>
    <hyperlink r:id="rId216" ref="D337"/>
    <hyperlink r:id="rId217" ref="D338"/>
    <hyperlink r:id="rId218" ref="D339"/>
    <hyperlink r:id="rId219" ref="D340"/>
    <hyperlink r:id="rId220" ref="D341"/>
    <hyperlink r:id="rId221" ref="D342"/>
    <hyperlink r:id="rId222" ref="D343"/>
    <hyperlink r:id="rId223" ref="D344"/>
    <hyperlink r:id="rId224" ref="D345"/>
    <hyperlink r:id="rId225" ref="D346"/>
    <hyperlink r:id="rId226" ref="D347"/>
    <hyperlink r:id="rId227" ref="D358"/>
    <hyperlink r:id="rId228" ref="D359"/>
    <hyperlink r:id="rId229" ref="D360"/>
    <hyperlink r:id="rId230" ref="D361"/>
    <hyperlink r:id="rId231" ref="D362"/>
    <hyperlink r:id="rId232" ref="D363"/>
    <hyperlink r:id="rId233" ref="D364"/>
    <hyperlink r:id="rId234" ref="D365"/>
    <hyperlink r:id="rId235" ref="D366"/>
    <hyperlink r:id="rId236" ref="D367"/>
    <hyperlink r:id="rId237" ref="D368"/>
    <hyperlink r:id="rId238" ref="D369"/>
    <hyperlink r:id="rId239" ref="D370"/>
    <hyperlink r:id="rId240" ref="D371"/>
    <hyperlink r:id="rId241" ref="D372"/>
    <hyperlink r:id="rId242" ref="D373"/>
    <hyperlink r:id="rId243" ref="D374"/>
    <hyperlink r:id="rId244" ref="D375"/>
    <hyperlink r:id="rId245" ref="D376"/>
    <hyperlink r:id="rId246" ref="D377"/>
    <hyperlink r:id="rId247" ref="D378"/>
    <hyperlink r:id="rId248" ref="D379"/>
    <hyperlink r:id="rId249" ref="D380"/>
    <hyperlink r:id="rId250" ref="D381"/>
    <hyperlink r:id="rId251" ref="I381"/>
    <hyperlink r:id="rId252" ref="D382"/>
    <hyperlink r:id="rId253" ref="D383"/>
    <hyperlink r:id="rId254" ref="D384"/>
    <hyperlink r:id="rId255" ref="D385"/>
    <hyperlink r:id="rId256" ref="D386"/>
    <hyperlink r:id="rId257" ref="D387"/>
    <hyperlink r:id="rId258" ref="D388"/>
    <hyperlink r:id="rId259" ref="D389"/>
    <hyperlink r:id="rId260" ref="D390"/>
    <hyperlink r:id="rId261" ref="D391"/>
    <hyperlink r:id="rId262" ref="D392"/>
    <hyperlink r:id="rId263" ref="D393"/>
    <hyperlink r:id="rId264" ref="D394"/>
    <hyperlink r:id="rId265" ref="D395"/>
    <hyperlink r:id="rId266" ref="D396"/>
    <hyperlink r:id="rId267" ref="D397"/>
    <hyperlink r:id="rId268" ref="D398"/>
    <hyperlink r:id="rId269" ref="D399"/>
    <hyperlink r:id="rId270" ref="D400"/>
    <hyperlink r:id="rId271" ref="D401"/>
    <hyperlink r:id="rId272" ref="D402"/>
    <hyperlink r:id="rId273" ref="D403"/>
    <hyperlink r:id="rId274" ref="D404"/>
    <hyperlink r:id="rId275" ref="D405"/>
    <hyperlink r:id="rId276" ref="D406"/>
    <hyperlink r:id="rId277" ref="D407"/>
    <hyperlink r:id="rId278" ref="D408"/>
    <hyperlink r:id="rId279" ref="D409"/>
    <hyperlink r:id="rId280" ref="D410"/>
    <hyperlink r:id="rId281" ref="D411"/>
    <hyperlink r:id="rId282" ref="D412"/>
    <hyperlink r:id="rId283" ref="D413"/>
    <hyperlink r:id="rId284" ref="D414"/>
    <hyperlink r:id="rId285" ref="D415"/>
    <hyperlink r:id="rId286" ref="D416"/>
    <hyperlink r:id="rId287" ref="D417"/>
    <hyperlink r:id="rId288" ref="D418"/>
    <hyperlink r:id="rId289" ref="D419"/>
    <hyperlink r:id="rId290" ref="D420"/>
    <hyperlink r:id="rId291" ref="D421"/>
    <hyperlink r:id="rId292" ref="D422"/>
    <hyperlink r:id="rId293" ref="D423"/>
    <hyperlink r:id="rId294" ref="D424"/>
    <hyperlink r:id="rId295" ref="D425"/>
    <hyperlink r:id="rId296" ref="D426"/>
    <hyperlink r:id="rId297" ref="D427"/>
    <hyperlink r:id="rId298" ref="D428"/>
    <hyperlink r:id="rId299" ref="D429"/>
    <hyperlink r:id="rId300" ref="D430"/>
    <hyperlink r:id="rId301" ref="D441"/>
    <hyperlink r:id="rId302" ref="D442"/>
    <hyperlink r:id="rId303" ref="D443"/>
    <hyperlink r:id="rId304" ref="D444"/>
    <hyperlink r:id="rId305" ref="D445"/>
    <hyperlink r:id="rId306" ref="D446"/>
    <hyperlink r:id="rId307" ref="D447"/>
    <hyperlink r:id="rId308" ref="D448"/>
    <hyperlink r:id="rId309" ref="D449"/>
    <hyperlink r:id="rId310" ref="D450"/>
    <hyperlink r:id="rId311" ref="D451"/>
    <hyperlink r:id="rId312" ref="D452"/>
    <hyperlink r:id="rId313" ref="D453"/>
    <hyperlink r:id="rId314" ref="D454"/>
    <hyperlink r:id="rId315" ref="D455"/>
    <hyperlink r:id="rId316" ref="D456"/>
    <hyperlink r:id="rId317" ref="D457"/>
    <hyperlink r:id="rId318" ref="D458"/>
    <hyperlink r:id="rId319" ref="D459"/>
    <hyperlink r:id="rId320" ref="D460"/>
    <hyperlink r:id="rId321" ref="D461"/>
    <hyperlink r:id="rId322" ref="D462"/>
    <hyperlink r:id="rId323" ref="D463"/>
    <hyperlink r:id="rId324" ref="D464"/>
    <hyperlink r:id="rId325" ref="D465"/>
    <hyperlink r:id="rId326" ref="D466"/>
    <hyperlink r:id="rId327" ref="D467"/>
    <hyperlink r:id="rId328" ref="D468"/>
    <hyperlink r:id="rId329" ref="D469"/>
    <hyperlink r:id="rId330" ref="D470"/>
    <hyperlink r:id="rId331" ref="D471"/>
    <hyperlink r:id="rId332" ref="D472"/>
    <hyperlink r:id="rId333" ref="D473"/>
    <hyperlink r:id="rId334" ref="D474"/>
    <hyperlink r:id="rId335" ref="D475"/>
    <hyperlink r:id="rId336" ref="D476"/>
    <hyperlink r:id="rId337" ref="D477"/>
    <hyperlink r:id="rId338" ref="D478"/>
    <hyperlink r:id="rId339" ref="D479"/>
    <hyperlink r:id="rId340" ref="D480"/>
    <hyperlink r:id="rId341" ref="D481"/>
    <hyperlink r:id="rId342" ref="D482"/>
    <hyperlink r:id="rId343" ref="D483"/>
    <hyperlink r:id="rId344" ref="D484"/>
    <hyperlink r:id="rId345" ref="D485"/>
    <hyperlink r:id="rId346" ref="D486"/>
    <hyperlink r:id="rId347" ref="D487"/>
    <hyperlink r:id="rId348" ref="D488"/>
    <hyperlink r:id="rId349" ref="D489"/>
    <hyperlink r:id="rId350" ref="D490"/>
    <hyperlink r:id="rId351" ref="D491"/>
    <hyperlink r:id="rId352" ref="D492"/>
    <hyperlink r:id="rId353" ref="D493"/>
    <hyperlink r:id="rId354" ref="D494"/>
    <hyperlink r:id="rId355" ref="D495"/>
    <hyperlink r:id="rId356" ref="D496"/>
    <hyperlink r:id="rId357" ref="D497"/>
    <hyperlink r:id="rId358" ref="D498"/>
    <hyperlink r:id="rId359" ref="D499"/>
    <hyperlink r:id="rId360" ref="D500"/>
    <hyperlink r:id="rId361" ref="D501"/>
    <hyperlink r:id="rId362" ref="D502"/>
    <hyperlink r:id="rId363" ref="D503"/>
    <hyperlink r:id="rId364" ref="D504"/>
    <hyperlink r:id="rId365" ref="D505"/>
    <hyperlink r:id="rId366" ref="D506"/>
    <hyperlink r:id="rId367" ref="D507"/>
    <hyperlink r:id="rId368" ref="D508"/>
    <hyperlink r:id="rId369" ref="D509"/>
    <hyperlink r:id="rId370" ref="D510"/>
    <hyperlink r:id="rId371" ref="D511"/>
    <hyperlink r:id="rId372" ref="D512"/>
    <hyperlink r:id="rId373" ref="D513"/>
    <hyperlink r:id="rId374" ref="D514"/>
    <hyperlink r:id="rId375" ref="D515"/>
    <hyperlink r:id="rId376" ref="D516"/>
    <hyperlink r:id="rId377" ref="D517"/>
    <hyperlink r:id="rId378" ref="D518"/>
    <hyperlink r:id="rId379" ref="D519"/>
    <hyperlink r:id="rId380" ref="D520"/>
    <hyperlink r:id="rId381" ref="D521"/>
    <hyperlink r:id="rId382" ref="D522"/>
    <hyperlink r:id="rId383" ref="D523"/>
    <hyperlink r:id="rId384" ref="D524"/>
    <hyperlink r:id="rId385" ref="D525"/>
    <hyperlink r:id="rId386" ref="D536"/>
    <hyperlink r:id="rId387" ref="D537"/>
    <hyperlink r:id="rId388" ref="D538"/>
    <hyperlink r:id="rId389" ref="D539"/>
    <hyperlink r:id="rId390" ref="D540"/>
    <hyperlink r:id="rId391" ref="D541"/>
    <hyperlink r:id="rId392" ref="D542"/>
    <hyperlink r:id="rId393" ref="D543"/>
    <hyperlink r:id="rId394" ref="D544"/>
    <hyperlink r:id="rId395" ref="D545"/>
    <hyperlink r:id="rId396" ref="D546"/>
    <hyperlink r:id="rId397" ref="D547"/>
    <hyperlink r:id="rId398" ref="D548"/>
    <hyperlink r:id="rId399" ref="D549"/>
    <hyperlink r:id="rId400" ref="D550"/>
    <hyperlink r:id="rId401" ref="D551"/>
    <hyperlink r:id="rId402" ref="D552"/>
    <hyperlink r:id="rId403" ref="D553"/>
    <hyperlink r:id="rId404" ref="D554"/>
    <hyperlink r:id="rId405" ref="D555"/>
    <hyperlink r:id="rId406" ref="D556"/>
    <hyperlink r:id="rId407" ref="D557"/>
    <hyperlink r:id="rId408" ref="D558"/>
    <hyperlink r:id="rId409" ref="D559"/>
    <hyperlink r:id="rId410" ref="D560"/>
    <hyperlink r:id="rId411" ref="D561"/>
    <hyperlink r:id="rId412" ref="D562"/>
    <hyperlink r:id="rId413" ref="D563"/>
    <hyperlink r:id="rId414" ref="D564"/>
    <hyperlink r:id="rId415" ref="D565"/>
    <hyperlink r:id="rId416" ref="D566"/>
    <hyperlink r:id="rId417" ref="D567"/>
    <hyperlink r:id="rId418" ref="D568"/>
    <hyperlink r:id="rId419" ref="D569"/>
    <hyperlink r:id="rId420" ref="D570"/>
    <hyperlink r:id="rId421" ref="D571"/>
    <hyperlink r:id="rId422" ref="D572"/>
    <hyperlink r:id="rId423" ref="D573"/>
    <hyperlink r:id="rId424" ref="D574"/>
    <hyperlink r:id="rId425" ref="D575"/>
    <hyperlink r:id="rId426" ref="D576"/>
    <hyperlink r:id="rId427" ref="D577"/>
    <hyperlink r:id="rId428" ref="D578"/>
    <hyperlink r:id="rId429" ref="D579"/>
    <hyperlink r:id="rId430" ref="D580"/>
    <hyperlink r:id="rId431" ref="D581"/>
    <hyperlink r:id="rId432" ref="D582"/>
    <hyperlink r:id="rId433" ref="D583"/>
    <hyperlink r:id="rId434" ref="D584"/>
    <hyperlink r:id="rId435" ref="D585"/>
    <hyperlink r:id="rId436" ref="D606"/>
    <hyperlink r:id="rId437" ref="D607"/>
    <hyperlink r:id="rId438" ref="D608"/>
    <hyperlink r:id="rId439" ref="D609"/>
    <hyperlink r:id="rId440" ref="D610"/>
    <hyperlink r:id="rId441" ref="D611"/>
    <hyperlink r:id="rId442" ref="D612"/>
    <hyperlink r:id="rId443" ref="D613"/>
    <hyperlink r:id="rId444" ref="D614"/>
    <hyperlink r:id="rId445" ref="D615"/>
    <hyperlink r:id="rId446" ref="D616"/>
    <hyperlink r:id="rId447" ref="D617"/>
    <hyperlink r:id="rId448" ref="D618"/>
    <hyperlink r:id="rId449" ref="D619"/>
    <hyperlink r:id="rId450" ref="D620"/>
    <hyperlink r:id="rId451" ref="D621"/>
    <hyperlink r:id="rId452" ref="D622"/>
    <hyperlink r:id="rId453" ref="D623"/>
    <hyperlink r:id="rId454" ref="D634"/>
    <hyperlink r:id="rId455" ref="D635"/>
    <hyperlink r:id="rId456" ref="D636"/>
    <hyperlink r:id="rId457" ref="D637"/>
    <hyperlink r:id="rId458" ref="D638"/>
    <hyperlink r:id="rId459" ref="D639"/>
    <hyperlink r:id="rId460" ref="D640"/>
    <hyperlink r:id="rId461" ref="D641"/>
    <hyperlink r:id="rId462" ref="D642"/>
    <hyperlink r:id="rId463" ref="D653"/>
    <hyperlink r:id="rId464" ref="D654"/>
    <hyperlink r:id="rId465" ref="D655"/>
    <hyperlink r:id="rId466" ref="D656"/>
    <hyperlink r:id="rId467" ref="D657"/>
    <hyperlink r:id="rId468" ref="D658"/>
    <hyperlink r:id="rId469" ref="D659"/>
    <hyperlink r:id="rId470" ref="D660"/>
    <hyperlink r:id="rId471" ref="D661"/>
    <hyperlink r:id="rId472" ref="D662"/>
    <hyperlink r:id="rId473" ref="D663"/>
    <hyperlink r:id="rId474" ref="D664"/>
    <hyperlink r:id="rId475" ref="D665"/>
    <hyperlink r:id="rId476" ref="D666"/>
    <hyperlink r:id="rId477" ref="D667"/>
    <hyperlink r:id="rId478" ref="D668"/>
    <hyperlink r:id="rId479" ref="D669"/>
    <hyperlink r:id="rId480" ref="D670"/>
    <hyperlink r:id="rId481" ref="D671"/>
    <hyperlink r:id="rId482" ref="D682"/>
    <hyperlink r:id="rId483" ref="D683"/>
    <hyperlink r:id="rId484" ref="D684"/>
    <hyperlink r:id="rId485" ref="D685"/>
    <hyperlink r:id="rId486" ref="D686"/>
    <hyperlink r:id="rId487" ref="D687"/>
    <hyperlink r:id="rId488" ref="D688"/>
    <hyperlink r:id="rId489" ref="D689"/>
    <hyperlink r:id="rId490" ref="D690"/>
    <hyperlink r:id="rId491" ref="D701"/>
    <hyperlink r:id="rId492" ref="D702"/>
    <hyperlink r:id="rId493" ref="D703"/>
    <hyperlink r:id="rId494" ref="D704"/>
    <hyperlink r:id="rId495" ref="D705"/>
    <hyperlink r:id="rId496" ref="D706"/>
    <hyperlink r:id="rId497" ref="D707"/>
    <hyperlink r:id="rId498" ref="D708"/>
    <hyperlink r:id="rId499" ref="D709"/>
    <hyperlink r:id="rId500" ref="D710"/>
    <hyperlink r:id="rId501" ref="D711"/>
    <hyperlink r:id="rId502" ref="D712"/>
    <hyperlink r:id="rId503" ref="D713"/>
    <hyperlink r:id="rId504" ref="D714"/>
    <hyperlink r:id="rId505" ref="D715"/>
    <hyperlink r:id="rId506" ref="D716"/>
    <hyperlink r:id="rId507" ref="D717"/>
    <hyperlink r:id="rId508" ref="D718"/>
    <hyperlink r:id="rId509" ref="D719"/>
    <hyperlink r:id="rId510" ref="D740"/>
    <hyperlink r:id="rId511" ref="D741"/>
    <hyperlink r:id="rId512" ref="D742"/>
    <hyperlink r:id="rId513" ref="D743"/>
    <hyperlink r:id="rId514" ref="D744"/>
    <hyperlink r:id="rId515" ref="D745"/>
    <hyperlink r:id="rId516" ref="D746"/>
    <hyperlink r:id="rId517" ref="D747"/>
    <hyperlink r:id="rId518" ref="D748"/>
    <hyperlink r:id="rId519" ref="D749"/>
    <hyperlink r:id="rId520" ref="D750"/>
    <hyperlink r:id="rId521" ref="D751"/>
    <hyperlink r:id="rId522" ref="D752"/>
    <hyperlink r:id="rId523" ref="D753"/>
    <hyperlink r:id="rId524" ref="D754"/>
    <hyperlink r:id="rId525" ref="D755"/>
    <hyperlink r:id="rId526" ref="D766"/>
    <hyperlink r:id="rId527" ref="D767"/>
    <hyperlink r:id="rId528" ref="D768"/>
    <hyperlink r:id="rId529" ref="D769"/>
    <hyperlink r:id="rId530" ref="D770"/>
    <hyperlink r:id="rId531" ref="D771"/>
    <hyperlink r:id="rId532" ref="D772"/>
    <hyperlink r:id="rId533" ref="D773"/>
    <hyperlink r:id="rId534" ref="D774"/>
    <hyperlink r:id="rId535" ref="D775"/>
    <hyperlink r:id="rId536" ref="D776"/>
    <hyperlink r:id="rId537" ref="D777"/>
    <hyperlink r:id="rId538" ref="D778"/>
    <hyperlink r:id="rId539" ref="D779"/>
    <hyperlink r:id="rId540" ref="D780"/>
    <hyperlink r:id="rId541" ref="D781"/>
    <hyperlink r:id="rId542" ref="D782"/>
    <hyperlink r:id="rId543" ref="D783"/>
    <hyperlink r:id="rId544" ref="D784"/>
    <hyperlink r:id="rId545" ref="D785"/>
    <hyperlink r:id="rId546" ref="D786"/>
    <hyperlink r:id="rId547" ref="D787"/>
    <hyperlink r:id="rId548" ref="D788"/>
    <hyperlink r:id="rId549" ref="D789"/>
    <hyperlink r:id="rId550" ref="D790"/>
    <hyperlink r:id="rId551" ref="D791"/>
    <hyperlink r:id="rId552" ref="D792"/>
    <hyperlink r:id="rId553" ref="D793"/>
    <hyperlink r:id="rId554" ref="D794"/>
    <hyperlink r:id="rId555" ref="D795"/>
    <hyperlink r:id="rId556" ref="D796"/>
    <hyperlink r:id="rId557" ref="D797"/>
    <hyperlink r:id="rId558" ref="D798"/>
    <hyperlink r:id="rId559" ref="D799"/>
    <hyperlink r:id="rId560" ref="D800"/>
    <hyperlink r:id="rId561" ref="D801"/>
    <hyperlink r:id="rId562" ref="D802"/>
    <hyperlink r:id="rId563" ref="D803"/>
    <hyperlink r:id="rId564" ref="D804"/>
    <hyperlink r:id="rId565" ref="D805"/>
    <hyperlink r:id="rId566" ref="D806"/>
    <hyperlink r:id="rId567" ref="D807"/>
    <hyperlink r:id="rId568" ref="D808"/>
    <hyperlink r:id="rId569" ref="D809"/>
    <hyperlink r:id="rId570" ref="D810"/>
    <hyperlink r:id="rId571" ref="D811"/>
    <hyperlink r:id="rId572" ref="D812"/>
    <hyperlink r:id="rId573" ref="D813"/>
    <hyperlink r:id="rId574" ref="D814"/>
    <hyperlink r:id="rId575" ref="D815"/>
    <hyperlink r:id="rId576" ref="D816"/>
    <hyperlink r:id="rId577" ref="D817"/>
    <hyperlink r:id="rId578" ref="D818"/>
    <hyperlink r:id="rId579" ref="D819"/>
    <hyperlink r:id="rId580" ref="D820"/>
    <hyperlink r:id="rId581" ref="D821"/>
    <hyperlink r:id="rId582" ref="D822"/>
    <hyperlink r:id="rId583" ref="D823"/>
    <hyperlink r:id="rId584" ref="D824"/>
    <hyperlink r:id="rId585" ref="D825"/>
    <hyperlink r:id="rId586" ref="D826"/>
    <hyperlink r:id="rId587" ref="D827"/>
    <hyperlink r:id="rId588" ref="D828"/>
    <hyperlink r:id="rId589" ref="D829"/>
    <hyperlink r:id="rId590" ref="D830"/>
    <hyperlink r:id="rId591" ref="D831"/>
    <hyperlink r:id="rId592" ref="D832"/>
    <hyperlink r:id="rId593" ref="D833"/>
    <hyperlink r:id="rId594" ref="D834"/>
    <hyperlink r:id="rId595" ref="D835"/>
    <hyperlink r:id="rId596" ref="D836"/>
    <hyperlink r:id="rId597" ref="D837"/>
    <hyperlink r:id="rId598" ref="D838"/>
    <hyperlink r:id="rId599" ref="D839"/>
    <hyperlink r:id="rId600" ref="D840"/>
    <hyperlink r:id="rId601" ref="D841"/>
    <hyperlink r:id="rId602" ref="D842"/>
    <hyperlink r:id="rId603" ref="D843"/>
    <hyperlink r:id="rId604" ref="D844"/>
    <hyperlink r:id="rId605" ref="D845"/>
    <hyperlink r:id="rId606" ref="D846"/>
    <hyperlink r:id="rId607" ref="D847"/>
    <hyperlink r:id="rId608" ref="D848"/>
    <hyperlink r:id="rId609" ref="D849"/>
    <hyperlink r:id="rId610" ref="D850"/>
    <hyperlink r:id="rId611" ref="D851"/>
    <hyperlink r:id="rId612" ref="D852"/>
    <hyperlink r:id="rId613" ref="D853"/>
    <hyperlink r:id="rId614" ref="D854"/>
    <hyperlink r:id="rId615" ref="D855"/>
    <hyperlink r:id="rId616" ref="D856"/>
    <hyperlink r:id="rId617" ref="D857"/>
    <hyperlink r:id="rId618" ref="D858"/>
    <hyperlink r:id="rId619" ref="D859"/>
    <hyperlink r:id="rId620" ref="D860"/>
    <hyperlink r:id="rId621" ref="D861"/>
    <hyperlink r:id="rId622" ref="D862"/>
    <hyperlink r:id="rId623" ref="D863"/>
    <hyperlink r:id="rId624" ref="D864"/>
    <hyperlink r:id="rId625" ref="D865"/>
    <hyperlink r:id="rId626" ref="D866"/>
    <hyperlink r:id="rId627" ref="D867"/>
    <hyperlink r:id="rId628" ref="D868"/>
    <hyperlink r:id="rId629" ref="D879"/>
    <hyperlink r:id="rId630" ref="D880"/>
    <hyperlink r:id="rId631" ref="D881"/>
    <hyperlink r:id="rId632" ref="D882"/>
    <hyperlink r:id="rId633" ref="D883"/>
    <hyperlink r:id="rId634" ref="D884"/>
    <hyperlink r:id="rId635" ref="D885"/>
    <hyperlink r:id="rId636" ref="D886"/>
    <hyperlink r:id="rId637" ref="D887"/>
    <hyperlink r:id="rId638" ref="D888"/>
    <hyperlink r:id="rId639" ref="D899"/>
    <hyperlink r:id="rId640" ref="D900"/>
    <hyperlink r:id="rId641" ref="D901"/>
    <hyperlink r:id="rId642" ref="D902"/>
    <hyperlink r:id="rId643" ref="D903"/>
    <hyperlink r:id="rId644" ref="D904"/>
    <hyperlink r:id="rId645" ref="D905"/>
    <hyperlink r:id="rId646" ref="D906"/>
    <hyperlink r:id="rId647" ref="D907"/>
    <hyperlink r:id="rId648" ref="D908"/>
    <hyperlink r:id="rId649" ref="D909"/>
    <hyperlink r:id="rId650" ref="D910"/>
    <hyperlink r:id="rId651" ref="D911"/>
    <hyperlink r:id="rId652" ref="D912"/>
    <hyperlink r:id="rId653" ref="D913"/>
    <hyperlink r:id="rId654" ref="D914"/>
    <hyperlink r:id="rId655" ref="D915"/>
    <hyperlink r:id="rId656" ref="D916"/>
    <hyperlink r:id="rId657" ref="D917"/>
    <hyperlink r:id="rId658" ref="D918"/>
    <hyperlink r:id="rId659" ref="D919"/>
    <hyperlink r:id="rId660" ref="D920"/>
    <hyperlink r:id="rId661" ref="D921"/>
    <hyperlink r:id="rId662" ref="D922"/>
    <hyperlink r:id="rId663" ref="D923"/>
    <hyperlink r:id="rId664" ref="D924"/>
    <hyperlink r:id="rId665" ref="D925"/>
    <hyperlink r:id="rId666" ref="D926"/>
    <hyperlink r:id="rId667" ref="D927"/>
    <hyperlink r:id="rId668" ref="D928"/>
    <hyperlink r:id="rId669" ref="D929"/>
    <hyperlink r:id="rId670" ref="D930"/>
    <hyperlink r:id="rId671" ref="D931"/>
    <hyperlink r:id="rId672" ref="D932"/>
    <hyperlink r:id="rId673" ref="D933"/>
    <hyperlink r:id="rId674" ref="D934"/>
    <hyperlink r:id="rId675" ref="D935"/>
    <hyperlink r:id="rId676" ref="D936"/>
    <hyperlink r:id="rId677" ref="D937"/>
    <hyperlink r:id="rId678" ref="D938"/>
    <hyperlink r:id="rId679" ref="D939"/>
    <hyperlink r:id="rId680" ref="D940"/>
    <hyperlink r:id="rId681" ref="D941"/>
    <hyperlink r:id="rId682" ref="D942"/>
    <hyperlink r:id="rId683" ref="D943"/>
    <hyperlink r:id="rId684" ref="D944"/>
    <hyperlink r:id="rId685" ref="D945"/>
    <hyperlink r:id="rId686" ref="D946"/>
    <hyperlink r:id="rId687" ref="D947"/>
    <hyperlink r:id="rId688" ref="D948"/>
    <hyperlink r:id="rId689" ref="D949"/>
    <hyperlink r:id="rId690" ref="D950"/>
    <hyperlink r:id="rId691" ref="D951"/>
    <hyperlink r:id="rId692" ref="D952"/>
    <hyperlink r:id="rId693" ref="D953"/>
    <hyperlink r:id="rId694" ref="D954"/>
    <hyperlink r:id="rId695" ref="D955"/>
    <hyperlink r:id="rId696" ref="D956"/>
    <hyperlink r:id="rId697" ref="D957"/>
    <hyperlink r:id="rId698" ref="D958"/>
    <hyperlink r:id="rId699" ref="D959"/>
    <hyperlink r:id="rId700" ref="D960"/>
    <hyperlink r:id="rId701" ref="D961"/>
    <hyperlink r:id="rId702" ref="D962"/>
    <hyperlink r:id="rId703" ref="D963"/>
    <hyperlink r:id="rId704" ref="D964"/>
    <hyperlink r:id="rId705" ref="D965"/>
    <hyperlink r:id="rId706" ref="D966"/>
    <hyperlink r:id="rId707" ref="D967"/>
    <hyperlink r:id="rId708" ref="D968"/>
    <hyperlink r:id="rId709" ref="D969"/>
    <hyperlink r:id="rId710" ref="D970"/>
    <hyperlink r:id="rId711" ref="D971"/>
    <hyperlink r:id="rId712" ref="D972"/>
    <hyperlink r:id="rId713" ref="D973"/>
    <hyperlink r:id="rId714" ref="D974"/>
    <hyperlink r:id="rId715" ref="D975"/>
    <hyperlink r:id="rId716" ref="D976"/>
    <hyperlink r:id="rId717" ref="D977"/>
    <hyperlink r:id="rId718" ref="D998"/>
    <hyperlink r:id="rId719" ref="D999"/>
    <hyperlink r:id="rId720" ref="D1000"/>
    <hyperlink r:id="rId721" ref="D1001"/>
    <hyperlink r:id="rId722" ref="D1002"/>
    <hyperlink r:id="rId723" ref="D1003"/>
    <hyperlink r:id="rId724" ref="D1004"/>
    <hyperlink r:id="rId725" ref="D1005"/>
    <hyperlink r:id="rId726" ref="D1006"/>
    <hyperlink r:id="rId727" ref="D1007"/>
    <hyperlink r:id="rId728" ref="D1008"/>
    <hyperlink r:id="rId729" ref="D1009"/>
    <hyperlink r:id="rId730" ref="D1010"/>
    <hyperlink r:id="rId731" ref="D1011"/>
    <hyperlink r:id="rId732" ref="D1012"/>
    <hyperlink r:id="rId733" ref="D1013"/>
    <hyperlink r:id="rId734" ref="D1014"/>
    <hyperlink r:id="rId735" ref="D1015"/>
    <hyperlink r:id="rId736" ref="D1016"/>
    <hyperlink r:id="rId737" ref="D1017"/>
    <hyperlink r:id="rId738" ref="D1018"/>
    <hyperlink r:id="rId739" ref="D1019"/>
    <hyperlink r:id="rId740" ref="D1020"/>
    <hyperlink r:id="rId741" ref="D1021"/>
    <hyperlink r:id="rId742" ref="D1022"/>
    <hyperlink r:id="rId743" ref="D1023"/>
    <hyperlink r:id="rId744" ref="D1024"/>
    <hyperlink r:id="rId745" ref="D1025"/>
    <hyperlink r:id="rId746" ref="D1026"/>
    <hyperlink r:id="rId747" ref="D1027"/>
    <hyperlink r:id="rId748" ref="D1028"/>
    <hyperlink r:id="rId749" ref="D1029"/>
    <hyperlink r:id="rId750" ref="D1030"/>
    <hyperlink r:id="rId751" ref="D1031"/>
    <hyperlink r:id="rId752" ref="D1032"/>
    <hyperlink r:id="rId753" ref="D1033"/>
    <hyperlink r:id="rId754" ref="D1034"/>
    <hyperlink r:id="rId755" ref="D1035"/>
    <hyperlink r:id="rId756" ref="D1036"/>
    <hyperlink r:id="rId757" ref="D1037"/>
    <hyperlink r:id="rId758" ref="D1038"/>
    <hyperlink r:id="rId759" ref="D1039"/>
    <hyperlink r:id="rId760" ref="D1040"/>
    <hyperlink r:id="rId761" ref="D1041"/>
    <hyperlink r:id="rId762" ref="D1042"/>
    <hyperlink r:id="rId763" ref="D1043"/>
    <hyperlink r:id="rId764" ref="D1044"/>
    <hyperlink r:id="rId765" ref="D1045"/>
    <hyperlink r:id="rId766" ref="D1046"/>
    <hyperlink r:id="rId767" ref="D1047"/>
    <hyperlink r:id="rId768" ref="D1048"/>
    <hyperlink r:id="rId769" ref="D1049"/>
    <hyperlink r:id="rId770" ref="D1050"/>
    <hyperlink r:id="rId771" ref="D1051"/>
    <hyperlink r:id="rId772" ref="D1052"/>
    <hyperlink r:id="rId773" ref="D1053"/>
    <hyperlink r:id="rId774" ref="D1054"/>
    <hyperlink r:id="rId775" ref="D1055"/>
    <hyperlink r:id="rId776" ref="D1056"/>
    <hyperlink r:id="rId777" ref="D1057"/>
    <hyperlink r:id="rId778" ref="D1058"/>
    <hyperlink r:id="rId779" ref="D1059"/>
    <hyperlink r:id="rId780" ref="D1060"/>
    <hyperlink r:id="rId781" ref="D1061"/>
    <hyperlink r:id="rId782" ref="D1062"/>
    <hyperlink r:id="rId783" ref="D1063"/>
    <hyperlink r:id="rId784" ref="D1064"/>
    <hyperlink r:id="rId785" ref="D1065"/>
    <hyperlink r:id="rId786" ref="D1066"/>
    <hyperlink r:id="rId787" ref="D1067"/>
    <hyperlink r:id="rId788" ref="D1068"/>
    <hyperlink r:id="rId789" ref="D1069"/>
    <hyperlink r:id="rId790" ref="D1070"/>
    <hyperlink r:id="rId791" ref="D1071"/>
    <hyperlink r:id="rId792" ref="D1072"/>
    <hyperlink r:id="rId793" ref="D1073"/>
    <hyperlink r:id="rId794" ref="D1074"/>
    <hyperlink r:id="rId795" ref="D1075"/>
    <hyperlink r:id="rId796" ref="D1096"/>
  </hyperlinks>
  <drawing r:id="rId797"/>
  <tableParts count="1">
    <tablePart r:id="rId79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tr">
        <f>IFERROR(__xludf.DUMMYFUNCTION("QUERY(Database!A:L, ""SELECT B, COUNT(B) WHERE F = 'Vocal' GROUP BY B PIVOT I"", 1)"),"Tonic")</f>
        <v>Tonic</v>
      </c>
      <c r="B1" s="35" t="str">
        <f>IFERROR(__xludf.DUMMYFUNCTION("""COMPUTED_VALUE"""),"count Tonic")</f>
        <v>count Tonic</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3" max="3" width="29.63"/>
  </cols>
  <sheetData>
    <row r="1" ht="22.5" customHeight="1">
      <c r="A1" s="36" t="s">
        <v>1276</v>
      </c>
      <c r="B1" s="36" t="s">
        <v>1277</v>
      </c>
      <c r="C1" s="36" t="s">
        <v>1278</v>
      </c>
      <c r="D1" s="37" t="s">
        <v>20</v>
      </c>
    </row>
    <row r="2" ht="22.5" customHeight="1">
      <c r="A2" s="38" t="s">
        <v>1279</v>
      </c>
      <c r="B2" s="39">
        <v>175.435</v>
      </c>
      <c r="C2" s="39">
        <v>93.24</v>
      </c>
      <c r="D2" s="6" t="str">
        <f>Database!H2</f>
        <v>#N/A</v>
      </c>
    </row>
    <row r="3" ht="22.5" customHeight="1">
      <c r="A3" s="38" t="s">
        <v>1280</v>
      </c>
      <c r="B3" s="39">
        <v>171.375</v>
      </c>
      <c r="C3" s="39">
        <v>93.26</v>
      </c>
      <c r="D3" s="6" t="str">
        <f>Database!H3</f>
        <v>#N/A</v>
      </c>
    </row>
    <row r="4" ht="22.5" customHeight="1">
      <c r="A4" s="38" t="s">
        <v>1281</v>
      </c>
      <c r="B4" s="39">
        <v>185.33</v>
      </c>
      <c r="C4" s="39">
        <v>86.82</v>
      </c>
      <c r="D4" s="6" t="str">
        <f>Database!H4</f>
        <v>#N/A</v>
      </c>
    </row>
    <row r="5" ht="22.5" customHeight="1">
      <c r="A5" s="38" t="s">
        <v>1282</v>
      </c>
      <c r="B5" s="39">
        <v>247.93</v>
      </c>
      <c r="C5" s="39">
        <v>106.7</v>
      </c>
      <c r="D5" s="6" t="str">
        <f>Database!H5</f>
        <v>#N/A</v>
      </c>
    </row>
    <row r="6" ht="22.5" customHeight="1">
      <c r="A6" s="38" t="s">
        <v>1283</v>
      </c>
      <c r="B6" s="39">
        <v>159.13</v>
      </c>
      <c r="C6" s="39">
        <v>84.33</v>
      </c>
      <c r="D6" s="6" t="str">
        <f>Database!H6</f>
        <v>#N/A</v>
      </c>
    </row>
    <row r="7" ht="22.5" customHeight="1">
      <c r="A7" s="38" t="s">
        <v>1284</v>
      </c>
      <c r="B7" s="39">
        <v>168.45</v>
      </c>
      <c r="C7" s="39">
        <v>147.14</v>
      </c>
      <c r="D7" s="6" t="str">
        <f>Database!H7</f>
        <v>#N/A</v>
      </c>
    </row>
    <row r="8" ht="22.5" customHeight="1">
      <c r="A8" s="38" t="s">
        <v>1285</v>
      </c>
      <c r="B8" s="39">
        <v>174.92</v>
      </c>
      <c r="C8" s="39">
        <v>124.42</v>
      </c>
      <c r="D8" s="6" t="str">
        <f>Database!H8</f>
        <v>#N/A</v>
      </c>
    </row>
    <row r="9" ht="22.5" customHeight="1">
      <c r="A9" s="38" t="s">
        <v>1286</v>
      </c>
      <c r="B9" s="39">
        <v>157.98</v>
      </c>
      <c r="C9" s="39">
        <v>137.35</v>
      </c>
      <c r="D9" s="6" t="str">
        <f>Database!H9</f>
        <v>#N/A</v>
      </c>
    </row>
    <row r="10" ht="22.5" customHeight="1">
      <c r="A10" s="38" t="s">
        <v>1287</v>
      </c>
      <c r="B10" s="39">
        <v>147.37</v>
      </c>
      <c r="C10" s="39">
        <v>131.22</v>
      </c>
      <c r="D10" s="6" t="str">
        <f>Database!H10</f>
        <v>#N/A</v>
      </c>
    </row>
    <row r="11" ht="22.5" customHeight="1">
      <c r="A11" s="38" t="s">
        <v>1288</v>
      </c>
      <c r="B11" s="39">
        <v>261.45</v>
      </c>
      <c r="C11" s="39">
        <v>156.05</v>
      </c>
      <c r="D11" s="6" t="str">
        <f>Database!H11</f>
        <v>#N/A</v>
      </c>
    </row>
    <row r="12" ht="22.5" customHeight="1">
      <c r="A12" s="38" t="s">
        <v>1289</v>
      </c>
      <c r="B12" s="39">
        <v>253.34</v>
      </c>
      <c r="C12" s="39">
        <v>93.21</v>
      </c>
      <c r="D12" s="6" t="str">
        <f>Database!H12</f>
        <v>#N/A</v>
      </c>
    </row>
    <row r="13" ht="22.5" customHeight="1">
      <c r="A13" s="38" t="s">
        <v>1290</v>
      </c>
      <c r="B13" s="39">
        <v>277.03</v>
      </c>
      <c r="C13" s="39">
        <v>156.06</v>
      </c>
      <c r="D13" s="6" t="str">
        <f>Database!H13</f>
        <v>#N/A</v>
      </c>
    </row>
    <row r="14" ht="22.5" customHeight="1">
      <c r="A14" s="38" t="s">
        <v>1291</v>
      </c>
      <c r="B14" s="39">
        <v>235.86</v>
      </c>
      <c r="C14" s="39">
        <v>156.06</v>
      </c>
      <c r="D14" s="6" t="str">
        <f>Database!H14</f>
        <v>#N/A</v>
      </c>
    </row>
    <row r="15" ht="22.5" customHeight="1">
      <c r="A15" s="38" t="s">
        <v>1292</v>
      </c>
      <c r="B15" s="39">
        <v>262.89</v>
      </c>
      <c r="C15" s="39">
        <v>86.685</v>
      </c>
      <c r="D15" s="6" t="str">
        <f>Database!H15</f>
        <v>#N/A</v>
      </c>
    </row>
    <row r="16" ht="22.5" customHeight="1">
      <c r="A16" s="38" t="s">
        <v>1293</v>
      </c>
      <c r="B16" s="39">
        <v>261.36</v>
      </c>
      <c r="C16" s="39">
        <v>98.665</v>
      </c>
      <c r="D16" s="6" t="str">
        <f>Database!H16</f>
        <v>#N/A</v>
      </c>
    </row>
    <row r="17" ht="22.5" customHeight="1">
      <c r="A17" s="38" t="s">
        <v>1294</v>
      </c>
      <c r="B17" s="39">
        <v>207.93</v>
      </c>
      <c r="C17" s="39">
        <v>138.96</v>
      </c>
      <c r="D17" s="6" t="str">
        <f>Database!H17</f>
        <v>#N/A</v>
      </c>
    </row>
    <row r="18" ht="22.5" customHeight="1">
      <c r="A18" s="38" t="s">
        <v>1295</v>
      </c>
      <c r="B18" s="39">
        <v>256.33</v>
      </c>
      <c r="C18" s="39">
        <v>88.43</v>
      </c>
      <c r="D18" s="6" t="str">
        <f>Database!H18</f>
        <v>#N/A</v>
      </c>
    </row>
    <row r="19" ht="22.5" customHeight="1">
      <c r="A19" s="38" t="s">
        <v>1296</v>
      </c>
      <c r="B19" s="39">
        <v>212.23</v>
      </c>
      <c r="C19" s="39">
        <v>106.5</v>
      </c>
      <c r="D19" s="6" t="str">
        <f>Database!H19</f>
        <v>#N/A</v>
      </c>
    </row>
    <row r="20" ht="22.5" customHeight="1">
      <c r="A20" s="38" t="s">
        <v>1297</v>
      </c>
      <c r="B20" s="39">
        <v>340.915</v>
      </c>
      <c r="C20" s="39">
        <v>88.03</v>
      </c>
      <c r="D20" s="6" t="str">
        <f>Database!H20</f>
        <v>#N/A</v>
      </c>
    </row>
    <row r="21" ht="22.5" customHeight="1">
      <c r="A21" s="38" t="s">
        <v>1298</v>
      </c>
      <c r="B21" s="39">
        <v>362.88</v>
      </c>
      <c r="C21" s="39">
        <v>98.98</v>
      </c>
      <c r="D21" s="6" t="str">
        <f>Database!H21</f>
        <v>#N/A</v>
      </c>
    </row>
    <row r="22" ht="22.5" customHeight="1">
      <c r="A22" s="38" t="s">
        <v>1299</v>
      </c>
      <c r="B22" s="39">
        <v>194.065</v>
      </c>
      <c r="C22" s="39">
        <v>93.975</v>
      </c>
      <c r="D22" s="6" t="str">
        <f>Database!H22</f>
        <v>#N/A</v>
      </c>
    </row>
    <row r="23" ht="22.5" customHeight="1">
      <c r="A23" s="38" t="s">
        <v>1300</v>
      </c>
      <c r="B23" s="39">
        <v>266.76</v>
      </c>
      <c r="C23" s="39">
        <v>91.93</v>
      </c>
      <c r="D23" s="6" t="str">
        <f>Database!H23</f>
        <v>#N/A</v>
      </c>
    </row>
    <row r="24" ht="22.5" customHeight="1">
      <c r="A24" s="38" t="s">
        <v>1301</v>
      </c>
      <c r="B24" s="39">
        <v>147.37</v>
      </c>
      <c r="C24" s="39">
        <v>51.71</v>
      </c>
      <c r="D24" s="6" t="str">
        <f>Database!H24</f>
        <v>#N/A</v>
      </c>
    </row>
    <row r="25" ht="22.5" customHeight="1">
      <c r="A25" s="38" t="s">
        <v>1302</v>
      </c>
      <c r="B25" s="39">
        <v>146.0</v>
      </c>
      <c r="C25" s="39">
        <v>90.12</v>
      </c>
      <c r="D25" s="6" t="str">
        <f>Database!H25</f>
        <v>#N/A</v>
      </c>
    </row>
    <row r="26" ht="22.5" customHeight="1">
      <c r="A26" s="38" t="s">
        <v>1303</v>
      </c>
      <c r="B26" s="39">
        <v>147.37</v>
      </c>
      <c r="C26" s="39">
        <v>90.19</v>
      </c>
      <c r="D26" s="6" t="str">
        <f>Database!H26</f>
        <v>#N/A</v>
      </c>
    </row>
    <row r="27" ht="22.5" customHeight="1">
      <c r="A27" s="38" t="s">
        <v>1304</v>
      </c>
      <c r="B27" s="39">
        <v>160.305</v>
      </c>
      <c r="C27" s="39">
        <v>156.1</v>
      </c>
      <c r="D27" s="6" t="str">
        <f>Database!H27</f>
        <v>#N/A</v>
      </c>
    </row>
    <row r="28" ht="22.5" customHeight="1">
      <c r="A28" s="38" t="s">
        <v>1305</v>
      </c>
      <c r="B28" s="39">
        <v>275.425</v>
      </c>
      <c r="C28" s="39">
        <v>95.67</v>
      </c>
      <c r="D28" s="6" t="str">
        <f>Database!H28</f>
        <v>#N/A</v>
      </c>
    </row>
    <row r="29" ht="22.5" customHeight="1">
      <c r="A29" s="38" t="s">
        <v>1306</v>
      </c>
      <c r="B29" s="39">
        <v>156.06</v>
      </c>
      <c r="C29" s="39">
        <v>79.58</v>
      </c>
      <c r="D29" s="6" t="str">
        <f>Database!H29</f>
        <v>#N/A</v>
      </c>
    </row>
    <row r="30" ht="22.5" customHeight="1">
      <c r="A30" s="38" t="s">
        <v>1307</v>
      </c>
      <c r="B30" s="39">
        <v>304.12</v>
      </c>
      <c r="C30" s="39">
        <v>119.68</v>
      </c>
      <c r="D30" s="6" t="str">
        <f>Database!H30</f>
        <v>#N/A</v>
      </c>
    </row>
    <row r="31" ht="22.5" customHeight="1">
      <c r="A31" s="38" t="s">
        <v>1308</v>
      </c>
      <c r="B31" s="39">
        <v>185.32</v>
      </c>
      <c r="C31" s="39">
        <v>139.03</v>
      </c>
      <c r="D31" s="6" t="str">
        <f>Database!H31</f>
        <v>#N/A</v>
      </c>
    </row>
    <row r="32" ht="22.5" customHeight="1">
      <c r="A32" s="38" t="s">
        <v>1309</v>
      </c>
      <c r="B32" s="39">
        <v>185.3</v>
      </c>
      <c r="C32" s="39">
        <v>78.345</v>
      </c>
      <c r="D32" s="6" t="str">
        <f>Database!H32</f>
        <v>#N/A</v>
      </c>
    </row>
    <row r="33" ht="22.5" customHeight="1">
      <c r="A33" s="38" t="s">
        <v>1310</v>
      </c>
      <c r="B33" s="39">
        <v>219.91</v>
      </c>
      <c r="C33" s="39">
        <v>81.62</v>
      </c>
      <c r="D33" s="6" t="str">
        <f>Database!H33</f>
        <v>#N/A</v>
      </c>
    </row>
    <row r="34" ht="22.5" customHeight="1">
      <c r="A34" s="38" t="s">
        <v>1311</v>
      </c>
      <c r="B34" s="39">
        <v>216.11</v>
      </c>
      <c r="C34" s="39">
        <v>235.885</v>
      </c>
      <c r="D34" s="6" t="str">
        <f>Database!H34</f>
        <v>#N/A</v>
      </c>
    </row>
    <row r="35" ht="22.5" customHeight="1">
      <c r="A35" s="38" t="s">
        <v>1312</v>
      </c>
      <c r="B35" s="39">
        <v>232.61</v>
      </c>
      <c r="C35" s="39">
        <v>130.2</v>
      </c>
      <c r="D35" s="6" t="str">
        <f>Database!H35</f>
        <v>#N/A</v>
      </c>
    </row>
    <row r="36" ht="22.5" customHeight="1">
      <c r="A36" s="38" t="s">
        <v>1313</v>
      </c>
      <c r="B36" s="39">
        <v>311.42</v>
      </c>
      <c r="C36" s="39">
        <v>293.935</v>
      </c>
      <c r="D36" s="6" t="str">
        <f>Database!H36</f>
        <v>#N/A</v>
      </c>
    </row>
    <row r="37" ht="22.5" customHeight="1">
      <c r="A37" s="38" t="s">
        <v>1314</v>
      </c>
      <c r="B37" s="39">
        <v>204.6</v>
      </c>
      <c r="C37" s="39">
        <v>104.8</v>
      </c>
      <c r="D37" s="6" t="str">
        <f>Database!H37</f>
        <v>#N/A</v>
      </c>
    </row>
    <row r="38" ht="22.5" customHeight="1">
      <c r="A38" s="38" t="s">
        <v>1315</v>
      </c>
      <c r="B38" s="39">
        <v>160.53</v>
      </c>
      <c r="C38" s="39">
        <v>90.575</v>
      </c>
      <c r="D38" s="6" t="str">
        <f>Database!H38</f>
        <v>#N/A</v>
      </c>
    </row>
    <row r="39" ht="22.5" customHeight="1">
      <c r="A39" s="38" t="s">
        <v>1316</v>
      </c>
      <c r="B39" s="39">
        <v>253.385</v>
      </c>
      <c r="C39" s="39">
        <v>137.28</v>
      </c>
      <c r="D39" s="6" t="str">
        <f>Database!H39</f>
        <v>#N/A</v>
      </c>
    </row>
    <row r="40" ht="22.5" customHeight="1">
      <c r="A40" s="38" t="s">
        <v>1317</v>
      </c>
      <c r="B40" s="39">
        <v>321.04</v>
      </c>
      <c r="C40" s="39">
        <v>95.94</v>
      </c>
      <c r="D40" s="6" t="str">
        <f>Database!H40</f>
        <v>#N/A</v>
      </c>
    </row>
    <row r="41" ht="22.5" customHeight="1">
      <c r="A41" s="38" t="s">
        <v>1318</v>
      </c>
      <c r="B41" s="39">
        <v>185.065</v>
      </c>
      <c r="C41" s="39">
        <v>92.58</v>
      </c>
      <c r="D41" s="6" t="str">
        <f>Database!H41</f>
        <v>#N/A</v>
      </c>
    </row>
    <row r="42" ht="22.5" customHeight="1">
      <c r="A42" s="38" t="s">
        <v>1319</v>
      </c>
      <c r="B42" s="39">
        <v>165.33</v>
      </c>
      <c r="C42" s="39">
        <v>81.645</v>
      </c>
      <c r="D42" s="6" t="str">
        <f>Database!H42</f>
        <v>#N/A</v>
      </c>
    </row>
    <row r="43" ht="22.5" customHeight="1">
      <c r="A43" s="38" t="s">
        <v>1320</v>
      </c>
      <c r="B43" s="39">
        <v>111.19</v>
      </c>
      <c r="C43" s="39">
        <v>156.05</v>
      </c>
      <c r="D43" s="6" t="str">
        <f>Database!H43</f>
        <v>#N/A</v>
      </c>
    </row>
    <row r="44" ht="22.5" customHeight="1">
      <c r="A44" s="38" t="s">
        <v>1321</v>
      </c>
      <c r="B44" s="39">
        <v>165.13</v>
      </c>
      <c r="C44" s="39">
        <v>132.285</v>
      </c>
      <c r="D44" s="6" t="str">
        <f>Database!H44</f>
        <v>#N/A</v>
      </c>
    </row>
    <row r="45" ht="22.5" customHeight="1">
      <c r="A45" s="38" t="s">
        <v>1322</v>
      </c>
      <c r="B45" s="39">
        <v>161.84</v>
      </c>
      <c r="C45" s="39">
        <v>79.99</v>
      </c>
      <c r="D45" s="6" t="str">
        <f>Database!H45</f>
        <v>#N/A</v>
      </c>
    </row>
    <row r="46" ht="22.5" customHeight="1">
      <c r="A46" s="38" t="s">
        <v>1323</v>
      </c>
      <c r="B46" s="39">
        <v>114.94</v>
      </c>
      <c r="C46" s="39">
        <v>131.42</v>
      </c>
      <c r="D46" s="6" t="str">
        <f>Database!H46</f>
        <v>#N/A</v>
      </c>
    </row>
    <row r="47" ht="22.5" customHeight="1">
      <c r="A47" s="38" t="s">
        <v>1324</v>
      </c>
      <c r="B47" s="39">
        <v>136.52</v>
      </c>
      <c r="C47" s="39">
        <v>138.94</v>
      </c>
      <c r="D47" s="6" t="str">
        <f>Database!H47</f>
        <v>#N/A</v>
      </c>
    </row>
    <row r="48" ht="22.5" customHeight="1">
      <c r="A48" s="38" t="s">
        <v>1325</v>
      </c>
      <c r="B48" s="39">
        <v>341.38</v>
      </c>
      <c r="C48" s="39">
        <v>98.63</v>
      </c>
      <c r="D48" s="6" t="str">
        <f>Database!H48</f>
        <v>#N/A</v>
      </c>
    </row>
    <row r="49" ht="22.5" customHeight="1">
      <c r="A49" s="38" t="s">
        <v>1326</v>
      </c>
      <c r="B49" s="39">
        <v>150.21</v>
      </c>
      <c r="C49" s="39">
        <v>155.16</v>
      </c>
      <c r="D49" s="6" t="str">
        <f>Database!H49</f>
        <v>#N/A</v>
      </c>
    </row>
    <row r="50" ht="22.5" customHeight="1">
      <c r="A50" s="38" t="s">
        <v>1327</v>
      </c>
      <c r="B50" s="39">
        <v>147.36</v>
      </c>
      <c r="C50" s="39">
        <v>112.58</v>
      </c>
      <c r="D50" s="6" t="str">
        <f>Database!H50</f>
        <v>#N/A</v>
      </c>
    </row>
    <row r="51" ht="22.5" customHeight="1">
      <c r="A51" s="38" t="s">
        <v>1328</v>
      </c>
      <c r="B51" s="39">
        <v>224.23</v>
      </c>
      <c r="C51" s="39">
        <v>84.02</v>
      </c>
      <c r="D51" s="6" t="str">
        <f>Database!H51</f>
        <v>#N/A</v>
      </c>
    </row>
    <row r="52" ht="22.5" customHeight="1">
      <c r="A52" s="38" t="s">
        <v>1329</v>
      </c>
      <c r="B52" s="39">
        <v>249.15</v>
      </c>
      <c r="C52" s="39">
        <v>147.44</v>
      </c>
      <c r="D52" s="6" t="str">
        <f>Database!H52</f>
        <v>#N/A</v>
      </c>
    </row>
    <row r="53" ht="22.5" customHeight="1">
      <c r="A53" s="38" t="s">
        <v>1330</v>
      </c>
      <c r="B53" s="39">
        <v>196.41</v>
      </c>
      <c r="C53" s="39">
        <v>93.03</v>
      </c>
      <c r="D53" s="6" t="str">
        <f>Database!H53</f>
        <v>#N/A</v>
      </c>
    </row>
    <row r="54" ht="22.5" customHeight="1">
      <c r="A54" s="38" t="s">
        <v>1331</v>
      </c>
      <c r="B54" s="39">
        <v>163.64</v>
      </c>
      <c r="C54" s="39">
        <v>97.6</v>
      </c>
      <c r="D54" s="6" t="str">
        <f>Database!H54</f>
        <v>#N/A</v>
      </c>
    </row>
    <row r="55" ht="22.5" customHeight="1">
      <c r="A55" s="38" t="s">
        <v>1332</v>
      </c>
      <c r="B55" s="39">
        <v>147.33</v>
      </c>
      <c r="C55" s="39">
        <v>119.52</v>
      </c>
      <c r="D55" s="6" t="str">
        <f>Database!H55</f>
        <v>#N/A</v>
      </c>
    </row>
    <row r="56" ht="22.5" customHeight="1">
      <c r="A56" s="38" t="s">
        <v>1333</v>
      </c>
      <c r="B56" s="39">
        <v>261.33</v>
      </c>
      <c r="C56" s="39">
        <v>196.69</v>
      </c>
      <c r="D56" s="6" t="str">
        <f>Database!H56</f>
        <v>#N/A</v>
      </c>
    </row>
    <row r="57" ht="22.5" customHeight="1">
      <c r="A57" s="38" t="s">
        <v>1334</v>
      </c>
      <c r="B57" s="39">
        <v>165.26</v>
      </c>
      <c r="C57" s="39">
        <v>94.3</v>
      </c>
      <c r="D57" s="6" t="str">
        <f>Database!H57</f>
        <v>#N/A</v>
      </c>
    </row>
    <row r="58" ht="22.5" customHeight="1">
      <c r="A58" s="38" t="s">
        <v>1335</v>
      </c>
      <c r="B58" s="39">
        <v>147.37</v>
      </c>
      <c r="C58" s="39">
        <v>147.37</v>
      </c>
      <c r="D58" s="6" t="str">
        <f>Database!H58</f>
        <v>#N/A</v>
      </c>
    </row>
    <row r="59" ht="22.5" customHeight="1">
      <c r="A59" s="38" t="s">
        <v>1336</v>
      </c>
      <c r="B59" s="39">
        <v>171.425</v>
      </c>
      <c r="C59" s="39">
        <v>138.99</v>
      </c>
      <c r="D59" s="6" t="str">
        <f>Database!H59</f>
        <v>#N/A</v>
      </c>
    </row>
    <row r="60" ht="22.5" customHeight="1">
      <c r="A60" s="38" t="s">
        <v>1337</v>
      </c>
      <c r="B60" s="39">
        <v>246.86</v>
      </c>
      <c r="C60" s="39">
        <v>111.6</v>
      </c>
      <c r="D60" s="6" t="str">
        <f>Database!H60</f>
        <v>#N/A</v>
      </c>
    </row>
    <row r="61" ht="22.5" customHeight="1">
      <c r="A61" s="38" t="s">
        <v>1338</v>
      </c>
      <c r="B61" s="39">
        <v>188.615</v>
      </c>
      <c r="C61" s="39">
        <v>88.01</v>
      </c>
      <c r="D61" s="6" t="str">
        <f>Database!H61</f>
        <v>#N/A</v>
      </c>
    </row>
    <row r="62" ht="22.5" customHeight="1">
      <c r="A62" s="38" t="s">
        <v>1339</v>
      </c>
      <c r="B62" s="39">
        <v>275.795</v>
      </c>
      <c r="C62" s="39">
        <v>115.91</v>
      </c>
      <c r="D62" s="6" t="str">
        <f>Database!H62</f>
        <v>#N/A</v>
      </c>
    </row>
    <row r="63" ht="22.5" customHeight="1">
      <c r="A63" s="38" t="s">
        <v>1340</v>
      </c>
      <c r="B63" s="39">
        <v>276.735</v>
      </c>
      <c r="C63" s="39">
        <v>85.025</v>
      </c>
      <c r="D63" s="6" t="str">
        <f>Database!H63</f>
        <v>#N/A</v>
      </c>
    </row>
    <row r="64" ht="22.5" customHeight="1">
      <c r="A64" s="38" t="s">
        <v>1341</v>
      </c>
      <c r="B64" s="39">
        <v>271.29</v>
      </c>
      <c r="C64" s="39">
        <v>81.16</v>
      </c>
      <c r="D64" s="6" t="str">
        <f>Database!H64</f>
        <v>#N/A</v>
      </c>
    </row>
    <row r="65" ht="22.5" customHeight="1">
      <c r="A65" s="38" t="s">
        <v>1342</v>
      </c>
      <c r="B65" s="39">
        <v>271.45</v>
      </c>
      <c r="C65" s="39">
        <v>115.97</v>
      </c>
      <c r="D65" s="6" t="str">
        <f>Database!H65</f>
        <v>#N/A</v>
      </c>
    </row>
    <row r="66" ht="22.5" customHeight="1">
      <c r="A66" s="38" t="s">
        <v>1343</v>
      </c>
      <c r="B66" s="39">
        <v>287.945</v>
      </c>
      <c r="C66" s="39">
        <v>104.35</v>
      </c>
      <c r="D66" s="6" t="str">
        <f>Database!H66</f>
        <v>#N/A</v>
      </c>
    </row>
    <row r="67" ht="22.5" customHeight="1">
      <c r="A67" s="38" t="s">
        <v>1344</v>
      </c>
      <c r="B67" s="39">
        <v>413.12</v>
      </c>
      <c r="C67" s="39">
        <v>136.52</v>
      </c>
      <c r="D67" s="6" t="str">
        <f>Database!H67</f>
        <v>#N/A</v>
      </c>
    </row>
    <row r="68" ht="22.5" customHeight="1">
      <c r="A68" s="38" t="s">
        <v>1345</v>
      </c>
      <c r="B68" s="39">
        <v>251.91</v>
      </c>
      <c r="C68" s="39">
        <v>108.41</v>
      </c>
      <c r="D68" s="6" t="str">
        <f>Database!H68</f>
        <v>#N/A</v>
      </c>
    </row>
    <row r="69" ht="22.5" customHeight="1">
      <c r="A69" s="38" t="s">
        <v>1346</v>
      </c>
      <c r="B69" s="39">
        <v>245.68</v>
      </c>
      <c r="C69" s="39">
        <v>109.04</v>
      </c>
      <c r="D69" s="6" t="str">
        <f>Database!H69</f>
        <v>#N/A</v>
      </c>
    </row>
    <row r="70" ht="22.5" customHeight="1">
      <c r="A70" s="38" t="s">
        <v>1347</v>
      </c>
      <c r="B70" s="39">
        <v>256.92</v>
      </c>
      <c r="C70" s="39">
        <v>98.42</v>
      </c>
      <c r="D70" s="6" t="str">
        <f>Database!H70</f>
        <v>#N/A</v>
      </c>
    </row>
    <row r="71" ht="22.5" customHeight="1">
      <c r="A71" s="38" t="s">
        <v>1348</v>
      </c>
      <c r="B71" s="39">
        <v>232.63</v>
      </c>
      <c r="C71" s="39">
        <v>117.16</v>
      </c>
      <c r="D71" s="6" t="str">
        <f>Database!H71</f>
        <v>#N/A</v>
      </c>
    </row>
    <row r="72" ht="22.5" customHeight="1">
      <c r="A72" s="38" t="s">
        <v>1349</v>
      </c>
      <c r="B72" s="39">
        <v>310.21</v>
      </c>
      <c r="C72" s="39">
        <v>117.19</v>
      </c>
      <c r="D72" s="6" t="str">
        <f>Database!H72</f>
        <v>#N/A</v>
      </c>
    </row>
    <row r="73" ht="22.5" customHeight="1">
      <c r="A73" s="38" t="s">
        <v>1350</v>
      </c>
      <c r="B73" s="39">
        <v>246.36</v>
      </c>
      <c r="C73" s="39">
        <v>84.4</v>
      </c>
      <c r="D73" s="6" t="str">
        <f>Database!H73</f>
        <v>#N/A</v>
      </c>
    </row>
    <row r="74" ht="22.5" customHeight="1">
      <c r="A74" s="38" t="s">
        <v>1351</v>
      </c>
      <c r="B74" s="39">
        <v>324.16</v>
      </c>
      <c r="C74" s="39">
        <v>83.05</v>
      </c>
      <c r="D74" s="6" t="str">
        <f>Database!H74</f>
        <v>#N/A</v>
      </c>
    </row>
    <row r="75" ht="22.5" customHeight="1">
      <c r="A75" s="38" t="s">
        <v>1352</v>
      </c>
      <c r="B75" s="39">
        <v>233.37</v>
      </c>
      <c r="C75" s="39">
        <v>233.04</v>
      </c>
      <c r="D75" s="6" t="str">
        <f>Database!H75</f>
        <v>#N/A</v>
      </c>
    </row>
    <row r="76" ht="22.5" customHeight="1">
      <c r="A76" s="38" t="s">
        <v>1353</v>
      </c>
      <c r="B76" s="39">
        <v>149.88</v>
      </c>
      <c r="C76" s="39">
        <v>98.93</v>
      </c>
      <c r="D76" s="6" t="str">
        <f>Database!H76</f>
        <v>#N/A</v>
      </c>
    </row>
    <row r="77" ht="22.5" customHeight="1">
      <c r="A77" s="38" t="s">
        <v>1354</v>
      </c>
      <c r="B77" s="39">
        <v>209.665</v>
      </c>
      <c r="C77" s="39">
        <v>98.68</v>
      </c>
      <c r="D77" s="6" t="str">
        <f>Database!H77</f>
        <v>#N/A</v>
      </c>
    </row>
    <row r="78" ht="22.5" customHeight="1">
      <c r="A78" s="38" t="s">
        <v>1355</v>
      </c>
      <c r="B78" s="39">
        <v>246.67</v>
      </c>
      <c r="C78" s="39">
        <v>116.66</v>
      </c>
      <c r="D78" s="6" t="str">
        <f>Database!H78</f>
        <v>#N/A</v>
      </c>
    </row>
    <row r="79" ht="22.5" customHeight="1">
      <c r="A79" s="38" t="s">
        <v>1356</v>
      </c>
      <c r="B79" s="39">
        <v>160.56</v>
      </c>
      <c r="C79" s="39">
        <v>74.21</v>
      </c>
      <c r="D79" s="6" t="str">
        <f>Database!H79</f>
        <v>#N/A</v>
      </c>
    </row>
    <row r="80" ht="22.5" customHeight="1">
      <c r="A80" s="38" t="s">
        <v>1357</v>
      </c>
      <c r="B80" s="39">
        <v>246.5</v>
      </c>
      <c r="C80" s="39">
        <v>117.2</v>
      </c>
      <c r="D80" s="6" t="str">
        <f>Database!H80</f>
        <v>#N/A</v>
      </c>
    </row>
    <row r="81" ht="22.5" customHeight="1">
      <c r="A81" s="38" t="s">
        <v>1358</v>
      </c>
      <c r="B81" s="39">
        <v>165.28</v>
      </c>
      <c r="C81" s="39">
        <v>104.53</v>
      </c>
      <c r="D81" s="6" t="str">
        <f>Database!H81</f>
        <v>#N/A</v>
      </c>
    </row>
    <row r="82" ht="22.5" customHeight="1">
      <c r="A82" s="38" t="s">
        <v>1359</v>
      </c>
      <c r="B82" s="39">
        <v>283.47</v>
      </c>
      <c r="C82" s="39">
        <v>162.12</v>
      </c>
      <c r="D82" s="6" t="str">
        <f>Database!H82</f>
        <v>#N/A</v>
      </c>
    </row>
    <row r="83" ht="22.5" customHeight="1">
      <c r="A83" s="38" t="s">
        <v>1360</v>
      </c>
      <c r="B83" s="39">
        <v>147.38</v>
      </c>
      <c r="C83" s="39">
        <v>72.75</v>
      </c>
      <c r="D83" s="6" t="str">
        <f>Database!H83</f>
        <v>#N/A</v>
      </c>
    </row>
    <row r="84" ht="22.5" customHeight="1">
      <c r="A84" s="38" t="s">
        <v>1361</v>
      </c>
      <c r="B84" s="39">
        <v>162.695</v>
      </c>
      <c r="C84" s="39">
        <v>102.34</v>
      </c>
      <c r="D84" s="6" t="str">
        <f>Database!H84</f>
        <v>#N/A</v>
      </c>
    </row>
    <row r="85" ht="22.5" customHeight="1">
      <c r="A85" s="38" t="s">
        <v>1362</v>
      </c>
      <c r="B85" s="39">
        <v>142.0</v>
      </c>
      <c r="C85" s="39">
        <v>103.72</v>
      </c>
      <c r="D85" s="6" t="str">
        <f>Database!H85</f>
        <v>#N/A</v>
      </c>
    </row>
    <row r="86" ht="22.5" customHeight="1">
      <c r="A86" s="38" t="s">
        <v>1363</v>
      </c>
      <c r="B86" s="39">
        <v>159.02</v>
      </c>
      <c r="C86" s="39">
        <v>139.13</v>
      </c>
      <c r="D86" s="6" t="str">
        <f>Database!H86</f>
        <v>#N/A</v>
      </c>
    </row>
    <row r="87" ht="22.5" customHeight="1">
      <c r="A87" s="38" t="s">
        <v>1364</v>
      </c>
      <c r="B87" s="39">
        <v>159.07</v>
      </c>
      <c r="C87" s="39">
        <v>147.47</v>
      </c>
      <c r="D87" s="6" t="str">
        <f>Database!H87</f>
        <v>#N/A</v>
      </c>
    </row>
    <row r="88" ht="22.5" customHeight="1">
      <c r="A88" s="38" t="s">
        <v>1365</v>
      </c>
      <c r="B88" s="39">
        <v>156.27</v>
      </c>
      <c r="C88" s="39">
        <v>147.45</v>
      </c>
      <c r="D88" s="6" t="str">
        <f>Database!H88</f>
        <v>#N/A</v>
      </c>
    </row>
    <row r="89" ht="22.5" customHeight="1">
      <c r="A89" s="38" t="s">
        <v>1366</v>
      </c>
      <c r="B89" s="39">
        <v>181.06</v>
      </c>
      <c r="C89" s="39">
        <v>90.52</v>
      </c>
      <c r="D89" s="6" t="str">
        <f>Database!H89</f>
        <v>#N/A</v>
      </c>
    </row>
    <row r="90" ht="22.5" customHeight="1">
      <c r="A90" s="38" t="s">
        <v>1367</v>
      </c>
      <c r="B90" s="39">
        <v>168.52</v>
      </c>
      <c r="C90" s="39">
        <v>117.3</v>
      </c>
      <c r="D90" s="6" t="str">
        <f>Database!H90</f>
        <v>#N/A</v>
      </c>
    </row>
    <row r="91" ht="22.5" customHeight="1">
      <c r="A91" s="38" t="s">
        <v>1368</v>
      </c>
      <c r="B91" s="39">
        <v>178.44</v>
      </c>
      <c r="C91" s="39">
        <v>165.26</v>
      </c>
      <c r="D91" s="6" t="str">
        <f>Database!H91</f>
        <v>#N/A</v>
      </c>
    </row>
    <row r="92" ht="22.5" customHeight="1">
      <c r="A92" s="38" t="s">
        <v>1369</v>
      </c>
      <c r="B92" s="39">
        <v>308.155</v>
      </c>
      <c r="C92" s="39">
        <v>83.21</v>
      </c>
      <c r="D92" s="6" t="str">
        <f>Database!H92</f>
        <v>#N/A</v>
      </c>
    </row>
    <row r="93" ht="22.5" customHeight="1">
      <c r="A93" s="38" t="s">
        <v>1370</v>
      </c>
      <c r="B93" s="39">
        <v>152.96</v>
      </c>
      <c r="C93" s="39">
        <v>100.52</v>
      </c>
      <c r="D93" s="6" t="str">
        <f>Database!H93</f>
        <v>#N/A</v>
      </c>
    </row>
    <row r="94" ht="22.5" customHeight="1">
      <c r="A94" s="38" t="s">
        <v>1371</v>
      </c>
      <c r="B94" s="39">
        <v>299.24</v>
      </c>
      <c r="C94" s="39">
        <v>115.37</v>
      </c>
      <c r="D94" s="6" t="str">
        <f>Database!H94</f>
        <v>#N/A</v>
      </c>
    </row>
    <row r="95" ht="22.5" customHeight="1">
      <c r="A95" s="38" t="s">
        <v>1372</v>
      </c>
      <c r="B95" s="39">
        <v>185.32</v>
      </c>
      <c r="C95" s="39">
        <v>73.52</v>
      </c>
      <c r="D95" s="6" t="str">
        <f>Database!H95</f>
        <v>#N/A</v>
      </c>
    </row>
    <row r="96" ht="22.5" customHeight="1">
      <c r="A96" s="38" t="s">
        <v>1373</v>
      </c>
      <c r="B96" s="39">
        <v>207.75</v>
      </c>
      <c r="C96" s="39">
        <v>154.4</v>
      </c>
      <c r="D96" s="6" t="str">
        <f>Database!H96</f>
        <v>#N/A</v>
      </c>
    </row>
    <row r="97" ht="22.5" customHeight="1">
      <c r="A97" s="38" t="s">
        <v>1374</v>
      </c>
      <c r="B97" s="39">
        <v>207.78</v>
      </c>
      <c r="C97" s="39">
        <v>261.32</v>
      </c>
      <c r="D97" s="6" t="str">
        <f>Database!H97</f>
        <v>#N/A</v>
      </c>
    </row>
    <row r="98" ht="22.5" customHeight="1">
      <c r="A98" s="38" t="s">
        <v>1375</v>
      </c>
      <c r="B98" s="39">
        <v>255.23</v>
      </c>
      <c r="C98" s="39">
        <v>98.41</v>
      </c>
      <c r="D98" s="6" t="str">
        <f>Database!H98</f>
        <v>#N/A</v>
      </c>
    </row>
    <row r="99" ht="22.5" customHeight="1">
      <c r="A99" s="38" t="s">
        <v>1376</v>
      </c>
      <c r="B99" s="39">
        <v>347.605</v>
      </c>
      <c r="C99" s="39">
        <v>230.475</v>
      </c>
      <c r="D99" s="6" t="str">
        <f>Database!H99</f>
        <v>#N/A</v>
      </c>
    </row>
    <row r="100" ht="22.5" customHeight="1">
      <c r="A100" s="38" t="s">
        <v>1377</v>
      </c>
      <c r="B100" s="39">
        <v>238.0</v>
      </c>
      <c r="C100" s="39">
        <v>240.63</v>
      </c>
      <c r="D100" s="6" t="str">
        <f>Database!H100</f>
        <v>#N/A</v>
      </c>
    </row>
    <row r="101" ht="22.5" customHeight="1">
      <c r="A101" s="38" t="s">
        <v>1378</v>
      </c>
      <c r="B101" s="39">
        <v>208.01</v>
      </c>
      <c r="C101" s="39">
        <v>139.14</v>
      </c>
      <c r="D101" s="6" t="str">
        <f>Database!H101</f>
        <v>#N/A</v>
      </c>
    </row>
    <row r="102" ht="22.5" customHeight="1">
      <c r="A102" s="38" t="s">
        <v>1379</v>
      </c>
      <c r="B102" s="39">
        <v>328.6</v>
      </c>
      <c r="C102" s="39">
        <v>110.16</v>
      </c>
      <c r="D102" s="6" t="str">
        <f>Database!H102</f>
        <v>#N/A</v>
      </c>
    </row>
    <row r="103" ht="22.5" customHeight="1">
      <c r="A103" s="38" t="s">
        <v>1380</v>
      </c>
      <c r="B103" s="39">
        <v>322.66</v>
      </c>
      <c r="C103" s="39">
        <v>108.39</v>
      </c>
      <c r="D103" s="6" t="str">
        <f>Database!H103</f>
        <v>#N/A</v>
      </c>
    </row>
    <row r="104" ht="22.5" customHeight="1">
      <c r="A104" s="38" t="s">
        <v>1381</v>
      </c>
      <c r="B104" s="39">
        <v>342.05</v>
      </c>
      <c r="C104" s="39">
        <v>231.83</v>
      </c>
      <c r="D104" s="6" t="str">
        <f>Database!H104</f>
        <v>#N/A</v>
      </c>
    </row>
    <row r="105" ht="22.5" customHeight="1">
      <c r="A105" s="38" t="s">
        <v>1382</v>
      </c>
      <c r="B105" s="39">
        <v>212.01</v>
      </c>
      <c r="C105" s="39">
        <v>82.2</v>
      </c>
      <c r="D105" s="6" t="str">
        <f>Database!H105</f>
        <v>#N/A</v>
      </c>
    </row>
    <row r="106" ht="22.5" customHeight="1">
      <c r="A106" s="38" t="s">
        <v>1383</v>
      </c>
      <c r="B106" s="39">
        <v>223.78</v>
      </c>
      <c r="C106" s="39">
        <v>98.01</v>
      </c>
      <c r="D106" s="6" t="str">
        <f>Database!H106</f>
        <v>#N/A</v>
      </c>
    </row>
    <row r="107" ht="22.5" customHeight="1">
      <c r="A107" s="38" t="s">
        <v>1384</v>
      </c>
      <c r="B107" s="39">
        <v>266.35</v>
      </c>
      <c r="C107" s="39">
        <v>92.96</v>
      </c>
      <c r="D107" s="6" t="str">
        <f>Database!H107</f>
        <v>#N/A</v>
      </c>
    </row>
    <row r="108" ht="22.5" customHeight="1">
      <c r="A108" s="38" t="s">
        <v>1385</v>
      </c>
      <c r="B108" s="39">
        <v>276.84</v>
      </c>
      <c r="C108" s="39">
        <v>110.21</v>
      </c>
      <c r="D108" s="6" t="str">
        <f>Database!H108</f>
        <v>#N/A</v>
      </c>
    </row>
    <row r="109" ht="22.5" customHeight="1">
      <c r="A109" s="38" t="s">
        <v>1386</v>
      </c>
      <c r="B109" s="39">
        <v>207.44</v>
      </c>
      <c r="C109" s="39">
        <v>92.65</v>
      </c>
      <c r="D109" s="6" t="str">
        <f>Database!H109</f>
        <v>#N/A</v>
      </c>
    </row>
    <row r="110" ht="22.5" customHeight="1">
      <c r="A110" s="38" t="s">
        <v>1387</v>
      </c>
      <c r="B110" s="39">
        <v>147.38</v>
      </c>
      <c r="C110" s="39">
        <v>92.15</v>
      </c>
      <c r="D110" s="6" t="str">
        <f>Database!H110</f>
        <v>#N/A</v>
      </c>
    </row>
    <row r="111" ht="22.5" customHeight="1">
      <c r="A111" s="38" t="s">
        <v>1388</v>
      </c>
      <c r="B111" s="39">
        <v>199.75</v>
      </c>
      <c r="C111" s="39">
        <v>97.75</v>
      </c>
      <c r="D111" s="6" t="str">
        <f>Database!H111</f>
        <v>#N/A</v>
      </c>
    </row>
    <row r="112" ht="22.5" customHeight="1">
      <c r="A112" s="38" t="s">
        <v>1389</v>
      </c>
      <c r="B112" s="39">
        <v>203.92</v>
      </c>
      <c r="C112" s="39">
        <v>92.98</v>
      </c>
      <c r="D112" s="6" t="str">
        <f>Database!H112</f>
        <v>#N/A</v>
      </c>
    </row>
    <row r="113" ht="22.5" customHeight="1">
      <c r="A113" s="38" t="s">
        <v>1390</v>
      </c>
      <c r="B113" s="39">
        <v>156.21</v>
      </c>
      <c r="C113" s="39">
        <v>147.13</v>
      </c>
      <c r="D113" s="6" t="str">
        <f>Database!H113</f>
        <v>#N/A</v>
      </c>
    </row>
    <row r="114" ht="22.5" customHeight="1">
      <c r="A114" s="38" t="s">
        <v>1391</v>
      </c>
      <c r="B114" s="39">
        <v>219.82</v>
      </c>
      <c r="C114" s="39">
        <v>100.75</v>
      </c>
      <c r="D114" s="6" t="str">
        <f>Database!H114</f>
        <v>#N/A</v>
      </c>
    </row>
    <row r="115" ht="22.5" customHeight="1">
      <c r="A115" s="38" t="s">
        <v>1392</v>
      </c>
      <c r="B115" s="39">
        <v>225.24</v>
      </c>
      <c r="C115" s="39">
        <v>178.37</v>
      </c>
      <c r="D115" s="6" t="str">
        <f>Database!H115</f>
        <v>#N/A</v>
      </c>
    </row>
    <row r="116" ht="22.5" customHeight="1">
      <c r="A116" s="38" t="s">
        <v>1393</v>
      </c>
      <c r="B116" s="39">
        <v>224.14</v>
      </c>
      <c r="C116" s="39">
        <v>89.17</v>
      </c>
      <c r="D116" s="6" t="str">
        <f>Database!H116</f>
        <v>#N/A</v>
      </c>
    </row>
    <row r="117" ht="22.5" customHeight="1">
      <c r="A117" s="38" t="s">
        <v>1394</v>
      </c>
      <c r="B117" s="39">
        <v>147.37</v>
      </c>
      <c r="C117" s="39">
        <v>90.265</v>
      </c>
      <c r="D117" s="6" t="str">
        <f>Database!H117</f>
        <v>#N/A</v>
      </c>
    </row>
    <row r="118" ht="22.5" customHeight="1">
      <c r="A118" s="38" t="s">
        <v>1395</v>
      </c>
      <c r="B118" s="39">
        <v>355.36</v>
      </c>
      <c r="C118" s="39">
        <v>97.14</v>
      </c>
      <c r="D118" s="6" t="str">
        <f>Database!H118</f>
        <v>#N/A</v>
      </c>
    </row>
    <row r="119" ht="22.5" customHeight="1">
      <c r="A119" s="38" t="s">
        <v>1396</v>
      </c>
      <c r="B119" s="39">
        <v>348.09</v>
      </c>
      <c r="C119" s="39">
        <v>235.405</v>
      </c>
      <c r="D119" s="6" t="str">
        <f>Database!H119</f>
        <v>#N/A</v>
      </c>
    </row>
    <row r="120" ht="22.5" customHeight="1">
      <c r="A120" s="38" t="s">
        <v>1397</v>
      </c>
      <c r="B120" s="39">
        <v>231.045</v>
      </c>
      <c r="C120" s="39">
        <v>232.57</v>
      </c>
      <c r="D120" s="6" t="str">
        <f>Database!H120</f>
        <v>#N/A</v>
      </c>
    </row>
    <row r="121" ht="22.5" customHeight="1">
      <c r="A121" s="38" t="s">
        <v>1398</v>
      </c>
      <c r="B121" s="39">
        <v>354.64</v>
      </c>
      <c r="C121" s="39">
        <v>91.35</v>
      </c>
      <c r="D121" s="6" t="str">
        <f>Database!H121</f>
        <v>#N/A</v>
      </c>
    </row>
    <row r="122" ht="22.5" customHeight="1">
      <c r="A122" s="38" t="s">
        <v>1399</v>
      </c>
      <c r="B122" s="39">
        <v>228.74</v>
      </c>
      <c r="C122" s="39">
        <v>98.12</v>
      </c>
      <c r="D122" s="6" t="str">
        <f>Database!H122</f>
        <v>#N/A</v>
      </c>
    </row>
    <row r="123" ht="22.5" customHeight="1">
      <c r="A123" s="38" t="s">
        <v>1400</v>
      </c>
      <c r="B123" s="39">
        <v>236.09</v>
      </c>
      <c r="C123" s="39">
        <v>116.59</v>
      </c>
      <c r="D123" s="6" t="str">
        <f>Database!H123</f>
        <v>#N/A</v>
      </c>
    </row>
    <row r="124" ht="22.5" customHeight="1">
      <c r="A124" s="38" t="s">
        <v>1401</v>
      </c>
      <c r="B124" s="39">
        <v>293.03</v>
      </c>
      <c r="C124" s="39">
        <v>293.02</v>
      </c>
      <c r="D124" s="6" t="str">
        <f>Database!H124</f>
        <v>#N/A</v>
      </c>
    </row>
    <row r="125" ht="22.5" customHeight="1">
      <c r="A125" s="38" t="s">
        <v>1402</v>
      </c>
      <c r="B125" s="39">
        <v>367.495</v>
      </c>
      <c r="C125" s="39">
        <v>142.55</v>
      </c>
      <c r="D125" s="6" t="str">
        <f>Database!H125</f>
        <v>#N/A</v>
      </c>
    </row>
    <row r="126" ht="22.5" customHeight="1">
      <c r="A126" s="38" t="s">
        <v>1403</v>
      </c>
      <c r="B126" s="39">
        <v>256.07</v>
      </c>
      <c r="C126" s="39">
        <v>276.04</v>
      </c>
      <c r="D126" s="6" t="str">
        <f>Database!H126</f>
        <v>#N/A</v>
      </c>
    </row>
    <row r="127" ht="22.5" customHeight="1">
      <c r="A127" s="38" t="s">
        <v>1404</v>
      </c>
      <c r="B127" s="39">
        <v>220.19</v>
      </c>
      <c r="C127" s="39">
        <v>88.02</v>
      </c>
      <c r="D127" s="6" t="str">
        <f>Database!H127</f>
        <v>#N/A</v>
      </c>
    </row>
    <row r="128" ht="22.5" customHeight="1">
      <c r="A128" s="38" t="s">
        <v>1405</v>
      </c>
      <c r="B128" s="39">
        <v>207.91</v>
      </c>
      <c r="C128" s="39">
        <v>124.08</v>
      </c>
      <c r="D128" s="6" t="str">
        <f>Database!H128</f>
        <v>#N/A</v>
      </c>
    </row>
    <row r="129" ht="22.5" customHeight="1">
      <c r="A129" s="38" t="s">
        <v>1406</v>
      </c>
      <c r="B129" s="39">
        <v>199.625</v>
      </c>
      <c r="C129" s="39">
        <v>105.51</v>
      </c>
      <c r="D129" s="6" t="str">
        <f>Database!H129</f>
        <v>#N/A</v>
      </c>
    </row>
    <row r="130" ht="22.5" customHeight="1">
      <c r="A130" s="38" t="s">
        <v>1407</v>
      </c>
      <c r="B130" s="39">
        <v>199.83</v>
      </c>
      <c r="C130" s="39">
        <v>104.52</v>
      </c>
      <c r="D130" s="6" t="str">
        <f>Database!H130</f>
        <v>#N/A</v>
      </c>
    </row>
    <row r="131" ht="22.5" customHeight="1">
      <c r="A131" s="38" t="s">
        <v>1408</v>
      </c>
      <c r="B131" s="39">
        <v>156.85</v>
      </c>
      <c r="C131" s="39">
        <v>147.37</v>
      </c>
      <c r="D131" s="6" t="str">
        <f>Database!H131</f>
        <v>#N/A</v>
      </c>
    </row>
    <row r="132" ht="22.5" customHeight="1">
      <c r="A132" s="38" t="s">
        <v>1409</v>
      </c>
      <c r="B132" s="39">
        <v>246.925</v>
      </c>
      <c r="C132" s="39">
        <v>175.05</v>
      </c>
      <c r="D132" s="6" t="str">
        <f>Database!H132</f>
        <v>#N/A</v>
      </c>
    </row>
    <row r="133" ht="22.5" customHeight="1">
      <c r="A133" s="38" t="s">
        <v>1410</v>
      </c>
      <c r="B133" s="39">
        <v>156.12</v>
      </c>
      <c r="C133" s="39">
        <v>155.9</v>
      </c>
      <c r="D133" s="6" t="str">
        <f>Database!H133</f>
        <v>#N/A</v>
      </c>
    </row>
    <row r="134" ht="22.5" customHeight="1">
      <c r="A134" s="38" t="s">
        <v>1411</v>
      </c>
      <c r="B134" s="39">
        <v>136.61</v>
      </c>
      <c r="C134" s="39">
        <v>92.59</v>
      </c>
      <c r="D134" s="6" t="str">
        <f>Database!H134</f>
        <v>#N/A</v>
      </c>
    </row>
    <row r="135" ht="22.5" customHeight="1">
      <c r="A135" s="38" t="s">
        <v>1412</v>
      </c>
      <c r="B135" s="39">
        <v>220.855</v>
      </c>
      <c r="C135" s="39">
        <v>82.69</v>
      </c>
      <c r="D135" s="6" t="str">
        <f>Database!H135</f>
        <v>#N/A</v>
      </c>
    </row>
    <row r="136" ht="22.5" customHeight="1">
      <c r="A136" s="38" t="s">
        <v>1413</v>
      </c>
      <c r="B136" s="39">
        <v>347.96</v>
      </c>
      <c r="C136" s="39">
        <v>88.945</v>
      </c>
      <c r="D136" s="6" t="str">
        <f>Database!H136</f>
        <v>#N/A</v>
      </c>
    </row>
    <row r="137" ht="22.5" customHeight="1">
      <c r="A137" s="38" t="s">
        <v>1414</v>
      </c>
      <c r="B137" s="39">
        <v>230.86</v>
      </c>
      <c r="C137" s="39">
        <v>103.4</v>
      </c>
      <c r="D137" s="6" t="str">
        <f>Database!H137</f>
        <v>#N/A</v>
      </c>
    </row>
    <row r="138" ht="22.5" customHeight="1">
      <c r="A138" s="38" t="s">
        <v>1415</v>
      </c>
      <c r="B138" s="39">
        <v>220.15</v>
      </c>
      <c r="C138" s="39">
        <v>220.06</v>
      </c>
      <c r="D138" s="6" t="str">
        <f>Database!H138</f>
        <v>#N/A</v>
      </c>
    </row>
    <row r="139" ht="22.5" customHeight="1">
      <c r="A139" s="38" t="s">
        <v>1416</v>
      </c>
      <c r="B139" s="39">
        <v>333.34</v>
      </c>
      <c r="C139" s="39">
        <v>93.185</v>
      </c>
      <c r="D139" s="6" t="str">
        <f>Database!H139</f>
        <v>#N/A</v>
      </c>
    </row>
    <row r="140" ht="22.5" customHeight="1">
      <c r="A140" s="38" t="s">
        <v>1417</v>
      </c>
      <c r="B140" s="39">
        <v>203.89</v>
      </c>
      <c r="C140" s="39">
        <v>165.25</v>
      </c>
      <c r="D140" s="6" t="str">
        <f>Database!H140</f>
        <v>#N/A</v>
      </c>
    </row>
    <row r="141" ht="22.5" customHeight="1">
      <c r="A141" s="38" t="s">
        <v>1418</v>
      </c>
      <c r="B141" s="39">
        <v>276.495</v>
      </c>
      <c r="C141" s="39">
        <v>93.27</v>
      </c>
      <c r="D141" s="6" t="str">
        <f>Database!H141</f>
        <v>#N/A</v>
      </c>
    </row>
    <row r="142" ht="22.5" customHeight="1">
      <c r="A142" s="38" t="s">
        <v>1419</v>
      </c>
      <c r="B142" s="39">
        <v>233.08</v>
      </c>
      <c r="C142" s="39">
        <v>104.51</v>
      </c>
      <c r="D142" s="6" t="str">
        <f>Database!H142</f>
        <v>#N/A</v>
      </c>
    </row>
    <row r="143" ht="22.5" customHeight="1">
      <c r="A143" s="38" t="s">
        <v>1420</v>
      </c>
      <c r="B143" s="39">
        <v>175.33</v>
      </c>
      <c r="C143" s="39">
        <v>80.32</v>
      </c>
      <c r="D143" s="6" t="str">
        <f>Database!H143</f>
        <v>#N/A</v>
      </c>
    </row>
    <row r="144" ht="22.5" customHeight="1">
      <c r="A144" s="38" t="s">
        <v>1421</v>
      </c>
      <c r="B144" s="39">
        <v>346.52</v>
      </c>
      <c r="C144" s="39">
        <v>87.92</v>
      </c>
      <c r="D144" s="6" t="str">
        <f>Database!H144</f>
        <v>#N/A</v>
      </c>
    </row>
    <row r="145" ht="22.5" customHeight="1">
      <c r="A145" s="38" t="s">
        <v>1422</v>
      </c>
      <c r="B145" s="39">
        <v>147.37</v>
      </c>
      <c r="C145" s="39">
        <v>147.34</v>
      </c>
      <c r="D145" s="6" t="str">
        <f>Database!H145</f>
        <v>#N/A</v>
      </c>
    </row>
    <row r="146" ht="22.5" customHeight="1">
      <c r="A146" s="38" t="s">
        <v>1423</v>
      </c>
      <c r="B146" s="39">
        <v>326.88</v>
      </c>
      <c r="C146" s="39">
        <v>174.99</v>
      </c>
      <c r="D146" s="6" t="str">
        <f>Database!H146</f>
        <v>#N/A</v>
      </c>
    </row>
    <row r="147" ht="22.5" customHeight="1">
      <c r="A147" s="38" t="s">
        <v>1424</v>
      </c>
      <c r="B147" s="39">
        <v>156.06</v>
      </c>
      <c r="C147" s="39">
        <v>131.475</v>
      </c>
      <c r="D147" s="6" t="str">
        <f>Database!H147</f>
        <v>#N/A</v>
      </c>
    </row>
    <row r="148" ht="22.5" customHeight="1">
      <c r="A148" s="38" t="s">
        <v>1425</v>
      </c>
      <c r="B148" s="39">
        <v>165.28</v>
      </c>
      <c r="C148" s="39">
        <v>91.29</v>
      </c>
      <c r="D148" s="6" t="str">
        <f>Database!H148</f>
        <v>#N/A</v>
      </c>
    </row>
    <row r="149" ht="22.5" customHeight="1">
      <c r="A149" s="38" t="s">
        <v>1426</v>
      </c>
      <c r="B149" s="39">
        <v>165.1</v>
      </c>
      <c r="C149" s="39">
        <v>92.89</v>
      </c>
      <c r="D149" s="6" t="str">
        <f>Database!H149</f>
        <v>#N/A</v>
      </c>
    </row>
    <row r="150" ht="22.5" customHeight="1">
      <c r="A150" s="38" t="s">
        <v>1427</v>
      </c>
      <c r="B150" s="39">
        <v>293.21</v>
      </c>
      <c r="C150" s="39">
        <v>96.91</v>
      </c>
      <c r="D150" s="6" t="str">
        <f>Database!H150</f>
        <v>#N/A</v>
      </c>
    </row>
    <row r="151" ht="22.5" customHeight="1">
      <c r="A151" s="38" t="s">
        <v>1428</v>
      </c>
      <c r="B151" s="39">
        <v>175.0</v>
      </c>
      <c r="C151" s="39">
        <v>88.02</v>
      </c>
      <c r="D151" s="6" t="str">
        <f>Database!H151</f>
        <v>#N/A</v>
      </c>
    </row>
    <row r="152" ht="22.5" customHeight="1">
      <c r="A152" s="38" t="s">
        <v>1429</v>
      </c>
      <c r="B152" s="39">
        <v>177.46</v>
      </c>
      <c r="C152" s="39">
        <v>93.17</v>
      </c>
      <c r="D152" s="6" t="str">
        <f>Database!H152</f>
        <v>#N/A</v>
      </c>
    </row>
    <row r="153" ht="22.5" customHeight="1">
      <c r="A153" s="38" t="s">
        <v>1430</v>
      </c>
      <c r="B153" s="39">
        <v>139.14</v>
      </c>
      <c r="C153" s="39">
        <v>139.16</v>
      </c>
      <c r="D153" s="6" t="str">
        <f>Database!H153</f>
        <v>#N/A</v>
      </c>
    </row>
    <row r="154" ht="22.5" customHeight="1">
      <c r="A154" s="38" t="s">
        <v>1431</v>
      </c>
      <c r="B154" s="39">
        <v>327.805</v>
      </c>
      <c r="C154" s="39">
        <v>88.02</v>
      </c>
      <c r="D154" s="6" t="str">
        <f>Database!H154</f>
        <v>#N/A</v>
      </c>
    </row>
    <row r="155" ht="22.5" customHeight="1">
      <c r="A155" s="38" t="s">
        <v>1432</v>
      </c>
      <c r="B155" s="39">
        <v>164.245</v>
      </c>
      <c r="C155" s="39">
        <v>137.69</v>
      </c>
      <c r="D155" s="6" t="str">
        <f>Database!H155</f>
        <v>#N/A</v>
      </c>
    </row>
    <row r="156" ht="22.5" customHeight="1">
      <c r="A156" s="38" t="s">
        <v>1433</v>
      </c>
      <c r="B156" s="39">
        <v>147.38</v>
      </c>
      <c r="C156" s="39">
        <v>83.24</v>
      </c>
      <c r="D156" s="6" t="str">
        <f>Database!H156</f>
        <v>#N/A</v>
      </c>
    </row>
    <row r="157" ht="22.5" customHeight="1">
      <c r="A157" s="38" t="s">
        <v>1434</v>
      </c>
      <c r="B157" s="39">
        <v>341.81</v>
      </c>
      <c r="C157" s="39">
        <v>110.6</v>
      </c>
      <c r="D157" s="6" t="str">
        <f>Database!H157</f>
        <v>#N/A</v>
      </c>
    </row>
    <row r="158" ht="22.5" customHeight="1">
      <c r="A158" s="38" t="s">
        <v>1435</v>
      </c>
      <c r="B158" s="39">
        <v>232.23</v>
      </c>
      <c r="C158" s="39">
        <v>147.57</v>
      </c>
      <c r="D158" s="6" t="str">
        <f>Database!H158</f>
        <v>#N/A</v>
      </c>
    </row>
    <row r="159" ht="22.5" customHeight="1">
      <c r="A159" s="38" t="s">
        <v>1436</v>
      </c>
      <c r="B159" s="39">
        <v>196.19</v>
      </c>
      <c r="C159" s="39">
        <v>98.79</v>
      </c>
      <c r="D159" s="6" t="str">
        <f>Database!H159</f>
        <v>#N/A</v>
      </c>
    </row>
    <row r="160" ht="22.5" customHeight="1">
      <c r="A160" s="38" t="s">
        <v>1437</v>
      </c>
      <c r="B160" s="39">
        <v>165.465</v>
      </c>
      <c r="C160" s="39">
        <v>83.56</v>
      </c>
      <c r="D160" s="6" t="str">
        <f>Database!H160</f>
        <v>#N/A</v>
      </c>
    </row>
    <row r="161" ht="22.5" customHeight="1">
      <c r="A161" s="38" t="s">
        <v>1438</v>
      </c>
      <c r="B161" s="39">
        <v>266.76</v>
      </c>
      <c r="C161" s="39">
        <v>99.425</v>
      </c>
      <c r="D161" s="6" t="str">
        <f>Database!H161</f>
        <v>#N/A</v>
      </c>
    </row>
    <row r="162" ht="22.5" customHeight="1">
      <c r="A162" s="38" t="s">
        <v>1439</v>
      </c>
      <c r="B162" s="39">
        <v>261.35</v>
      </c>
      <c r="C162" s="39">
        <v>100.85</v>
      </c>
      <c r="D162" s="6" t="str">
        <f>Database!H162</f>
        <v>#N/A</v>
      </c>
    </row>
    <row r="163" ht="22.5" customHeight="1">
      <c r="A163" s="38" t="s">
        <v>1440</v>
      </c>
      <c r="B163" s="39">
        <v>237.52</v>
      </c>
      <c r="C163" s="39">
        <v>99.96</v>
      </c>
      <c r="D163" s="6" t="str">
        <f>Database!H163</f>
        <v>#N/A</v>
      </c>
    </row>
    <row r="164" ht="22.5" customHeight="1">
      <c r="A164" s="38" t="s">
        <v>1441</v>
      </c>
      <c r="B164" s="39">
        <v>265.48</v>
      </c>
      <c r="C164" s="39">
        <v>99.95</v>
      </c>
      <c r="D164" s="6" t="str">
        <f>Database!H164</f>
        <v>#N/A</v>
      </c>
    </row>
    <row r="165" ht="22.5" customHeight="1">
      <c r="A165" s="38" t="s">
        <v>1442</v>
      </c>
      <c r="B165" s="39">
        <v>173.92</v>
      </c>
      <c r="C165" s="39">
        <v>107.795</v>
      </c>
      <c r="D165" s="6" t="str">
        <f>Database!H166</f>
        <v>#N/A</v>
      </c>
    </row>
    <row r="166" ht="22.5" customHeight="1">
      <c r="A166" s="38" t="s">
        <v>1443</v>
      </c>
      <c r="B166" s="39">
        <v>175.34</v>
      </c>
      <c r="C166" s="39">
        <v>98.7</v>
      </c>
      <c r="D166" s="6" t="str">
        <f>Database!H165</f>
        <v>#N/A</v>
      </c>
    </row>
    <row r="167" ht="22.5" customHeight="1">
      <c r="A167" s="38" t="s">
        <v>1444</v>
      </c>
      <c r="B167" s="39">
        <v>240.895</v>
      </c>
      <c r="C167" s="39">
        <v>120.23</v>
      </c>
      <c r="D167" s="6" t="str">
        <f>Database!H167</f>
        <v>#N/A</v>
      </c>
    </row>
    <row r="168" ht="22.5" customHeight="1">
      <c r="A168" s="38" t="s">
        <v>1445</v>
      </c>
      <c r="B168" s="39">
        <v>165.3</v>
      </c>
      <c r="C168" s="39">
        <v>156.05</v>
      </c>
      <c r="D168" s="6" t="str">
        <f>Database!H168</f>
        <v>#N/A</v>
      </c>
    </row>
    <row r="169" ht="22.5" customHeight="1">
      <c r="A169" s="38" t="s">
        <v>1446</v>
      </c>
      <c r="B169" s="39">
        <v>293.06</v>
      </c>
      <c r="C169" s="39">
        <v>276.16</v>
      </c>
      <c r="D169" s="6" t="str">
        <f>Database!H169</f>
        <v>#N/A</v>
      </c>
    </row>
    <row r="170" ht="22.5" customHeight="1">
      <c r="A170" s="38" t="s">
        <v>1447</v>
      </c>
      <c r="B170" s="39">
        <v>220.38</v>
      </c>
      <c r="C170" s="39">
        <v>92.95</v>
      </c>
      <c r="D170" s="6" t="str">
        <f>Database!H170</f>
        <v>#N/A</v>
      </c>
    </row>
    <row r="171" ht="22.5" customHeight="1">
      <c r="A171" s="38" t="s">
        <v>1448</v>
      </c>
      <c r="B171" s="39">
        <v>245.32</v>
      </c>
      <c r="C171" s="39">
        <v>233.04</v>
      </c>
      <c r="D171" s="6" t="str">
        <f>Database!H171</f>
        <v>#N/A</v>
      </c>
    </row>
    <row r="172" ht="22.5" customHeight="1">
      <c r="A172" s="38" t="s">
        <v>1449</v>
      </c>
      <c r="B172" s="39">
        <v>290.71</v>
      </c>
      <c r="C172" s="39">
        <v>117.13</v>
      </c>
      <c r="D172" s="6" t="str">
        <f>Database!H172</f>
        <v>#N/A</v>
      </c>
    </row>
    <row r="173" ht="22.5" customHeight="1">
      <c r="A173" s="38" t="s">
        <v>1450</v>
      </c>
      <c r="B173" s="39">
        <v>243.215</v>
      </c>
      <c r="C173" s="39">
        <v>89.15</v>
      </c>
      <c r="D173" s="6" t="str">
        <f>Database!H173</f>
        <v>#N/A</v>
      </c>
    </row>
    <row r="174" ht="22.5" customHeight="1">
      <c r="A174" s="38" t="s">
        <v>1451</v>
      </c>
      <c r="B174" s="39">
        <v>257.83</v>
      </c>
      <c r="C174" s="39">
        <v>104.35</v>
      </c>
      <c r="D174" s="6" t="str">
        <f>Database!H174</f>
        <v>#N/A</v>
      </c>
    </row>
    <row r="175" ht="22.5" customHeight="1">
      <c r="A175" s="38" t="s">
        <v>1452</v>
      </c>
      <c r="B175" s="39">
        <v>201.85</v>
      </c>
      <c r="C175" s="39">
        <v>95.04</v>
      </c>
      <c r="D175" s="6" t="str">
        <f>Database!H175</f>
        <v>#N/A</v>
      </c>
    </row>
    <row r="176" ht="22.5" customHeight="1">
      <c r="A176" s="38" t="s">
        <v>1453</v>
      </c>
      <c r="B176" s="39">
        <v>196.3</v>
      </c>
      <c r="C176" s="39">
        <v>100.39</v>
      </c>
      <c r="D176" s="6" t="str">
        <f>Database!H176</f>
        <v>#N/A</v>
      </c>
    </row>
    <row r="177" ht="22.5" customHeight="1">
      <c r="A177" s="38" t="s">
        <v>1454</v>
      </c>
      <c r="B177" s="39">
        <v>261.34</v>
      </c>
      <c r="C177" s="39">
        <v>104.51</v>
      </c>
      <c r="D177" s="6" t="str">
        <f>Database!H177</f>
        <v>#N/A</v>
      </c>
    </row>
    <row r="178" ht="22.5" customHeight="1">
      <c r="A178" s="38" t="s">
        <v>1455</v>
      </c>
      <c r="B178" s="39">
        <v>218.3</v>
      </c>
      <c r="C178" s="39">
        <v>88.06</v>
      </c>
      <c r="D178" s="6" t="str">
        <f>Database!H178</f>
        <v>#N/A</v>
      </c>
    </row>
    <row r="179" ht="22.5" customHeight="1">
      <c r="A179" s="38" t="s">
        <v>1456</v>
      </c>
      <c r="B179" s="39">
        <v>256.75</v>
      </c>
      <c r="C179" s="39">
        <v>88.36</v>
      </c>
      <c r="D179" s="6" t="str">
        <f>Database!H179</f>
        <v>#N/A</v>
      </c>
    </row>
    <row r="180" ht="22.5" customHeight="1">
      <c r="A180" s="38" t="s">
        <v>1457</v>
      </c>
      <c r="B180" s="39">
        <v>185.12</v>
      </c>
      <c r="C180" s="39">
        <v>92.37</v>
      </c>
      <c r="D180" s="6" t="str">
        <f>Database!H180</f>
        <v>#N/A</v>
      </c>
    </row>
    <row r="181" ht="22.5" customHeight="1">
      <c r="A181" s="38" t="s">
        <v>1458</v>
      </c>
      <c r="B181" s="39">
        <v>192.79</v>
      </c>
      <c r="C181" s="39">
        <v>98.7</v>
      </c>
      <c r="D181" s="6" t="str">
        <f>Database!H181</f>
        <v>#N/A</v>
      </c>
    </row>
    <row r="182" ht="22.5" customHeight="1">
      <c r="A182" s="38" t="s">
        <v>1459</v>
      </c>
      <c r="B182" s="39">
        <v>193.48</v>
      </c>
      <c r="C182" s="39">
        <v>104.21</v>
      </c>
      <c r="D182" s="6" t="str">
        <f>Database!H182</f>
        <v>#N/A</v>
      </c>
    </row>
    <row r="183" ht="22.5" customHeight="1">
      <c r="A183" s="38" t="s">
        <v>1460</v>
      </c>
      <c r="B183" s="39">
        <v>131.31</v>
      </c>
      <c r="C183" s="39">
        <v>165.28</v>
      </c>
      <c r="D183" s="6" t="str">
        <f>Database!H183</f>
        <v>#N/A</v>
      </c>
    </row>
    <row r="184" ht="22.5" customHeight="1">
      <c r="A184" s="38" t="s">
        <v>1461</v>
      </c>
      <c r="B184" s="39">
        <v>167.95</v>
      </c>
      <c r="C184" s="39">
        <v>92.93</v>
      </c>
      <c r="D184" s="6" t="str">
        <f>Database!H184</f>
        <v>#N/A</v>
      </c>
    </row>
    <row r="185" ht="22.5" customHeight="1">
      <c r="A185" s="38" t="s">
        <v>1462</v>
      </c>
      <c r="B185" s="39">
        <v>147.37</v>
      </c>
      <c r="C185" s="39">
        <v>74.855</v>
      </c>
      <c r="D185" s="6" t="str">
        <f>Database!H185</f>
        <v>#N/A</v>
      </c>
    </row>
    <row r="186" ht="22.5" customHeight="1">
      <c r="A186" s="38" t="s">
        <v>1463</v>
      </c>
      <c r="B186" s="39">
        <v>227.28</v>
      </c>
      <c r="C186" s="39">
        <v>85.5</v>
      </c>
      <c r="D186" s="6" t="str">
        <f>Database!H186</f>
        <v>#N/A</v>
      </c>
    </row>
    <row r="187" ht="22.5" customHeight="1">
      <c r="A187" s="38" t="s">
        <v>1464</v>
      </c>
      <c r="B187" s="39">
        <v>156.05</v>
      </c>
      <c r="C187" s="39">
        <v>156.03</v>
      </c>
      <c r="D187" s="6" t="str">
        <f>Database!H187</f>
        <v>#N/A</v>
      </c>
    </row>
    <row r="188" ht="22.5" customHeight="1">
      <c r="A188" s="38" t="s">
        <v>1465</v>
      </c>
      <c r="B188" s="39">
        <v>233.42</v>
      </c>
      <c r="C188" s="39">
        <v>155.84</v>
      </c>
      <c r="D188" s="6" t="str">
        <f>Database!H188</f>
        <v>#N/A</v>
      </c>
    </row>
    <row r="189" ht="22.5" customHeight="1">
      <c r="A189" s="38" t="s">
        <v>1466</v>
      </c>
      <c r="B189" s="39">
        <v>293.03</v>
      </c>
      <c r="C189" s="39">
        <v>232.95</v>
      </c>
      <c r="D189" s="6" t="str">
        <f>Database!H189</f>
        <v>#N/A</v>
      </c>
    </row>
    <row r="190" ht="22.5" customHeight="1">
      <c r="A190" s="38" t="s">
        <v>1467</v>
      </c>
      <c r="B190" s="39">
        <v>295.05</v>
      </c>
      <c r="C190" s="39">
        <v>94.34</v>
      </c>
      <c r="D190" s="6" t="str">
        <f>Database!H190</f>
        <v>#N/A</v>
      </c>
    </row>
    <row r="191" ht="22.5" customHeight="1">
      <c r="A191" s="38" t="s">
        <v>1468</v>
      </c>
      <c r="B191" s="39">
        <v>260.39</v>
      </c>
      <c r="C191" s="39">
        <v>93.05</v>
      </c>
      <c r="D191" s="6" t="str">
        <f>Database!H191</f>
        <v>#N/A</v>
      </c>
    </row>
    <row r="192" ht="22.5" customHeight="1">
      <c r="A192" s="38" t="s">
        <v>1469</v>
      </c>
      <c r="B192" s="39">
        <v>207.81</v>
      </c>
      <c r="C192" s="39">
        <v>85.245</v>
      </c>
      <c r="D192" s="6" t="str">
        <f>Database!H192</f>
        <v>#N/A</v>
      </c>
    </row>
    <row r="193" ht="22.5" customHeight="1">
      <c r="A193" s="38" t="s">
        <v>1470</v>
      </c>
      <c r="B193" s="39">
        <v>350.09</v>
      </c>
      <c r="C193" s="39">
        <v>90.51</v>
      </c>
      <c r="D193" s="6" t="str">
        <f>Database!H193</f>
        <v>#N/A</v>
      </c>
    </row>
    <row r="194" ht="22.5" customHeight="1">
      <c r="A194" s="38" t="s">
        <v>1471</v>
      </c>
      <c r="B194" s="39">
        <v>335.73</v>
      </c>
      <c r="C194" s="39">
        <v>128.99</v>
      </c>
      <c r="D194" s="6" t="str">
        <f>Database!H194</f>
        <v>#N/A</v>
      </c>
    </row>
    <row r="195" ht="22.5" customHeight="1">
      <c r="A195" s="38" t="s">
        <v>1472</v>
      </c>
      <c r="B195" s="39">
        <v>196.24</v>
      </c>
      <c r="C195" s="39">
        <v>78.5</v>
      </c>
      <c r="D195" s="6" t="str">
        <f>Database!H195</f>
        <v>#N/A</v>
      </c>
    </row>
    <row r="196" ht="22.5" customHeight="1">
      <c r="A196" s="38" t="s">
        <v>1473</v>
      </c>
      <c r="B196" s="39">
        <v>193.82</v>
      </c>
      <c r="C196" s="39">
        <v>156.06</v>
      </c>
      <c r="D196" s="6" t="str">
        <f>Database!H196</f>
        <v>#N/A</v>
      </c>
    </row>
    <row r="197" ht="22.5" customHeight="1">
      <c r="A197" s="38" t="s">
        <v>1474</v>
      </c>
      <c r="B197" s="39">
        <v>220.05</v>
      </c>
      <c r="C197" s="39">
        <v>91.44</v>
      </c>
      <c r="D197" s="6" t="str">
        <f>Database!H197</f>
        <v>#N/A</v>
      </c>
    </row>
    <row r="198" ht="22.5" customHeight="1">
      <c r="A198" s="38" t="s">
        <v>1475</v>
      </c>
      <c r="B198" s="39">
        <v>246.86</v>
      </c>
      <c r="C198" s="39">
        <v>220.07</v>
      </c>
      <c r="D198" s="6" t="str">
        <f>Database!H198</f>
        <v>#N/A</v>
      </c>
    </row>
    <row r="199" ht="22.5" customHeight="1">
      <c r="A199" s="38" t="s">
        <v>1476</v>
      </c>
      <c r="B199" s="39">
        <v>261.16</v>
      </c>
      <c r="C199" s="39">
        <v>232.8</v>
      </c>
      <c r="D199" s="6" t="str">
        <f>Database!H199</f>
        <v>#N/A</v>
      </c>
    </row>
    <row r="200" ht="22.5" customHeight="1">
      <c r="A200" s="38" t="s">
        <v>1477</v>
      </c>
      <c r="B200" s="39">
        <v>287.745</v>
      </c>
      <c r="C200" s="39">
        <v>235.09</v>
      </c>
      <c r="D200" s="6" t="str">
        <f>Database!H200</f>
        <v>#N/A</v>
      </c>
    </row>
    <row r="201" ht="22.5" customHeight="1">
      <c r="A201" s="38" t="s">
        <v>1478</v>
      </c>
      <c r="B201" s="39">
        <v>147.37</v>
      </c>
      <c r="C201" s="39">
        <v>72.81</v>
      </c>
      <c r="D201" s="6" t="str">
        <f>Database!H201</f>
        <v>#N/A</v>
      </c>
    </row>
    <row r="202" ht="22.5" customHeight="1">
      <c r="A202" s="38" t="s">
        <v>1479</v>
      </c>
      <c r="B202" s="39">
        <v>230.12</v>
      </c>
      <c r="C202" s="39">
        <v>108.18</v>
      </c>
      <c r="D202" s="6" t="str">
        <f>Database!H202</f>
        <v>#N/A</v>
      </c>
    </row>
    <row r="203" ht="22.5" customHeight="1">
      <c r="A203" s="38" t="s">
        <v>1480</v>
      </c>
      <c r="B203" s="39">
        <v>175.0</v>
      </c>
      <c r="C203" s="39">
        <v>78.51</v>
      </c>
      <c r="D203" s="6" t="str">
        <f>Database!H203</f>
        <v>#N/A</v>
      </c>
    </row>
    <row r="204" ht="22.5" customHeight="1">
      <c r="A204" s="38" t="s">
        <v>1481</v>
      </c>
      <c r="B204" s="39">
        <v>327.5</v>
      </c>
      <c r="C204" s="39">
        <v>247.71</v>
      </c>
      <c r="D204" s="6" t="str">
        <f>Database!H204</f>
        <v>#N/A</v>
      </c>
    </row>
    <row r="205" ht="22.5" customHeight="1">
      <c r="A205" s="38" t="s">
        <v>1482</v>
      </c>
      <c r="B205" s="39">
        <v>197.36</v>
      </c>
      <c r="C205" s="39">
        <v>131.74</v>
      </c>
      <c r="D205" s="6" t="str">
        <f>Database!H205</f>
        <v>#N/A</v>
      </c>
    </row>
    <row r="206" ht="22.5" customHeight="1">
      <c r="A206" s="38" t="s">
        <v>1483</v>
      </c>
      <c r="B206" s="39">
        <v>152.335</v>
      </c>
      <c r="C206" s="39">
        <v>108.49</v>
      </c>
      <c r="D206" s="6" t="str">
        <f>Database!H206</f>
        <v>#N/A</v>
      </c>
    </row>
    <row r="207" ht="22.5" customHeight="1">
      <c r="A207" s="38" t="s">
        <v>1484</v>
      </c>
      <c r="B207" s="39">
        <v>159.08</v>
      </c>
      <c r="C207" s="39">
        <v>148.39</v>
      </c>
      <c r="D207" s="6" t="str">
        <f>Database!H207</f>
        <v>#N/A</v>
      </c>
    </row>
    <row r="208" ht="22.5" customHeight="1">
      <c r="A208" s="38" t="s">
        <v>1485</v>
      </c>
      <c r="B208" s="39">
        <v>181.87</v>
      </c>
      <c r="C208" s="39">
        <v>117.7</v>
      </c>
      <c r="D208" s="6" t="str">
        <f>Database!H208</f>
        <v>#N/A</v>
      </c>
    </row>
    <row r="209" ht="22.5" customHeight="1">
      <c r="A209" s="38" t="s">
        <v>1486</v>
      </c>
      <c r="B209" s="39">
        <v>172.73</v>
      </c>
      <c r="C209" s="39">
        <v>100.73</v>
      </c>
      <c r="D209" s="6" t="str">
        <f>Database!H209</f>
        <v>#N/A</v>
      </c>
    </row>
    <row r="210" ht="22.5" customHeight="1">
      <c r="A210" s="38" t="s">
        <v>1487</v>
      </c>
      <c r="B210" s="39">
        <v>246.76</v>
      </c>
      <c r="C210" s="39">
        <v>117.2</v>
      </c>
      <c r="D210" s="6" t="str">
        <f>Database!H210</f>
        <v>#N/A</v>
      </c>
    </row>
    <row r="211" ht="22.5" customHeight="1">
      <c r="A211" s="38" t="s">
        <v>1488</v>
      </c>
      <c r="B211" s="39">
        <v>224.83</v>
      </c>
      <c r="C211" s="39">
        <v>83.42</v>
      </c>
      <c r="D211" s="6" t="str">
        <f>Database!H211</f>
        <v>#N/A</v>
      </c>
    </row>
    <row r="212" ht="22.5" customHeight="1">
      <c r="A212" s="38" t="s">
        <v>1489</v>
      </c>
      <c r="B212" s="39">
        <v>147.5</v>
      </c>
      <c r="C212" s="39">
        <v>139.49</v>
      </c>
      <c r="D212" s="6" t="str">
        <f>Database!H212</f>
        <v>#N/A</v>
      </c>
    </row>
    <row r="213" ht="22.5" customHeight="1">
      <c r="A213" s="38" t="s">
        <v>1490</v>
      </c>
      <c r="B213" s="39">
        <v>165.26</v>
      </c>
      <c r="C213" s="39">
        <v>85.82</v>
      </c>
      <c r="D213" s="6" t="str">
        <f>Database!H213</f>
        <v>#N/A</v>
      </c>
    </row>
    <row r="214" ht="22.5" customHeight="1">
      <c r="A214" s="38" t="s">
        <v>1491</v>
      </c>
      <c r="B214" s="39">
        <v>236.57</v>
      </c>
      <c r="C214" s="39">
        <v>224.08</v>
      </c>
      <c r="D214" s="6" t="str">
        <f>Database!H214</f>
        <v>#N/A</v>
      </c>
    </row>
    <row r="215" ht="22.5" customHeight="1">
      <c r="A215" s="38" t="s">
        <v>1492</v>
      </c>
      <c r="B215" s="39">
        <v>199.75</v>
      </c>
      <c r="C215" s="39">
        <v>137.28</v>
      </c>
      <c r="D215" s="6" t="str">
        <f>Database!H215</f>
        <v>#N/A</v>
      </c>
    </row>
    <row r="216" ht="22.5" customHeight="1">
      <c r="A216" s="38" t="s">
        <v>1493</v>
      </c>
      <c r="B216" s="39">
        <v>175.0</v>
      </c>
      <c r="C216" s="39">
        <v>93.23</v>
      </c>
      <c r="D216" s="6" t="str">
        <f>Database!H216</f>
        <v>#N/A</v>
      </c>
    </row>
    <row r="217" ht="22.5" customHeight="1">
      <c r="A217" s="38" t="s">
        <v>1494</v>
      </c>
      <c r="B217" s="39">
        <v>436.7</v>
      </c>
      <c r="C217" s="39">
        <v>333.66</v>
      </c>
      <c r="D217" s="6" t="str">
        <f>Database!H217</f>
        <v>#N/A</v>
      </c>
    </row>
    <row r="218" ht="22.5" customHeight="1">
      <c r="A218" s="38" t="s">
        <v>1495</v>
      </c>
      <c r="B218" s="39">
        <v>207.69</v>
      </c>
      <c r="C218" s="39">
        <v>82.99</v>
      </c>
      <c r="D218" s="6" t="str">
        <f>Database!H218</f>
        <v>#N/A</v>
      </c>
    </row>
    <row r="219" ht="22.5" customHeight="1">
      <c r="A219" s="38" t="s">
        <v>1496</v>
      </c>
      <c r="B219" s="39">
        <v>341.36</v>
      </c>
      <c r="C219" s="39">
        <v>84.76</v>
      </c>
      <c r="D219" s="6" t="str">
        <f>Database!H219</f>
        <v>#N/A</v>
      </c>
    </row>
    <row r="220" ht="22.5" customHeight="1">
      <c r="A220" s="38" t="s">
        <v>1497</v>
      </c>
      <c r="B220" s="39">
        <v>281.58</v>
      </c>
      <c r="C220" s="39">
        <v>343.01</v>
      </c>
      <c r="D220" s="6" t="str">
        <f>Database!H220</f>
        <v>#N/A</v>
      </c>
    </row>
    <row r="221" ht="22.5" customHeight="1">
      <c r="A221" s="38" t="s">
        <v>1498</v>
      </c>
      <c r="B221" s="39">
        <v>197.68</v>
      </c>
      <c r="C221" s="39">
        <v>102.82</v>
      </c>
      <c r="D221" s="6" t="str">
        <f>Database!H221</f>
        <v>#N/A</v>
      </c>
    </row>
    <row r="222" ht="22.5" customHeight="1">
      <c r="A222" s="38" t="s">
        <v>1499</v>
      </c>
      <c r="B222" s="39">
        <v>463.32</v>
      </c>
      <c r="C222" s="39">
        <v>92.92</v>
      </c>
      <c r="D222" s="6" t="str">
        <f>Database!H222</f>
        <v>#N/A</v>
      </c>
    </row>
    <row r="223" ht="22.5" customHeight="1">
      <c r="A223" s="38" t="s">
        <v>1500</v>
      </c>
      <c r="B223" s="39">
        <v>156.03</v>
      </c>
      <c r="C223" s="39">
        <v>156.06</v>
      </c>
      <c r="D223" s="6" t="str">
        <f>Database!H223</f>
        <v>#N/A</v>
      </c>
    </row>
    <row r="224" ht="22.5" customHeight="1">
      <c r="A224" s="38" t="s">
        <v>1501</v>
      </c>
      <c r="B224" s="39">
        <v>271.81</v>
      </c>
      <c r="C224" s="39">
        <v>72.74</v>
      </c>
      <c r="D224" s="6" t="str">
        <f>Database!H224</f>
        <v>#N/A</v>
      </c>
    </row>
    <row r="225" ht="22.5" customHeight="1">
      <c r="A225" s="38" t="s">
        <v>1502</v>
      </c>
      <c r="B225" s="39">
        <v>368.53</v>
      </c>
      <c r="C225" s="39">
        <v>437.44</v>
      </c>
      <c r="D225" s="6" t="str">
        <f>Database!H225</f>
        <v>#N/A</v>
      </c>
    </row>
    <row r="226" ht="22.5" customHeight="1">
      <c r="A226" s="38" t="s">
        <v>1503</v>
      </c>
      <c r="B226" s="39">
        <v>207.17</v>
      </c>
      <c r="C226" s="39">
        <v>437.53</v>
      </c>
      <c r="D226" s="6" t="str">
        <f>Database!H226</f>
        <v>#N/A</v>
      </c>
    </row>
    <row r="227" ht="22.5" customHeight="1">
      <c r="A227" s="38" t="s">
        <v>1504</v>
      </c>
      <c r="B227" s="39">
        <v>324.73</v>
      </c>
      <c r="C227" s="39">
        <v>119.1</v>
      </c>
      <c r="D227" s="6" t="str">
        <f>Database!H227</f>
        <v>#N/A</v>
      </c>
    </row>
    <row r="228" ht="22.5" customHeight="1">
      <c r="A228" s="38" t="s">
        <v>1505</v>
      </c>
      <c r="B228" s="39">
        <v>185.155</v>
      </c>
      <c r="C228" s="39">
        <v>136.06</v>
      </c>
      <c r="D228" s="6" t="str">
        <f>Database!H228</f>
        <v>#N/A</v>
      </c>
    </row>
    <row r="229" ht="22.5" customHeight="1">
      <c r="A229" s="38" t="s">
        <v>1506</v>
      </c>
      <c r="B229" s="39">
        <v>298.56</v>
      </c>
      <c r="C229" s="39">
        <v>117.18</v>
      </c>
      <c r="D229" s="6" t="str">
        <f>Database!H229</f>
        <v>#N/A</v>
      </c>
    </row>
    <row r="230" ht="22.5" customHeight="1">
      <c r="A230" s="38" t="s">
        <v>1507</v>
      </c>
      <c r="B230" s="39">
        <v>413.2</v>
      </c>
      <c r="C230" s="39">
        <v>293.03</v>
      </c>
      <c r="D230" s="6" t="str">
        <f>Database!H230</f>
        <v>#N/A</v>
      </c>
    </row>
    <row r="231" ht="22.5" customHeight="1">
      <c r="A231" s="38" t="s">
        <v>1508</v>
      </c>
      <c r="B231" s="39">
        <v>338.68</v>
      </c>
      <c r="C231" s="39">
        <v>120.96</v>
      </c>
      <c r="D231" s="6" t="str">
        <f>Database!H231</f>
        <v>#N/A</v>
      </c>
    </row>
    <row r="232" ht="22.5" customHeight="1">
      <c r="A232" s="38" t="s">
        <v>1509</v>
      </c>
      <c r="B232" s="39">
        <v>338.87</v>
      </c>
      <c r="C232" s="39">
        <v>110.67</v>
      </c>
      <c r="D232" s="6" t="str">
        <f>Database!H232</f>
        <v>#N/A</v>
      </c>
    </row>
    <row r="233" ht="22.5" customHeight="1">
      <c r="A233" s="38" t="s">
        <v>1510</v>
      </c>
      <c r="B233" s="39">
        <v>437.62</v>
      </c>
      <c r="C233" s="39">
        <v>91.05</v>
      </c>
      <c r="D233" s="6" t="str">
        <f>Database!H233</f>
        <v>#N/A</v>
      </c>
    </row>
    <row r="234" ht="22.5" customHeight="1">
      <c r="A234" s="38" t="s">
        <v>1511</v>
      </c>
      <c r="B234" s="39">
        <v>165.235</v>
      </c>
      <c r="C234" s="39">
        <v>185.32</v>
      </c>
      <c r="D234" s="6" t="str">
        <f>Database!H234</f>
        <v>#N/A</v>
      </c>
    </row>
    <row r="235" ht="22.5" customHeight="1">
      <c r="A235" s="38" t="s">
        <v>1512</v>
      </c>
      <c r="B235" s="39">
        <v>147.42</v>
      </c>
      <c r="C235" s="39">
        <v>96.68</v>
      </c>
      <c r="D235" s="6" t="str">
        <f>Database!H235</f>
        <v>#N/A</v>
      </c>
    </row>
    <row r="236" ht="22.5" customHeight="1">
      <c r="A236" s="38" t="s">
        <v>1513</v>
      </c>
      <c r="B236" s="39">
        <v>361.79</v>
      </c>
      <c r="C236" s="39">
        <v>95.42</v>
      </c>
      <c r="D236" s="6" t="str">
        <f>Database!H236</f>
        <v>#N/A</v>
      </c>
    </row>
    <row r="237" ht="22.5" customHeight="1">
      <c r="A237" s="38" t="s">
        <v>1514</v>
      </c>
      <c r="B237" s="39">
        <v>341.47</v>
      </c>
      <c r="C237" s="39">
        <v>85.45</v>
      </c>
      <c r="D237" s="6" t="str">
        <f>Database!H237</f>
        <v>#N/A</v>
      </c>
    </row>
    <row r="238" ht="22.5" customHeight="1">
      <c r="A238" s="38" t="s">
        <v>1515</v>
      </c>
      <c r="B238" s="39">
        <v>277.79</v>
      </c>
      <c r="C238" s="39">
        <v>233.09</v>
      </c>
      <c r="D238" s="6" t="str">
        <f>Database!H238</f>
        <v>#N/A</v>
      </c>
    </row>
    <row r="239" ht="22.5" customHeight="1">
      <c r="A239" s="38" t="s">
        <v>1516</v>
      </c>
      <c r="B239" s="39">
        <v>294.97</v>
      </c>
      <c r="C239" s="39">
        <v>83.51</v>
      </c>
      <c r="D239" s="6" t="str">
        <f>Database!H239</f>
        <v>#N/A</v>
      </c>
    </row>
    <row r="240" ht="22.5" customHeight="1">
      <c r="A240" s="38" t="s">
        <v>1517</v>
      </c>
      <c r="B240" s="39">
        <v>354.345</v>
      </c>
      <c r="C240" s="39">
        <v>279.09</v>
      </c>
      <c r="D240" s="6" t="str">
        <f>Database!H240</f>
        <v>#N/A</v>
      </c>
    </row>
    <row r="241" ht="22.5" customHeight="1">
      <c r="A241" s="38" t="s">
        <v>1518</v>
      </c>
      <c r="B241" s="39">
        <v>150.72</v>
      </c>
      <c r="C241" s="39">
        <v>99.85</v>
      </c>
      <c r="D241" s="6" t="str">
        <f>Database!H241</f>
        <v>#N/A</v>
      </c>
    </row>
    <row r="242" ht="22.5" customHeight="1">
      <c r="A242" s="38" t="s">
        <v>1519</v>
      </c>
      <c r="B242" s="39">
        <v>438.02</v>
      </c>
      <c r="C242" s="39">
        <v>87.97</v>
      </c>
      <c r="D242" s="6" t="str">
        <f>Database!H242</f>
        <v>#N/A</v>
      </c>
    </row>
    <row r="243" ht="22.5" customHeight="1">
      <c r="A243" s="38" t="s">
        <v>1520</v>
      </c>
      <c r="B243" s="39">
        <v>115.22</v>
      </c>
      <c r="C243" s="39">
        <v>121.96</v>
      </c>
      <c r="D243" s="6" t="str">
        <f>Database!H243</f>
        <v>#N/A</v>
      </c>
    </row>
    <row r="244" ht="22.5" customHeight="1">
      <c r="A244" s="38" t="s">
        <v>1521</v>
      </c>
      <c r="B244" s="39">
        <v>154.15</v>
      </c>
      <c r="C244" s="39">
        <v>131.42</v>
      </c>
      <c r="D244" s="6" t="str">
        <f>Database!H244</f>
        <v>#N/A</v>
      </c>
    </row>
    <row r="245" ht="22.5" customHeight="1">
      <c r="A245" s="38" t="s">
        <v>1522</v>
      </c>
      <c r="B245" s="39">
        <v>196.63</v>
      </c>
      <c r="C245" s="39">
        <v>93.69</v>
      </c>
      <c r="D245" s="6" t="str">
        <f>Database!H245</f>
        <v>#N/A</v>
      </c>
    </row>
    <row r="246" ht="22.5" customHeight="1">
      <c r="A246" s="38" t="s">
        <v>1523</v>
      </c>
      <c r="B246" s="39">
        <v>207.735</v>
      </c>
      <c r="C246" s="39">
        <v>232.22</v>
      </c>
      <c r="D246" s="6" t="str">
        <f>Database!H246</f>
        <v>#N/A</v>
      </c>
    </row>
    <row r="247" ht="22.5" customHeight="1">
      <c r="A247" s="38" t="s">
        <v>1524</v>
      </c>
      <c r="B247" s="39">
        <v>303.59</v>
      </c>
      <c r="C247" s="39">
        <v>95.46</v>
      </c>
      <c r="D247" s="6" t="str">
        <f>Database!H247</f>
        <v>#N/A</v>
      </c>
    </row>
    <row r="248" ht="22.5" customHeight="1">
      <c r="A248" s="38" t="s">
        <v>1525</v>
      </c>
      <c r="B248" s="39">
        <v>370.56</v>
      </c>
      <c r="C248" s="39">
        <v>293.0</v>
      </c>
      <c r="D248" s="6" t="str">
        <f>Database!H248</f>
        <v>#N/A</v>
      </c>
    </row>
    <row r="249" ht="22.5" customHeight="1">
      <c r="A249" s="38" t="s">
        <v>1526</v>
      </c>
      <c r="B249" s="39">
        <v>293.65</v>
      </c>
      <c r="C249" s="39">
        <v>266.25</v>
      </c>
      <c r="D249" s="6" t="str">
        <f>Database!H249</f>
        <v>#N/A</v>
      </c>
    </row>
    <row r="250" ht="22.5" customHeight="1">
      <c r="A250" s="38" t="s">
        <v>1527</v>
      </c>
      <c r="B250" s="39">
        <v>247.77</v>
      </c>
      <c r="C250" s="39">
        <v>85.81</v>
      </c>
      <c r="D250" s="6" t="str">
        <f>Database!H250</f>
        <v>#N/A</v>
      </c>
    </row>
    <row r="251" ht="22.5" customHeight="1">
      <c r="A251" s="38" t="s">
        <v>1528</v>
      </c>
      <c r="B251" s="39">
        <v>239.74</v>
      </c>
      <c r="C251" s="39">
        <v>233.03</v>
      </c>
      <c r="D251" s="6" t="str">
        <f>Database!H251</f>
        <v>#N/A</v>
      </c>
    </row>
    <row r="252" ht="22.5" customHeight="1">
      <c r="A252" s="38" t="s">
        <v>1529</v>
      </c>
      <c r="B252" s="39">
        <v>295.59</v>
      </c>
      <c r="C252" s="39">
        <v>87.825</v>
      </c>
      <c r="D252" s="6" t="str">
        <f>Database!H252</f>
        <v>#N/A</v>
      </c>
    </row>
    <row r="253" ht="22.5" customHeight="1">
      <c r="A253" s="38" t="s">
        <v>1530</v>
      </c>
      <c r="B253" s="39">
        <v>145.76</v>
      </c>
      <c r="C253" s="39">
        <v>144.57</v>
      </c>
      <c r="D253" s="6" t="str">
        <f>Database!H253</f>
        <v>#N/A</v>
      </c>
    </row>
    <row r="254" ht="22.5" customHeight="1">
      <c r="A254" s="38" t="s">
        <v>1531</v>
      </c>
      <c r="B254" s="39">
        <v>183.08</v>
      </c>
      <c r="C254" s="39">
        <v>98.85</v>
      </c>
      <c r="D254" s="6" t="str">
        <f>Database!H254</f>
        <v>#N/A</v>
      </c>
    </row>
    <row r="255" ht="22.5" customHeight="1">
      <c r="A255" s="38" t="s">
        <v>1532</v>
      </c>
      <c r="B255" s="39">
        <v>271.46</v>
      </c>
      <c r="C255" s="39">
        <v>266.65</v>
      </c>
      <c r="D255" s="6" t="str">
        <f>Database!H255</f>
        <v>#N/A</v>
      </c>
    </row>
    <row r="256" ht="22.5" customHeight="1">
      <c r="A256" s="38" t="s">
        <v>1533</v>
      </c>
      <c r="B256" s="39">
        <v>348.61</v>
      </c>
      <c r="C256" s="39">
        <v>233.03</v>
      </c>
      <c r="D256" s="6" t="str">
        <f>Database!H256</f>
        <v>#N/A</v>
      </c>
    </row>
    <row r="257" ht="22.5" customHeight="1">
      <c r="A257" s="38" t="s">
        <v>1534</v>
      </c>
      <c r="B257" s="39">
        <v>352.91</v>
      </c>
      <c r="C257" s="39">
        <v>275.435</v>
      </c>
      <c r="D257" s="6" t="str">
        <f>Database!H257</f>
        <v>#N/A</v>
      </c>
    </row>
    <row r="258" ht="22.5" customHeight="1">
      <c r="A258" s="38" t="s">
        <v>1535</v>
      </c>
      <c r="B258" s="39">
        <v>207.01</v>
      </c>
      <c r="C258" s="39">
        <v>104.3</v>
      </c>
      <c r="D258" s="6" t="str">
        <f>Database!H258</f>
        <v>#N/A</v>
      </c>
    </row>
    <row r="259" ht="22.5" customHeight="1">
      <c r="A259" s="38" t="s">
        <v>1536</v>
      </c>
      <c r="B259" s="39">
        <v>377.93</v>
      </c>
      <c r="C259" s="39">
        <v>83.58</v>
      </c>
      <c r="D259" s="6" t="str">
        <f>Database!H259</f>
        <v>#N/A</v>
      </c>
    </row>
    <row r="260" ht="22.5" customHeight="1">
      <c r="A260" s="38" t="s">
        <v>1537</v>
      </c>
      <c r="B260" s="39">
        <v>426.585</v>
      </c>
      <c r="C260" s="39">
        <v>266.36</v>
      </c>
      <c r="D260" s="6" t="str">
        <f>Database!H260</f>
        <v>#N/A</v>
      </c>
    </row>
    <row r="261" ht="22.5" customHeight="1">
      <c r="A261" s="38" t="s">
        <v>1538</v>
      </c>
      <c r="B261" s="39">
        <v>183.87</v>
      </c>
      <c r="C261" s="39">
        <v>98.73</v>
      </c>
      <c r="D261" s="6" t="str">
        <f>Database!H261</f>
        <v>#N/A</v>
      </c>
    </row>
    <row r="262" ht="22.5" customHeight="1">
      <c r="A262" s="38" t="s">
        <v>1539</v>
      </c>
      <c r="B262" s="39">
        <v>183.565</v>
      </c>
      <c r="C262" s="39">
        <v>84.6</v>
      </c>
      <c r="D262" s="6" t="str">
        <f>Database!H262</f>
        <v>#N/A</v>
      </c>
    </row>
    <row r="263" ht="22.5" customHeight="1">
      <c r="A263" s="38" t="s">
        <v>1540</v>
      </c>
      <c r="B263" s="39">
        <v>185.225</v>
      </c>
      <c r="C263" s="39">
        <v>156.06</v>
      </c>
      <c r="D263" s="6" t="str">
        <f>Database!H263</f>
        <v>#N/A</v>
      </c>
    </row>
    <row r="264" ht="22.5" customHeight="1">
      <c r="A264" s="38" t="s">
        <v>1541</v>
      </c>
      <c r="B264" s="39">
        <v>341.08</v>
      </c>
      <c r="C264" s="39">
        <v>134.05</v>
      </c>
      <c r="D264" s="6" t="str">
        <f>Database!H264</f>
        <v>#N/A</v>
      </c>
    </row>
    <row r="265" ht="22.5" customHeight="1">
      <c r="A265" s="38" t="s">
        <v>1542</v>
      </c>
      <c r="B265" s="39">
        <v>196.25</v>
      </c>
      <c r="C265" s="39">
        <v>79.14</v>
      </c>
      <c r="D265" s="6" t="str">
        <f>Database!H265</f>
        <v>#N/A</v>
      </c>
    </row>
    <row r="266" ht="22.5" customHeight="1">
      <c r="A266" s="38" t="s">
        <v>1543</v>
      </c>
      <c r="B266" s="39">
        <v>203.91</v>
      </c>
      <c r="C266" s="39">
        <v>99.39</v>
      </c>
      <c r="D266" s="6" t="str">
        <f>Database!H266</f>
        <v>#N/A</v>
      </c>
    </row>
    <row r="267" ht="22.5" customHeight="1">
      <c r="A267" s="38" t="s">
        <v>1544</v>
      </c>
      <c r="B267" s="39">
        <v>185.225</v>
      </c>
      <c r="C267" s="39">
        <v>156.06</v>
      </c>
      <c r="D267" s="6" t="str">
        <f>Database!H267</f>
        <v>#N/A</v>
      </c>
    </row>
    <row r="268" ht="22.5" customHeight="1">
      <c r="A268" s="38" t="s">
        <v>1545</v>
      </c>
      <c r="B268" s="39">
        <v>259.08</v>
      </c>
      <c r="C268" s="39">
        <v>83.15</v>
      </c>
      <c r="D268" s="6" t="str">
        <f>Database!H268</f>
        <v>#N/A</v>
      </c>
    </row>
    <row r="269" ht="22.5" customHeight="1">
      <c r="A269" s="38" t="s">
        <v>1546</v>
      </c>
      <c r="B269" s="39">
        <v>190.6</v>
      </c>
      <c r="C269" s="39">
        <v>92.56</v>
      </c>
      <c r="D269" s="6" t="str">
        <f>Database!H269</f>
        <v>#N/A</v>
      </c>
    </row>
    <row r="270" ht="22.5" customHeight="1">
      <c r="A270" s="38" t="s">
        <v>1547</v>
      </c>
      <c r="B270" s="39">
        <v>242.425</v>
      </c>
      <c r="C270" s="39">
        <v>108.58</v>
      </c>
      <c r="D270" s="6" t="str">
        <f>Database!H270</f>
        <v>#N/A</v>
      </c>
    </row>
    <row r="271" ht="22.5" customHeight="1">
      <c r="A271" s="38" t="s">
        <v>1548</v>
      </c>
      <c r="B271" s="39">
        <v>165.27</v>
      </c>
      <c r="C271" s="39">
        <v>92.545</v>
      </c>
      <c r="D271" s="6" t="str">
        <f>Database!H271</f>
        <v>#N/A</v>
      </c>
    </row>
    <row r="272" ht="22.5" customHeight="1">
      <c r="A272" s="38" t="s">
        <v>1549</v>
      </c>
      <c r="B272" s="39">
        <v>141.89</v>
      </c>
      <c r="C272" s="39">
        <v>124.11</v>
      </c>
      <c r="D272" s="6" t="str">
        <f>Database!H272</f>
        <v>#N/A</v>
      </c>
    </row>
    <row r="273" ht="22.5" customHeight="1">
      <c r="A273" s="38" t="s">
        <v>1550</v>
      </c>
      <c r="B273" s="39">
        <v>154.49</v>
      </c>
      <c r="C273" s="39">
        <v>276.41</v>
      </c>
      <c r="D273" s="6" t="str">
        <f>Database!H273</f>
        <v>#N/A</v>
      </c>
    </row>
    <row r="274" ht="22.5" customHeight="1">
      <c r="A274" s="38" t="s">
        <v>1551</v>
      </c>
      <c r="B274" s="39">
        <v>155.59</v>
      </c>
      <c r="C274" s="39">
        <v>92.78</v>
      </c>
      <c r="D274" s="6" t="str">
        <f>Database!H274</f>
        <v>#N/A</v>
      </c>
    </row>
    <row r="275" ht="22.5" customHeight="1">
      <c r="A275" s="38" t="s">
        <v>1552</v>
      </c>
      <c r="B275" s="39">
        <v>155.74</v>
      </c>
      <c r="C275" s="39">
        <v>111.21</v>
      </c>
      <c r="D275" s="6" t="str">
        <f>Database!H275</f>
        <v>#N/A</v>
      </c>
    </row>
    <row r="276" ht="22.5" customHeight="1">
      <c r="A276" s="38" t="s">
        <v>1553</v>
      </c>
      <c r="B276" s="39">
        <v>164.8</v>
      </c>
      <c r="C276" s="39">
        <v>88.05</v>
      </c>
      <c r="D276" s="6" t="str">
        <f>Database!H276</f>
        <v>#N/A</v>
      </c>
    </row>
    <row r="277" ht="22.5" customHeight="1">
      <c r="A277" s="38" t="s">
        <v>1554</v>
      </c>
      <c r="B277" s="39">
        <v>156.09</v>
      </c>
      <c r="C277" s="39">
        <v>118.14</v>
      </c>
      <c r="D277" s="6" t="str">
        <f>Database!H277</f>
        <v>#N/A</v>
      </c>
    </row>
    <row r="278" ht="22.5" customHeight="1">
      <c r="A278" s="38" t="s">
        <v>1555</v>
      </c>
      <c r="B278" s="39">
        <v>156.99</v>
      </c>
      <c r="C278" s="39">
        <v>156.19</v>
      </c>
      <c r="D278" s="6" t="str">
        <f>Database!H278</f>
        <v>#N/A</v>
      </c>
    </row>
    <row r="279" ht="22.5" customHeight="1">
      <c r="A279" s="38" t="s">
        <v>1556</v>
      </c>
      <c r="B279" s="39">
        <v>139.14</v>
      </c>
      <c r="C279" s="39">
        <v>139.17</v>
      </c>
      <c r="D279" s="6" t="str">
        <f>Database!H279</f>
        <v>#N/A</v>
      </c>
    </row>
    <row r="280" ht="22.5" customHeight="1">
      <c r="A280" s="38" t="s">
        <v>1557</v>
      </c>
      <c r="B280" s="39">
        <v>161.91</v>
      </c>
      <c r="C280" s="39">
        <v>92.38</v>
      </c>
      <c r="D280" s="6" t="str">
        <f>Database!H280</f>
        <v>#N/A</v>
      </c>
    </row>
    <row r="281" ht="22.5" customHeight="1">
      <c r="A281" s="38" t="s">
        <v>1558</v>
      </c>
      <c r="B281" s="39">
        <v>185.31</v>
      </c>
      <c r="C281" s="39">
        <v>104.62</v>
      </c>
      <c r="D281" s="6" t="str">
        <f>Database!H281</f>
        <v>#N/A</v>
      </c>
    </row>
    <row r="282" ht="22.5" customHeight="1">
      <c r="A282" s="38" t="s">
        <v>1559</v>
      </c>
      <c r="B282" s="39">
        <v>206.28</v>
      </c>
      <c r="C282" s="39">
        <v>100.23</v>
      </c>
      <c r="D282" s="6" t="str">
        <f>Database!H282</f>
        <v>#N/A</v>
      </c>
    </row>
    <row r="283" ht="22.5" customHeight="1">
      <c r="A283" s="38" t="s">
        <v>1560</v>
      </c>
      <c r="B283" s="39">
        <v>147.89</v>
      </c>
      <c r="C283" s="39">
        <v>131.43</v>
      </c>
      <c r="D283" s="6" t="str">
        <f>Database!H283</f>
        <v>#N/A</v>
      </c>
    </row>
    <row r="284" ht="22.5" customHeight="1">
      <c r="A284" s="38" t="s">
        <v>1561</v>
      </c>
      <c r="B284" s="39">
        <v>229.15</v>
      </c>
      <c r="C284" s="39">
        <v>95.89</v>
      </c>
      <c r="D284" s="6" t="str">
        <f>Database!H284</f>
        <v>#N/A</v>
      </c>
    </row>
    <row r="285" ht="22.5" customHeight="1">
      <c r="A285" s="38" t="s">
        <v>1562</v>
      </c>
      <c r="B285" s="39">
        <v>347.97</v>
      </c>
      <c r="C285" s="39">
        <v>117.25</v>
      </c>
      <c r="D285" s="6" t="str">
        <f>Database!H285</f>
        <v>#N/A</v>
      </c>
    </row>
    <row r="286" ht="22.5" customHeight="1">
      <c r="A286" s="38" t="s">
        <v>1563</v>
      </c>
      <c r="B286" s="39">
        <v>203.88</v>
      </c>
      <c r="C286" s="39">
        <v>96.73</v>
      </c>
      <c r="D286" s="6" t="str">
        <f>Database!H286</f>
        <v>#N/A</v>
      </c>
    </row>
    <row r="287" ht="22.5" customHeight="1">
      <c r="A287" s="38" t="s">
        <v>1564</v>
      </c>
      <c r="B287" s="39">
        <v>217.56</v>
      </c>
      <c r="C287" s="39">
        <v>100.07</v>
      </c>
      <c r="D287" s="6" t="str">
        <f>Database!H287</f>
        <v>#N/A</v>
      </c>
    </row>
    <row r="288" ht="22.5" customHeight="1">
      <c r="A288" s="38" t="s">
        <v>1565</v>
      </c>
      <c r="B288" s="39">
        <v>199.67</v>
      </c>
      <c r="C288" s="39">
        <v>100.59</v>
      </c>
      <c r="D288" s="6" t="str">
        <f>Database!H288</f>
        <v>#N/A</v>
      </c>
    </row>
    <row r="289" ht="22.5" customHeight="1">
      <c r="A289" s="38" t="s">
        <v>1566</v>
      </c>
      <c r="B289" s="39">
        <v>191.8</v>
      </c>
      <c r="C289" s="39">
        <v>104.52</v>
      </c>
      <c r="D289" s="6" t="str">
        <f>Database!H289</f>
        <v>#N/A</v>
      </c>
    </row>
    <row r="290" ht="22.5" customHeight="1">
      <c r="A290" s="38" t="s">
        <v>1567</v>
      </c>
      <c r="B290" s="39">
        <v>276.125</v>
      </c>
      <c r="C290" s="39">
        <v>87.75</v>
      </c>
      <c r="D290" s="6" t="str">
        <f>Database!H290</f>
        <v>#N/A</v>
      </c>
    </row>
    <row r="291" ht="22.5" customHeight="1">
      <c r="A291" s="38" t="s">
        <v>1568</v>
      </c>
      <c r="B291" s="39">
        <v>230.84</v>
      </c>
      <c r="C291" s="39">
        <v>78.52</v>
      </c>
      <c r="D291" s="6" t="str">
        <f>Database!H291</f>
        <v>#N/A</v>
      </c>
    </row>
    <row r="292" ht="22.5" customHeight="1">
      <c r="A292" s="38" t="s">
        <v>1569</v>
      </c>
      <c r="B292" s="39">
        <v>357.87</v>
      </c>
      <c r="C292" s="39">
        <v>92.92</v>
      </c>
      <c r="D292" s="6" t="str">
        <f>Database!H292</f>
        <v>#N/A</v>
      </c>
    </row>
    <row r="293" ht="22.5" customHeight="1">
      <c r="A293" s="38" t="s">
        <v>1570</v>
      </c>
      <c r="B293" s="39">
        <v>225.525</v>
      </c>
      <c r="C293" s="39">
        <v>84.73</v>
      </c>
      <c r="D293" s="6" t="str">
        <f>Database!H293</f>
        <v>#N/A</v>
      </c>
    </row>
    <row r="294" ht="22.5" customHeight="1">
      <c r="A294" s="38" t="s">
        <v>1571</v>
      </c>
      <c r="B294" s="39">
        <v>347.92</v>
      </c>
      <c r="C294" s="39">
        <v>105.58</v>
      </c>
      <c r="D294" s="6" t="str">
        <f>Database!H294</f>
        <v>#N/A</v>
      </c>
    </row>
    <row r="295" ht="22.5" customHeight="1">
      <c r="A295" s="38" t="s">
        <v>1572</v>
      </c>
      <c r="B295" s="39">
        <v>276.88</v>
      </c>
      <c r="C295" s="39">
        <v>139.16</v>
      </c>
      <c r="D295" s="6" t="str">
        <f>Database!H295</f>
        <v>#N/A</v>
      </c>
    </row>
    <row r="296" ht="22.5" customHeight="1">
      <c r="A296" s="38" t="s">
        <v>1573</v>
      </c>
      <c r="B296" s="39">
        <v>369.43</v>
      </c>
      <c r="C296" s="39">
        <v>123.84</v>
      </c>
      <c r="D296" s="6" t="str">
        <f>Database!H296</f>
        <v>#N/A</v>
      </c>
    </row>
    <row r="297" ht="22.5" customHeight="1">
      <c r="A297" s="38" t="s">
        <v>1574</v>
      </c>
      <c r="B297" s="39">
        <v>279.37</v>
      </c>
      <c r="C297" s="39">
        <v>100.84</v>
      </c>
      <c r="D297" s="6" t="str">
        <f>Database!H297</f>
        <v>#N/A</v>
      </c>
    </row>
    <row r="298" ht="22.5" customHeight="1">
      <c r="A298" s="38" t="s">
        <v>1575</v>
      </c>
      <c r="B298" s="39">
        <v>227.98</v>
      </c>
      <c r="C298" s="39">
        <v>437.51</v>
      </c>
      <c r="D298" s="6" t="str">
        <f>Database!H298</f>
        <v>#N/A</v>
      </c>
    </row>
    <row r="299" ht="22.5" customHeight="1">
      <c r="A299" s="38" t="s">
        <v>1576</v>
      </c>
      <c r="B299" s="39">
        <v>224.31</v>
      </c>
      <c r="C299" s="39">
        <v>112.96</v>
      </c>
      <c r="D299" s="6" t="str">
        <f>Database!H299</f>
        <v>#N/A</v>
      </c>
    </row>
    <row r="300" ht="22.5" customHeight="1">
      <c r="A300" s="38" t="s">
        <v>1577</v>
      </c>
      <c r="B300" s="39">
        <v>230.76</v>
      </c>
      <c r="C300" s="39">
        <v>139.18</v>
      </c>
      <c r="D300" s="6" t="str">
        <f>Database!H300</f>
        <v>#N/A</v>
      </c>
    </row>
    <row r="301" ht="22.5" customHeight="1">
      <c r="A301" s="38" t="s">
        <v>1578</v>
      </c>
      <c r="B301" s="39">
        <v>175.06</v>
      </c>
      <c r="C301" s="39">
        <v>92.57</v>
      </c>
      <c r="D301" s="6" t="str">
        <f>Database!H301</f>
        <v>#N/A</v>
      </c>
    </row>
    <row r="302" ht="22.5" customHeight="1">
      <c r="A302" s="38" t="s">
        <v>1579</v>
      </c>
      <c r="B302" s="39">
        <v>183.5</v>
      </c>
      <c r="C302" s="39">
        <v>156.77</v>
      </c>
      <c r="D302" s="6" t="str">
        <f>Database!H302</f>
        <v>#N/A</v>
      </c>
    </row>
    <row r="303" ht="22.5" customHeight="1">
      <c r="A303" s="38" t="s">
        <v>1580</v>
      </c>
      <c r="B303" s="39">
        <v>225.96</v>
      </c>
      <c r="C303" s="39">
        <v>175.0</v>
      </c>
      <c r="D303" s="6" t="str">
        <f>Database!H303</f>
        <v>#N/A</v>
      </c>
    </row>
    <row r="304" ht="22.5" customHeight="1">
      <c r="A304" s="38" t="s">
        <v>1581</v>
      </c>
      <c r="B304" s="39">
        <v>246.42</v>
      </c>
      <c r="C304" s="39">
        <v>219.71</v>
      </c>
      <c r="D304" s="6" t="str">
        <f>Database!H304</f>
        <v>#N/A</v>
      </c>
    </row>
    <row r="305" ht="22.5" customHeight="1">
      <c r="A305" s="38" t="s">
        <v>1582</v>
      </c>
      <c r="B305" s="39">
        <v>175.04</v>
      </c>
      <c r="C305" s="39">
        <v>78.55</v>
      </c>
      <c r="D305" s="6" t="str">
        <f>Database!H305</f>
        <v>#N/A</v>
      </c>
    </row>
    <row r="306" ht="22.5" customHeight="1">
      <c r="A306" s="38" t="s">
        <v>1583</v>
      </c>
      <c r="B306" s="39">
        <v>328.75</v>
      </c>
      <c r="C306" s="39">
        <v>162.12</v>
      </c>
      <c r="D306" s="6" t="str">
        <f>Database!H306</f>
        <v>#N/A</v>
      </c>
    </row>
    <row r="307" ht="22.5" customHeight="1">
      <c r="A307" s="38" t="s">
        <v>1584</v>
      </c>
      <c r="B307" s="39">
        <v>257.45</v>
      </c>
      <c r="C307" s="39">
        <v>112.86</v>
      </c>
      <c r="D307" s="6" t="str">
        <f>Database!H307</f>
        <v>#N/A</v>
      </c>
    </row>
    <row r="308" ht="22.5" customHeight="1">
      <c r="A308" s="38" t="s">
        <v>1585</v>
      </c>
      <c r="B308" s="39">
        <v>178.755</v>
      </c>
      <c r="C308" s="39">
        <v>158.95</v>
      </c>
      <c r="D308" s="6" t="str">
        <f>Database!H308</f>
        <v>#N/A</v>
      </c>
    </row>
    <row r="309" ht="22.5" customHeight="1">
      <c r="A309" s="38" t="s">
        <v>1586</v>
      </c>
      <c r="B309" s="39">
        <v>156.09</v>
      </c>
      <c r="C309" s="39">
        <v>156.18</v>
      </c>
      <c r="D309" s="6" t="str">
        <f>Database!H309</f>
        <v>#N/A</v>
      </c>
    </row>
    <row r="310" ht="22.5" customHeight="1">
      <c r="A310" s="38" t="s">
        <v>1587</v>
      </c>
      <c r="B310" s="39">
        <v>207.97</v>
      </c>
      <c r="C310" s="39">
        <v>100.96</v>
      </c>
      <c r="D310" s="6" t="str">
        <f>Database!H310</f>
        <v>#N/A</v>
      </c>
    </row>
    <row r="311" ht="22.5" customHeight="1">
      <c r="A311" s="38" t="s">
        <v>1588</v>
      </c>
      <c r="B311" s="39">
        <v>229.525</v>
      </c>
      <c r="C311" s="39">
        <v>345.115</v>
      </c>
      <c r="D311" s="6" t="str">
        <f>Database!H311</f>
        <v>#N/A</v>
      </c>
    </row>
    <row r="312" ht="22.5" customHeight="1">
      <c r="A312" s="38" t="s">
        <v>1589</v>
      </c>
      <c r="B312" s="39">
        <v>310.3</v>
      </c>
      <c r="C312" s="39">
        <v>233.01</v>
      </c>
      <c r="D312" s="6" t="str">
        <f>Database!H312</f>
        <v>#N/A</v>
      </c>
    </row>
    <row r="313" ht="22.5" customHeight="1">
      <c r="A313" s="38" t="s">
        <v>1590</v>
      </c>
      <c r="B313" s="39">
        <v>331.5</v>
      </c>
      <c r="C313" s="39">
        <v>328.67</v>
      </c>
      <c r="D313" s="6" t="str">
        <f>Database!H313</f>
        <v>#N/A</v>
      </c>
    </row>
    <row r="314" ht="22.5" customHeight="1">
      <c r="A314" s="38" t="s">
        <v>1591</v>
      </c>
      <c r="B314" s="39">
        <v>207.81</v>
      </c>
      <c r="C314" s="39">
        <v>101.88</v>
      </c>
      <c r="D314" s="6" t="str">
        <f>Database!H314</f>
        <v>#N/A</v>
      </c>
    </row>
    <row r="315" ht="22.5" customHeight="1">
      <c r="A315" s="38" t="s">
        <v>1592</v>
      </c>
      <c r="B315" s="39">
        <v>292.55</v>
      </c>
      <c r="C315" s="39">
        <v>139.2</v>
      </c>
      <c r="D315" s="6" t="str">
        <f>Database!H315</f>
        <v>#N/A</v>
      </c>
    </row>
    <row r="316" ht="22.5" customHeight="1">
      <c r="A316" s="38" t="s">
        <v>1593</v>
      </c>
      <c r="B316" s="39">
        <v>199.385</v>
      </c>
      <c r="C316" s="39">
        <v>120.595</v>
      </c>
      <c r="D316" s="6" t="str">
        <f>Database!H316</f>
        <v>#N/A</v>
      </c>
    </row>
    <row r="317" ht="22.5" customHeight="1">
      <c r="A317" s="38" t="s">
        <v>1594</v>
      </c>
      <c r="B317" s="39">
        <v>261.32</v>
      </c>
      <c r="C317" s="39">
        <v>84.88</v>
      </c>
      <c r="D317" s="6" t="str">
        <f>Database!H317</f>
        <v>#N/A</v>
      </c>
    </row>
    <row r="318" ht="22.5" customHeight="1">
      <c r="A318" s="38" t="s">
        <v>1595</v>
      </c>
      <c r="B318" s="39">
        <v>196.24</v>
      </c>
      <c r="C318" s="39">
        <v>88.01</v>
      </c>
      <c r="D318" s="6" t="str">
        <f>Database!H318</f>
        <v>#N/A</v>
      </c>
    </row>
    <row r="319" ht="22.5" customHeight="1">
      <c r="A319" s="38" t="s">
        <v>1596</v>
      </c>
      <c r="B319" s="39">
        <v>275.71</v>
      </c>
      <c r="C319" s="39">
        <v>110.68</v>
      </c>
      <c r="D319" s="6" t="str">
        <f>Database!H319</f>
        <v>#N/A</v>
      </c>
    </row>
    <row r="320" ht="22.5" customHeight="1">
      <c r="A320" s="38" t="s">
        <v>1597</v>
      </c>
      <c r="B320" s="39">
        <v>258.935</v>
      </c>
      <c r="C320" s="39">
        <v>89.26</v>
      </c>
      <c r="D320" s="6" t="str">
        <f>Database!H320</f>
        <v>#N/A</v>
      </c>
    </row>
    <row r="321" ht="22.5" customHeight="1">
      <c r="A321" s="38" t="s">
        <v>1598</v>
      </c>
      <c r="B321" s="39">
        <v>174.98</v>
      </c>
      <c r="C321" s="39">
        <v>139.12</v>
      </c>
      <c r="D321" s="6" t="str">
        <f>Database!H321</f>
        <v>#N/A</v>
      </c>
    </row>
    <row r="322" ht="22.5" customHeight="1">
      <c r="A322" s="38" t="s">
        <v>1599</v>
      </c>
      <c r="B322" s="39">
        <v>310.3</v>
      </c>
      <c r="C322" s="39">
        <v>124.04</v>
      </c>
      <c r="D322" s="6" t="str">
        <f>Database!H322</f>
        <v>#N/A</v>
      </c>
    </row>
    <row r="323" ht="22.5" customHeight="1">
      <c r="A323" s="38" t="s">
        <v>1600</v>
      </c>
      <c r="B323" s="39">
        <v>413.15</v>
      </c>
      <c r="C323" s="39">
        <v>313.5</v>
      </c>
      <c r="D323" s="6" t="str">
        <f>Database!H323</f>
        <v>#N/A</v>
      </c>
    </row>
    <row r="324" ht="22.5" customHeight="1">
      <c r="A324" s="38" t="s">
        <v>1601</v>
      </c>
      <c r="B324" s="39">
        <v>261.07</v>
      </c>
      <c r="C324" s="39">
        <v>82.85</v>
      </c>
      <c r="D324" s="6" t="str">
        <f>Database!H324</f>
        <v>#N/A</v>
      </c>
    </row>
    <row r="325" ht="22.5" customHeight="1">
      <c r="A325" s="38" t="s">
        <v>1602</v>
      </c>
      <c r="B325" s="39">
        <v>176.84</v>
      </c>
      <c r="C325" s="39">
        <v>110.58</v>
      </c>
      <c r="D325" s="6" t="str">
        <f>Database!H325</f>
        <v>#N/A</v>
      </c>
    </row>
    <row r="326" ht="22.5" customHeight="1">
      <c r="A326" s="38" t="s">
        <v>1603</v>
      </c>
      <c r="B326" s="39">
        <v>146.2</v>
      </c>
      <c r="C326" s="39">
        <v>120.77</v>
      </c>
      <c r="D326" s="6" t="str">
        <f>Database!H326</f>
        <v>#N/A</v>
      </c>
    </row>
    <row r="327" ht="22.5" customHeight="1">
      <c r="A327" s="38" t="s">
        <v>1604</v>
      </c>
      <c r="B327" s="39">
        <v>236.5</v>
      </c>
      <c r="C327" s="39">
        <v>93.02</v>
      </c>
      <c r="D327" s="6" t="str">
        <f>Database!H327</f>
        <v>#N/A</v>
      </c>
    </row>
    <row r="328" ht="22.5" customHeight="1">
      <c r="A328" s="38" t="s">
        <v>1605</v>
      </c>
      <c r="B328" s="39">
        <v>174.6</v>
      </c>
      <c r="C328" s="39">
        <v>138.75</v>
      </c>
      <c r="D328" s="6" t="str">
        <f>Database!H328</f>
        <v>#N/A</v>
      </c>
    </row>
    <row r="329" ht="22.5" customHeight="1">
      <c r="A329" s="38" t="s">
        <v>1606</v>
      </c>
      <c r="B329" s="39">
        <v>192.98</v>
      </c>
      <c r="C329" s="39">
        <v>79.38</v>
      </c>
      <c r="D329" s="6" t="str">
        <f t="shared" ref="D329:D330" si="1">#REF!</f>
        <v>#REF!</v>
      </c>
    </row>
    <row r="330" ht="22.5" customHeight="1">
      <c r="A330" s="38" t="s">
        <v>1607</v>
      </c>
      <c r="B330" s="39">
        <v>276.46</v>
      </c>
      <c r="C330" s="39">
        <v>220.06</v>
      </c>
      <c r="D330" s="6" t="str">
        <f t="shared" si="1"/>
        <v>#REF!</v>
      </c>
    </row>
    <row r="331" ht="22.5" customHeight="1">
      <c r="A331" s="38" t="s">
        <v>1608</v>
      </c>
      <c r="B331" s="39">
        <v>288.79</v>
      </c>
      <c r="C331" s="39">
        <v>233.01</v>
      </c>
      <c r="D331" s="6" t="str">
        <f>Database!H329</f>
        <v>#N/A</v>
      </c>
    </row>
    <row r="332" ht="22.5" customHeight="1">
      <c r="A332" s="38" t="s">
        <v>1609</v>
      </c>
      <c r="B332" s="39">
        <v>178.13</v>
      </c>
      <c r="C332" s="39">
        <v>86.665</v>
      </c>
      <c r="D332" s="6" t="str">
        <f>Database!H330</f>
        <v>#N/A</v>
      </c>
    </row>
    <row r="333" ht="22.5" customHeight="1">
      <c r="A333" s="38" t="s">
        <v>1610</v>
      </c>
      <c r="B333" s="39">
        <v>239.02</v>
      </c>
      <c r="C333" s="39">
        <v>105.17</v>
      </c>
      <c r="D333" s="6" t="str">
        <f>Database!H331</f>
        <v>#N/A</v>
      </c>
    </row>
    <row r="334" ht="22.5" customHeight="1">
      <c r="A334" s="38" t="s">
        <v>1611</v>
      </c>
      <c r="B334" s="39">
        <v>312.3</v>
      </c>
      <c r="C334" s="39">
        <v>90.88</v>
      </c>
      <c r="D334" s="6" t="str">
        <f>Database!H332</f>
        <v>#N/A</v>
      </c>
    </row>
    <row r="335" ht="22.5" customHeight="1">
      <c r="A335" s="38" t="s">
        <v>1612</v>
      </c>
      <c r="B335" s="39">
        <v>282.665</v>
      </c>
      <c r="C335" s="39">
        <v>96.81</v>
      </c>
      <c r="D335" s="6" t="str">
        <f>Database!H333</f>
        <v>#N/A</v>
      </c>
    </row>
    <row r="336" ht="22.5" customHeight="1">
      <c r="A336" s="38" t="s">
        <v>1613</v>
      </c>
      <c r="B336" s="39">
        <v>197.88</v>
      </c>
      <c r="C336" s="39">
        <v>96.865</v>
      </c>
      <c r="D336" s="6" t="str">
        <f>Database!H334</f>
        <v>#N/A</v>
      </c>
    </row>
    <row r="337" ht="22.5" customHeight="1">
      <c r="A337" s="38" t="s">
        <v>1614</v>
      </c>
      <c r="B337" s="39">
        <v>187.04</v>
      </c>
      <c r="C337" s="39">
        <v>104.85</v>
      </c>
      <c r="D337" s="6" t="str">
        <f>Database!H335</f>
        <v>#N/A</v>
      </c>
    </row>
    <row r="338" ht="22.5" customHeight="1">
      <c r="A338" s="38" t="s">
        <v>1615</v>
      </c>
      <c r="B338" s="39">
        <v>175.0</v>
      </c>
      <c r="C338" s="39">
        <v>72.72</v>
      </c>
      <c r="D338" s="6" t="str">
        <f>Database!H336</f>
        <v>#N/A</v>
      </c>
    </row>
    <row r="339" ht="22.5" customHeight="1">
      <c r="A339" s="38" t="s">
        <v>1616</v>
      </c>
      <c r="B339" s="39">
        <v>316.05</v>
      </c>
      <c r="C339" s="39">
        <v>117.48</v>
      </c>
      <c r="D339" s="6" t="str">
        <f>Database!H337</f>
        <v>#N/A</v>
      </c>
    </row>
    <row r="340" ht="22.5" customHeight="1">
      <c r="A340" s="38" t="s">
        <v>1617</v>
      </c>
      <c r="B340" s="39">
        <v>237.53</v>
      </c>
      <c r="C340" s="39">
        <v>87.75</v>
      </c>
      <c r="D340" s="6" t="str">
        <f>Database!H338</f>
        <v>#N/A</v>
      </c>
    </row>
    <row r="341" ht="22.5" customHeight="1">
      <c r="A341" s="38" t="s">
        <v>1618</v>
      </c>
      <c r="B341" s="39">
        <v>233.0</v>
      </c>
      <c r="C341" s="39">
        <v>232.89</v>
      </c>
      <c r="D341" s="6" t="str">
        <f>Database!H339</f>
        <v>#N/A</v>
      </c>
    </row>
    <row r="342" ht="22.5" customHeight="1">
      <c r="A342" s="38" t="s">
        <v>1619</v>
      </c>
      <c r="B342" s="39">
        <v>310.31</v>
      </c>
      <c r="C342" s="39">
        <v>131.17</v>
      </c>
      <c r="D342" s="6" t="str">
        <f>Database!H340</f>
        <v>#N/A</v>
      </c>
    </row>
    <row r="343" ht="22.5" customHeight="1">
      <c r="A343" s="38" t="s">
        <v>1620</v>
      </c>
      <c r="B343" s="39">
        <v>194.91</v>
      </c>
      <c r="C343" s="39">
        <v>131.42</v>
      </c>
      <c r="D343" s="6" t="str">
        <f>Database!H341</f>
        <v>#N/A</v>
      </c>
    </row>
    <row r="344" ht="22.5" customHeight="1">
      <c r="A344" s="38" t="s">
        <v>1621</v>
      </c>
      <c r="B344" s="39">
        <v>245.93</v>
      </c>
      <c r="C344" s="39">
        <v>89.51</v>
      </c>
      <c r="D344" s="6" t="str">
        <f>Database!H342</f>
        <v>#N/A</v>
      </c>
    </row>
    <row r="345" ht="22.5" customHeight="1">
      <c r="A345" s="38" t="s">
        <v>1622</v>
      </c>
      <c r="B345" s="39">
        <v>207.81</v>
      </c>
      <c r="C345" s="39">
        <v>120.66</v>
      </c>
      <c r="D345" s="6" t="str">
        <f>Database!H343</f>
        <v>#N/A</v>
      </c>
    </row>
    <row r="346" ht="22.5" customHeight="1">
      <c r="A346" s="38" t="s">
        <v>1623</v>
      </c>
      <c r="B346" s="39">
        <v>237.135</v>
      </c>
      <c r="C346" s="39">
        <v>125.19</v>
      </c>
      <c r="D346" s="6" t="str">
        <f>Database!H344</f>
        <v>#N/A</v>
      </c>
    </row>
    <row r="347" ht="22.5" customHeight="1">
      <c r="A347" s="38" t="s">
        <v>1624</v>
      </c>
      <c r="B347" s="39">
        <v>356.755</v>
      </c>
      <c r="C347" s="39">
        <v>86.82</v>
      </c>
      <c r="D347" s="6" t="str">
        <f>Database!H345</f>
        <v>#N/A</v>
      </c>
    </row>
    <row r="348" ht="22.5" customHeight="1">
      <c r="A348" s="38" t="s">
        <v>1625</v>
      </c>
      <c r="B348" s="39">
        <v>335.49</v>
      </c>
      <c r="C348" s="39">
        <v>165.6</v>
      </c>
      <c r="D348" s="6" t="str">
        <f>Database!H346</f>
        <v>#N/A</v>
      </c>
    </row>
    <row r="349" ht="22.5" customHeight="1">
      <c r="A349" s="38" t="s">
        <v>1626</v>
      </c>
      <c r="B349" s="39">
        <v>310.15</v>
      </c>
      <c r="C349" s="39">
        <v>117.16</v>
      </c>
      <c r="D349" s="6" t="str">
        <f>Database!H347</f>
        <v>#N/A</v>
      </c>
    </row>
    <row r="350" ht="22.5" customHeight="1">
      <c r="A350" s="38" t="s">
        <v>1627</v>
      </c>
      <c r="B350" s="39">
        <v>246.81</v>
      </c>
      <c r="C350" s="39">
        <v>110.83</v>
      </c>
      <c r="D350" s="6" t="str">
        <f>Database!H348</f>
        <v>#N/A</v>
      </c>
    </row>
    <row r="351" ht="22.5" customHeight="1">
      <c r="A351" s="38" t="s">
        <v>1628</v>
      </c>
      <c r="B351" s="39">
        <v>299.5</v>
      </c>
      <c r="C351" s="39">
        <v>119.46</v>
      </c>
      <c r="D351" s="6" t="str">
        <f>Database!H349</f>
        <v>#N/A</v>
      </c>
    </row>
    <row r="352" ht="22.5" customHeight="1">
      <c r="A352" s="38" t="s">
        <v>1629</v>
      </c>
      <c r="B352" s="39">
        <v>302.885</v>
      </c>
      <c r="C352" s="39">
        <v>119.46</v>
      </c>
      <c r="D352" s="6" t="str">
        <f>Database!H350</f>
        <v>#N/A</v>
      </c>
    </row>
    <row r="353" ht="22.5" customHeight="1">
      <c r="A353" s="38" t="s">
        <v>1630</v>
      </c>
      <c r="B353" s="39">
        <v>355.18</v>
      </c>
      <c r="C353" s="39">
        <v>91.08</v>
      </c>
      <c r="D353" s="6" t="str">
        <f>Database!H351</f>
        <v>#N/A</v>
      </c>
    </row>
    <row r="354" ht="22.5" customHeight="1">
      <c r="A354" s="38" t="s">
        <v>1631</v>
      </c>
      <c r="B354" s="39">
        <v>348.175</v>
      </c>
      <c r="C354" s="39">
        <v>90.3</v>
      </c>
      <c r="D354" s="6" t="str">
        <f>Database!H352</f>
        <v>#N/A</v>
      </c>
    </row>
    <row r="355" ht="22.5" customHeight="1">
      <c r="A355" s="38" t="s">
        <v>1632</v>
      </c>
      <c r="B355" s="39">
        <v>293.03</v>
      </c>
      <c r="C355" s="39">
        <v>110.59</v>
      </c>
      <c r="D355" s="6" t="str">
        <f>Database!H353</f>
        <v>#N/A</v>
      </c>
    </row>
    <row r="356" ht="22.5" customHeight="1">
      <c r="A356" s="38" t="s">
        <v>1633</v>
      </c>
      <c r="B356" s="39">
        <v>168.98</v>
      </c>
      <c r="C356" s="39">
        <v>84.97</v>
      </c>
      <c r="D356" s="6" t="str">
        <f>Database!H354</f>
        <v>#N/A</v>
      </c>
    </row>
    <row r="357" ht="22.5" customHeight="1">
      <c r="A357" s="38" t="s">
        <v>1634</v>
      </c>
      <c r="B357" s="39">
        <v>190.52</v>
      </c>
      <c r="C357" s="39">
        <v>104.6</v>
      </c>
      <c r="D357" s="6" t="str">
        <f>Database!H355</f>
        <v>#N/A</v>
      </c>
    </row>
    <row r="358" ht="22.5" customHeight="1">
      <c r="A358" s="38" t="s">
        <v>1635</v>
      </c>
      <c r="B358" s="39">
        <v>280.9</v>
      </c>
      <c r="C358" s="39">
        <v>91.38</v>
      </c>
      <c r="D358" s="6" t="str">
        <f>Database!H356</f>
        <v>#N/A</v>
      </c>
    </row>
    <row r="359" ht="22.5" customHeight="1">
      <c r="A359" s="38" t="s">
        <v>1636</v>
      </c>
      <c r="B359" s="39">
        <v>199.99</v>
      </c>
      <c r="C359" s="39">
        <v>153.79</v>
      </c>
      <c r="D359" s="6" t="str">
        <f>Database!H357</f>
        <v>#N/A</v>
      </c>
    </row>
    <row r="360" ht="22.5" customHeight="1">
      <c r="A360" s="38" t="s">
        <v>1637</v>
      </c>
      <c r="B360" s="39">
        <v>205.5</v>
      </c>
      <c r="C360" s="39">
        <v>103.55</v>
      </c>
      <c r="D360" s="6" t="str">
        <f>Database!H358</f>
        <v>#N/A</v>
      </c>
    </row>
    <row r="361" ht="22.5" customHeight="1">
      <c r="A361" s="38" t="s">
        <v>1638</v>
      </c>
      <c r="B361" s="39">
        <v>175.47</v>
      </c>
      <c r="C361" s="39">
        <v>165.26</v>
      </c>
      <c r="D361" s="6" t="str">
        <f>Database!H359</f>
        <v>#N/A</v>
      </c>
    </row>
    <row r="362" ht="22.5" customHeight="1">
      <c r="A362" s="38" t="s">
        <v>1639</v>
      </c>
      <c r="B362" s="39">
        <v>276.72</v>
      </c>
      <c r="C362" s="39">
        <v>142.105</v>
      </c>
      <c r="D362" s="6" t="str">
        <f>Database!H360</f>
        <v>#N/A</v>
      </c>
    </row>
    <row r="363" ht="22.5" customHeight="1">
      <c r="A363" s="38" t="s">
        <v>1640</v>
      </c>
      <c r="B363" s="39">
        <v>232.92</v>
      </c>
      <c r="C363" s="39">
        <v>88.68</v>
      </c>
      <c r="D363" s="6" t="str">
        <f>Database!H361</f>
        <v>#N/A</v>
      </c>
    </row>
    <row r="364" ht="22.5" customHeight="1">
      <c r="A364" s="38" t="s">
        <v>1641</v>
      </c>
      <c r="B364" s="39">
        <v>185.29</v>
      </c>
      <c r="C364" s="39">
        <v>98.7</v>
      </c>
      <c r="D364" s="6" t="str">
        <f>Database!H362</f>
        <v>#N/A</v>
      </c>
    </row>
    <row r="365" ht="22.5" customHeight="1">
      <c r="A365" s="38" t="s">
        <v>1642</v>
      </c>
      <c r="B365" s="39">
        <v>220.09</v>
      </c>
      <c r="C365" s="39">
        <v>88.09</v>
      </c>
      <c r="D365" s="6" t="str">
        <f>Database!H363</f>
        <v>#N/A</v>
      </c>
    </row>
    <row r="366" ht="22.5" customHeight="1">
      <c r="A366" s="38" t="s">
        <v>1643</v>
      </c>
      <c r="B366" s="39">
        <v>368.785</v>
      </c>
      <c r="C366" s="39">
        <v>83.01</v>
      </c>
      <c r="D366" s="6" t="str">
        <f>Database!H364</f>
        <v>#N/A</v>
      </c>
    </row>
    <row r="367" ht="22.5" customHeight="1">
      <c r="A367" s="38" t="s">
        <v>1644</v>
      </c>
      <c r="B367" s="39">
        <v>201.1</v>
      </c>
      <c r="C367" s="39">
        <v>156.05</v>
      </c>
      <c r="D367" s="6" t="str">
        <f>Database!H365</f>
        <v>#N/A</v>
      </c>
    </row>
    <row r="368" ht="22.5" customHeight="1">
      <c r="A368" s="38" t="s">
        <v>1645</v>
      </c>
      <c r="B368" s="39">
        <v>202.12</v>
      </c>
      <c r="C368" s="39">
        <v>462.795</v>
      </c>
      <c r="D368" s="6" t="str">
        <f>Database!H366</f>
        <v>#N/A</v>
      </c>
    </row>
    <row r="369" ht="22.5" customHeight="1">
      <c r="A369" s="38" t="s">
        <v>1646</v>
      </c>
      <c r="B369" s="39">
        <v>207.82</v>
      </c>
      <c r="C369" s="39">
        <v>84.7</v>
      </c>
      <c r="D369" s="6" t="str">
        <f>Database!H367</f>
        <v>#N/A</v>
      </c>
    </row>
    <row r="370" ht="22.5" customHeight="1">
      <c r="A370" s="38" t="s">
        <v>1647</v>
      </c>
      <c r="B370" s="39">
        <v>264.875</v>
      </c>
      <c r="C370" s="39">
        <v>116.035</v>
      </c>
      <c r="D370" s="6" t="str">
        <f>Database!H368</f>
        <v>#N/A</v>
      </c>
    </row>
    <row r="371" ht="22.5" customHeight="1">
      <c r="A371" s="38" t="s">
        <v>1648</v>
      </c>
      <c r="B371" s="39">
        <v>269.7</v>
      </c>
      <c r="C371" s="39">
        <v>106.61</v>
      </c>
      <c r="D371" s="6" t="str">
        <f>Database!H369</f>
        <v>#N/A</v>
      </c>
    </row>
    <row r="372" ht="22.5" customHeight="1">
      <c r="A372" s="38" t="s">
        <v>1649</v>
      </c>
      <c r="B372" s="39">
        <v>180.92</v>
      </c>
      <c r="C372" s="39">
        <v>93.45</v>
      </c>
      <c r="D372" s="6" t="str">
        <f>Database!H370</f>
        <v>#N/A</v>
      </c>
    </row>
    <row r="373" ht="22.5" customHeight="1">
      <c r="A373" s="38" t="s">
        <v>1650</v>
      </c>
      <c r="B373" s="39">
        <v>175.94</v>
      </c>
      <c r="C373" s="39">
        <v>93.205</v>
      </c>
      <c r="D373" s="6" t="str">
        <f>Database!H371</f>
        <v>#N/A</v>
      </c>
    </row>
    <row r="374" ht="22.5" customHeight="1">
      <c r="A374" s="38" t="s">
        <v>1651</v>
      </c>
      <c r="B374" s="39">
        <v>171.94</v>
      </c>
      <c r="C374" s="39">
        <v>83.15</v>
      </c>
      <c r="D374" s="6" t="str">
        <f>Database!H372</f>
        <v>#N/A</v>
      </c>
    </row>
    <row r="375" ht="22.5" customHeight="1">
      <c r="A375" s="38" t="s">
        <v>1652</v>
      </c>
      <c r="B375" s="39">
        <v>282.15</v>
      </c>
      <c r="C375" s="39">
        <v>112.23</v>
      </c>
      <c r="D375" s="6" t="str">
        <f>Database!H373</f>
        <v>#N/A</v>
      </c>
    </row>
    <row r="376" ht="22.5" customHeight="1">
      <c r="A376" s="38" t="s">
        <v>1653</v>
      </c>
      <c r="B376" s="39">
        <v>173.59</v>
      </c>
      <c r="C376" s="39">
        <v>94.11</v>
      </c>
      <c r="D376" s="6" t="str">
        <f>Database!H374</f>
        <v>#N/A</v>
      </c>
    </row>
    <row r="377" ht="22.5" customHeight="1">
      <c r="A377" s="38" t="s">
        <v>1654</v>
      </c>
      <c r="B377" s="39">
        <v>220.02</v>
      </c>
      <c r="C377" s="39">
        <v>127.66</v>
      </c>
      <c r="D377" s="6" t="str">
        <f>Database!H375</f>
        <v>#N/A</v>
      </c>
    </row>
    <row r="378" ht="22.5" customHeight="1">
      <c r="A378" s="38" t="s">
        <v>1655</v>
      </c>
      <c r="B378" s="39">
        <v>236.75</v>
      </c>
      <c r="C378" s="39">
        <v>117.21</v>
      </c>
      <c r="D378" s="6" t="str">
        <f>Database!H376</f>
        <v>#N/A</v>
      </c>
    </row>
    <row r="379" ht="22.5" customHeight="1">
      <c r="A379" s="38" t="s">
        <v>1656</v>
      </c>
      <c r="B379" s="39">
        <v>194.67</v>
      </c>
      <c r="C379" s="39">
        <v>155.89</v>
      </c>
      <c r="D379" s="6" t="str">
        <f>Database!H377</f>
        <v>#N/A</v>
      </c>
    </row>
    <row r="380" ht="22.5" customHeight="1">
      <c r="A380" s="38" t="s">
        <v>1657</v>
      </c>
      <c r="B380" s="39">
        <v>328.735</v>
      </c>
      <c r="C380" s="39">
        <v>196.24</v>
      </c>
      <c r="D380" s="6" t="str">
        <f>Database!H378</f>
        <v>#N/A</v>
      </c>
    </row>
    <row r="381" ht="22.5" customHeight="1">
      <c r="A381" s="38" t="s">
        <v>1658</v>
      </c>
      <c r="B381" s="39">
        <v>233.82</v>
      </c>
      <c r="C381" s="39">
        <v>120.77</v>
      </c>
      <c r="D381" s="6" t="str">
        <f>Database!H379</f>
        <v>#N/A</v>
      </c>
    </row>
    <row r="382" ht="22.5" customHeight="1">
      <c r="A382" s="38" t="s">
        <v>1659</v>
      </c>
      <c r="B382" s="39">
        <v>260.685</v>
      </c>
      <c r="C382" s="39">
        <v>102.86</v>
      </c>
      <c r="D382" s="6" t="str">
        <f>Database!H380</f>
        <v>#N/A</v>
      </c>
    </row>
    <row r="383" ht="22.5" customHeight="1">
      <c r="A383" s="38" t="s">
        <v>1660</v>
      </c>
      <c r="B383" s="39">
        <v>123.28</v>
      </c>
      <c r="C383" s="39">
        <v>138.79</v>
      </c>
      <c r="D383" s="6" t="str">
        <f>Database!H381</f>
        <v>#N/A</v>
      </c>
    </row>
    <row r="384" ht="22.5" customHeight="1">
      <c r="A384" s="38" t="s">
        <v>1661</v>
      </c>
      <c r="B384" s="39">
        <v>215.25</v>
      </c>
      <c r="C384" s="39">
        <v>108.07</v>
      </c>
      <c r="D384" s="6" t="str">
        <f>Database!H382</f>
        <v>#N/A</v>
      </c>
    </row>
    <row r="385" ht="22.5" customHeight="1">
      <c r="A385" s="38" t="s">
        <v>1662</v>
      </c>
      <c r="B385" s="39">
        <v>328.59</v>
      </c>
      <c r="C385" s="39">
        <v>124.11</v>
      </c>
      <c r="D385" s="6" t="str">
        <f>Database!H383</f>
        <v>#N/A</v>
      </c>
    </row>
    <row r="386" ht="22.5" customHeight="1">
      <c r="A386" s="38" t="s">
        <v>1663</v>
      </c>
      <c r="B386" s="39">
        <v>260.09</v>
      </c>
      <c r="C386" s="39">
        <v>127.57</v>
      </c>
      <c r="D386" s="6" t="str">
        <f>Database!H384</f>
        <v>#N/A</v>
      </c>
    </row>
    <row r="387" ht="22.5" customHeight="1">
      <c r="A387" s="38" t="s">
        <v>1664</v>
      </c>
      <c r="B387" s="39">
        <v>261.33</v>
      </c>
      <c r="C387" s="39">
        <v>233.04</v>
      </c>
      <c r="D387" s="6" t="str">
        <f>Database!H385</f>
        <v>#N/A</v>
      </c>
    </row>
    <row r="388" ht="22.5" customHeight="1">
      <c r="A388" s="38" t="s">
        <v>1665</v>
      </c>
      <c r="B388" s="39">
        <v>242.355</v>
      </c>
      <c r="C388" s="39">
        <v>117.78</v>
      </c>
      <c r="D388" s="6" t="str">
        <f>Database!H386</f>
        <v>#N/A</v>
      </c>
    </row>
    <row r="389" ht="22.5" customHeight="1">
      <c r="A389" s="38" t="s">
        <v>1666</v>
      </c>
      <c r="B389" s="39">
        <v>293.04</v>
      </c>
      <c r="C389" s="39">
        <v>220.06</v>
      </c>
      <c r="D389" s="6" t="str">
        <f>Database!H387</f>
        <v>#N/A</v>
      </c>
    </row>
    <row r="390" ht="22.5" customHeight="1">
      <c r="A390" s="38" t="s">
        <v>1667</v>
      </c>
      <c r="B390" s="39">
        <v>191.36</v>
      </c>
      <c r="C390" s="39">
        <v>131.42</v>
      </c>
      <c r="D390" s="6" t="str">
        <f>Database!H388</f>
        <v>#N/A</v>
      </c>
    </row>
    <row r="391" ht="22.5" customHeight="1">
      <c r="A391" s="38" t="s">
        <v>1668</v>
      </c>
      <c r="B391" s="39">
        <v>205.825</v>
      </c>
      <c r="C391" s="39">
        <v>138.45</v>
      </c>
      <c r="D391" s="6" t="str">
        <f>Database!H389</f>
        <v>#N/A</v>
      </c>
    </row>
    <row r="392" ht="22.5" customHeight="1">
      <c r="A392" s="38" t="s">
        <v>1669</v>
      </c>
      <c r="B392" s="39">
        <v>356.15</v>
      </c>
      <c r="C392" s="39">
        <v>99.17</v>
      </c>
      <c r="D392" s="6" t="str">
        <f>Database!H390</f>
        <v>#N/A</v>
      </c>
    </row>
    <row r="393" ht="22.5" customHeight="1">
      <c r="A393" s="38" t="s">
        <v>1670</v>
      </c>
      <c r="B393" s="39">
        <v>208.61</v>
      </c>
      <c r="C393" s="39">
        <v>139.16</v>
      </c>
      <c r="D393" s="6" t="str">
        <f>Database!H391</f>
        <v>#N/A</v>
      </c>
    </row>
    <row r="394" ht="22.5" customHeight="1">
      <c r="A394" s="38" t="s">
        <v>1671</v>
      </c>
      <c r="B394" s="39">
        <v>205.88</v>
      </c>
      <c r="C394" s="39">
        <v>138.48</v>
      </c>
      <c r="D394" s="6" t="str">
        <f>Database!H392</f>
        <v>#N/A</v>
      </c>
    </row>
    <row r="395" ht="22.5" customHeight="1">
      <c r="A395" s="38" t="s">
        <v>1672</v>
      </c>
      <c r="B395" s="39">
        <v>147.37</v>
      </c>
      <c r="C395" s="39">
        <v>98.7</v>
      </c>
      <c r="D395" s="6" t="str">
        <f>Database!H393</f>
        <v>#N/A</v>
      </c>
    </row>
    <row r="396" ht="22.5" customHeight="1">
      <c r="A396" s="38" t="s">
        <v>1673</v>
      </c>
      <c r="B396" s="39">
        <v>293.05</v>
      </c>
      <c r="C396" s="39">
        <v>261.31</v>
      </c>
      <c r="D396" s="6" t="str">
        <f>Database!H394</f>
        <v>#N/A</v>
      </c>
    </row>
    <row r="397" ht="22.5" customHeight="1">
      <c r="A397" s="38" t="s">
        <v>1674</v>
      </c>
      <c r="B397" s="39">
        <v>211.88</v>
      </c>
      <c r="C397" s="39">
        <v>104.15</v>
      </c>
      <c r="D397" s="6" t="str">
        <f>Database!H395</f>
        <v>#N/A</v>
      </c>
    </row>
    <row r="398" ht="22.5" customHeight="1">
      <c r="A398" s="38" t="s">
        <v>1675</v>
      </c>
      <c r="B398" s="39">
        <v>233.6</v>
      </c>
      <c r="C398" s="39">
        <v>232.95</v>
      </c>
      <c r="D398" s="6" t="str">
        <f>Database!H396</f>
        <v>#N/A</v>
      </c>
    </row>
    <row r="399" ht="22.5" customHeight="1">
      <c r="A399" s="38" t="s">
        <v>1676</v>
      </c>
      <c r="B399" s="39">
        <v>339.29</v>
      </c>
      <c r="C399" s="39">
        <v>185.32</v>
      </c>
      <c r="D399" s="6" t="str">
        <f>Database!H397</f>
        <v>#N/A</v>
      </c>
    </row>
    <row r="400" ht="22.5" customHeight="1">
      <c r="A400" s="38" t="s">
        <v>1677</v>
      </c>
      <c r="B400" s="39">
        <v>174.99</v>
      </c>
      <c r="C400" s="39">
        <v>139.19</v>
      </c>
      <c r="D400" s="6" t="str">
        <f>Database!H398</f>
        <v>#N/A</v>
      </c>
    </row>
    <row r="401" ht="22.5" customHeight="1">
      <c r="A401" s="38" t="s">
        <v>1678</v>
      </c>
      <c r="B401" s="39">
        <v>293.04</v>
      </c>
      <c r="C401" s="39">
        <v>95.4</v>
      </c>
      <c r="D401" s="6" t="str">
        <f>Database!H399</f>
        <v>#N/A</v>
      </c>
    </row>
    <row r="402" ht="22.5" customHeight="1">
      <c r="A402" s="38" t="s">
        <v>1679</v>
      </c>
      <c r="B402" s="39">
        <v>282.06</v>
      </c>
      <c r="C402" s="39">
        <v>102.87</v>
      </c>
      <c r="D402" s="6" t="str">
        <f>Database!H400</f>
        <v>#N/A</v>
      </c>
    </row>
    <row r="403" ht="22.5" customHeight="1">
      <c r="A403" s="38" t="s">
        <v>1680</v>
      </c>
      <c r="B403" s="39">
        <v>251.41</v>
      </c>
      <c r="C403" s="39">
        <v>117.32</v>
      </c>
      <c r="D403" s="6" t="str">
        <f>Database!H401</f>
        <v>#N/A</v>
      </c>
    </row>
    <row r="404" ht="22.5" customHeight="1">
      <c r="A404" s="38" t="s">
        <v>1681</v>
      </c>
      <c r="B404" s="39">
        <v>293.53</v>
      </c>
      <c r="C404" s="39">
        <v>110.67</v>
      </c>
      <c r="D404" s="6" t="str">
        <f>Database!H402</f>
        <v>#N/A</v>
      </c>
    </row>
    <row r="405" ht="22.5" customHeight="1">
      <c r="A405" s="38" t="s">
        <v>1682</v>
      </c>
      <c r="B405" s="39">
        <v>322.435</v>
      </c>
      <c r="C405" s="39">
        <v>220.06</v>
      </c>
      <c r="D405" s="6" t="str">
        <f>Database!H403</f>
        <v>#N/A</v>
      </c>
    </row>
    <row r="406" ht="22.5" customHeight="1">
      <c r="A406" s="38" t="s">
        <v>1683</v>
      </c>
      <c r="B406" s="39">
        <v>207.81</v>
      </c>
      <c r="C406" s="39">
        <v>207.87</v>
      </c>
      <c r="D406" s="6" t="str">
        <f>Database!H404</f>
        <v>#N/A</v>
      </c>
    </row>
    <row r="407" ht="22.5" customHeight="1">
      <c r="A407" s="38" t="s">
        <v>1684</v>
      </c>
      <c r="B407" s="39">
        <v>333.13</v>
      </c>
      <c r="C407" s="39">
        <v>109.35</v>
      </c>
      <c r="D407" s="6" t="str">
        <f>Database!H405</f>
        <v>#N/A</v>
      </c>
    </row>
    <row r="408" ht="22.5" customHeight="1">
      <c r="A408" s="38" t="s">
        <v>1685</v>
      </c>
      <c r="B408" s="39">
        <v>156.03</v>
      </c>
      <c r="C408" s="39">
        <v>146.86</v>
      </c>
      <c r="D408" s="6" t="str">
        <f>Database!H406</f>
        <v>#N/A</v>
      </c>
    </row>
    <row r="409" ht="22.5" customHeight="1">
      <c r="A409" s="38" t="s">
        <v>1686</v>
      </c>
      <c r="B409" s="39">
        <v>326.57</v>
      </c>
      <c r="C409" s="39">
        <v>220.06</v>
      </c>
      <c r="D409" s="6" t="str">
        <f>Database!H407</f>
        <v>#N/A</v>
      </c>
    </row>
    <row r="410" ht="22.5" customHeight="1">
      <c r="A410" s="38" t="s">
        <v>1687</v>
      </c>
      <c r="B410" s="39">
        <v>293.03</v>
      </c>
      <c r="C410" s="39">
        <v>110.67</v>
      </c>
      <c r="D410" s="6" t="str">
        <f>Database!H408</f>
        <v>#N/A</v>
      </c>
    </row>
    <row r="411" ht="22.5" customHeight="1">
      <c r="A411" s="38" t="s">
        <v>1688</v>
      </c>
      <c r="B411" s="39">
        <v>168.02</v>
      </c>
      <c r="C411" s="39">
        <v>93.03</v>
      </c>
      <c r="D411" s="6" t="str">
        <f>Database!H409</f>
        <v>#N/A</v>
      </c>
    </row>
    <row r="412" ht="22.5" customHeight="1">
      <c r="A412" s="38" t="s">
        <v>1689</v>
      </c>
      <c r="B412" s="39">
        <v>184.53</v>
      </c>
      <c r="C412" s="39">
        <v>101.39</v>
      </c>
      <c r="D412" s="6" t="str">
        <f>Database!H410</f>
        <v>#N/A</v>
      </c>
    </row>
    <row r="413" ht="22.5" customHeight="1">
      <c r="A413" s="38" t="s">
        <v>1690</v>
      </c>
      <c r="B413" s="39">
        <v>181.88</v>
      </c>
      <c r="C413" s="39">
        <v>103.52</v>
      </c>
      <c r="D413" s="6" t="str">
        <f>Database!H411</f>
        <v>#N/A</v>
      </c>
    </row>
    <row r="414" ht="22.5" customHeight="1">
      <c r="A414" s="38" t="s">
        <v>1691</v>
      </c>
      <c r="B414" s="39">
        <v>148.38</v>
      </c>
      <c r="C414" s="39">
        <v>104.075</v>
      </c>
      <c r="D414" s="6" t="str">
        <f>Database!H412</f>
        <v>#N/A</v>
      </c>
    </row>
    <row r="415" ht="22.5" customHeight="1">
      <c r="A415" s="38" t="s">
        <v>1692</v>
      </c>
      <c r="B415" s="39">
        <v>159.935</v>
      </c>
      <c r="C415" s="39">
        <v>98.81</v>
      </c>
      <c r="D415" s="6" t="str">
        <f>Database!H413</f>
        <v>#N/A</v>
      </c>
    </row>
    <row r="416" ht="22.5" customHeight="1">
      <c r="A416" s="38" t="s">
        <v>1693</v>
      </c>
      <c r="B416" s="39">
        <v>333.295</v>
      </c>
      <c r="C416" s="39">
        <v>92.955</v>
      </c>
      <c r="D416" s="6" t="str">
        <f>Database!H414</f>
        <v>#N/A</v>
      </c>
    </row>
    <row r="417" ht="22.5" customHeight="1">
      <c r="A417" s="38" t="s">
        <v>1694</v>
      </c>
      <c r="B417" s="39">
        <v>261.31</v>
      </c>
      <c r="C417" s="39">
        <v>117.2</v>
      </c>
      <c r="D417" s="6" t="str">
        <f>Database!H415</f>
        <v>#N/A</v>
      </c>
    </row>
    <row r="418" ht="22.5" customHeight="1">
      <c r="A418" s="38" t="s">
        <v>1695</v>
      </c>
      <c r="B418" s="39">
        <v>246.77</v>
      </c>
      <c r="C418" s="39">
        <v>116.49</v>
      </c>
      <c r="D418" s="6" t="str">
        <f>Database!H416</f>
        <v>#N/A</v>
      </c>
    </row>
    <row r="419" ht="22.5" customHeight="1">
      <c r="A419" s="38" t="s">
        <v>1696</v>
      </c>
      <c r="B419" s="39">
        <v>170.0</v>
      </c>
      <c r="C419" s="39">
        <v>83.5</v>
      </c>
      <c r="D419" s="6" t="str">
        <f>Database!H417</f>
        <v>#N/A</v>
      </c>
    </row>
    <row r="420" ht="22.5" customHeight="1">
      <c r="A420" s="38" t="s">
        <v>1697</v>
      </c>
      <c r="B420" s="39">
        <v>163.94</v>
      </c>
      <c r="C420" s="39">
        <v>97.87</v>
      </c>
      <c r="D420" s="6" t="str">
        <f>Database!H418</f>
        <v>#N/A</v>
      </c>
    </row>
    <row r="421" ht="22.5" customHeight="1">
      <c r="A421" s="38" t="s">
        <v>1698</v>
      </c>
      <c r="B421" s="39">
        <v>292.54</v>
      </c>
      <c r="C421" s="39">
        <v>291.53</v>
      </c>
      <c r="D421" s="6" t="str">
        <f>Database!H419</f>
        <v>#N/A</v>
      </c>
    </row>
    <row r="422" ht="22.5" customHeight="1">
      <c r="A422" s="38" t="s">
        <v>1699</v>
      </c>
      <c r="B422" s="39">
        <v>220.085</v>
      </c>
      <c r="C422" s="39">
        <v>78.92</v>
      </c>
      <c r="D422" s="6" t="str">
        <f>Database!H420</f>
        <v>#N/A</v>
      </c>
    </row>
    <row r="423" ht="22.5" customHeight="1">
      <c r="A423" s="38" t="s">
        <v>1700</v>
      </c>
      <c r="B423" s="39">
        <v>232.97</v>
      </c>
      <c r="C423" s="39">
        <v>276.46</v>
      </c>
      <c r="D423" s="6" t="str">
        <f>Database!H421</f>
        <v>#N/A</v>
      </c>
    </row>
    <row r="424" ht="22.5" customHeight="1">
      <c r="A424" s="38" t="s">
        <v>1701</v>
      </c>
      <c r="B424" s="39">
        <v>189.3</v>
      </c>
      <c r="C424" s="39">
        <v>144.15</v>
      </c>
      <c r="D424" s="6" t="str">
        <f>Database!H422</f>
        <v>#N/A</v>
      </c>
    </row>
    <row r="425" ht="22.5" customHeight="1">
      <c r="A425" s="38" t="s">
        <v>1702</v>
      </c>
      <c r="B425" s="39">
        <v>233.04</v>
      </c>
      <c r="C425" s="39">
        <v>80.21</v>
      </c>
      <c r="D425" s="6" t="str">
        <f>Database!H423</f>
        <v>#N/A</v>
      </c>
    </row>
    <row r="426" ht="22.5" customHeight="1">
      <c r="A426" s="38" t="s">
        <v>1703</v>
      </c>
      <c r="B426" s="39">
        <v>207.82</v>
      </c>
      <c r="C426" s="39">
        <v>92.66</v>
      </c>
      <c r="D426" s="6" t="str">
        <f>Database!H424</f>
        <v>#N/A</v>
      </c>
    </row>
    <row r="427" ht="22.5" customHeight="1">
      <c r="A427" s="38" t="s">
        <v>1704</v>
      </c>
      <c r="B427" s="39">
        <v>229.5</v>
      </c>
      <c r="C427" s="39">
        <v>88.13</v>
      </c>
      <c r="D427" s="6" t="str">
        <f>Database!H425</f>
        <v>#N/A</v>
      </c>
    </row>
    <row r="428" ht="22.5" customHeight="1">
      <c r="A428" s="38" t="s">
        <v>1705</v>
      </c>
      <c r="B428" s="39">
        <v>310.3</v>
      </c>
      <c r="C428" s="39">
        <v>104.51</v>
      </c>
      <c r="D428" s="6" t="str">
        <f>Database!H426</f>
        <v>#N/A</v>
      </c>
    </row>
    <row r="429" ht="22.5" customHeight="1">
      <c r="A429" s="38" t="s">
        <v>1706</v>
      </c>
      <c r="B429" s="39">
        <v>237.44</v>
      </c>
      <c r="C429" s="39">
        <v>110.61</v>
      </c>
      <c r="D429" s="6" t="str">
        <f>Database!H427</f>
        <v>#N/A</v>
      </c>
    </row>
    <row r="430" ht="22.5" customHeight="1">
      <c r="A430" s="38" t="s">
        <v>1707</v>
      </c>
      <c r="B430" s="39">
        <v>216.37</v>
      </c>
      <c r="C430" s="39">
        <v>82.925</v>
      </c>
      <c r="D430" s="6" t="str">
        <f>Database!H428</f>
        <v>#N/A</v>
      </c>
    </row>
    <row r="431" ht="22.5" customHeight="1">
      <c r="A431" s="38" t="s">
        <v>1708</v>
      </c>
      <c r="B431" s="39">
        <v>227.3</v>
      </c>
      <c r="C431" s="39">
        <v>82.5</v>
      </c>
      <c r="D431" s="6" t="str">
        <f>Database!H429</f>
        <v>#N/A</v>
      </c>
    </row>
    <row r="432" ht="22.5" customHeight="1">
      <c r="A432" s="38" t="s">
        <v>1709</v>
      </c>
      <c r="B432" s="39">
        <v>198.45</v>
      </c>
      <c r="C432" s="39">
        <v>100.295</v>
      </c>
      <c r="D432" s="6" t="str">
        <f>Database!H430</f>
        <v>#N/A</v>
      </c>
    </row>
    <row r="433" ht="22.5" customHeight="1">
      <c r="A433" s="38" t="s">
        <v>1710</v>
      </c>
      <c r="B433" s="39">
        <v>159.46</v>
      </c>
      <c r="C433" s="39">
        <v>105.84</v>
      </c>
      <c r="D433" s="6" t="str">
        <f>Database!H431</f>
        <v>#N/A</v>
      </c>
    </row>
    <row r="434" ht="22.5" customHeight="1">
      <c r="A434" s="38" t="s">
        <v>1711</v>
      </c>
      <c r="B434" s="39">
        <v>293.04</v>
      </c>
      <c r="C434" s="39">
        <v>237.21</v>
      </c>
      <c r="D434" s="6" t="str">
        <f>Database!H432</f>
        <v>#N/A</v>
      </c>
    </row>
    <row r="435" ht="22.5" customHeight="1">
      <c r="A435" s="38" t="s">
        <v>1712</v>
      </c>
      <c r="B435" s="39">
        <v>299.3</v>
      </c>
      <c r="C435" s="39">
        <v>110.33</v>
      </c>
      <c r="D435" s="6" t="str">
        <f>Database!H433</f>
        <v>#N/A</v>
      </c>
    </row>
    <row r="436" ht="22.5" customHeight="1">
      <c r="A436" s="38" t="s">
        <v>1713</v>
      </c>
      <c r="B436" s="39">
        <v>267.37</v>
      </c>
      <c r="C436" s="39">
        <v>108.48</v>
      </c>
      <c r="D436" s="6" t="str">
        <f>Database!H434</f>
        <v>#N/A</v>
      </c>
    </row>
    <row r="437" ht="22.5" customHeight="1">
      <c r="A437" s="38" t="s">
        <v>1714</v>
      </c>
      <c r="B437" s="39">
        <v>165.51</v>
      </c>
      <c r="C437" s="39">
        <v>98.125</v>
      </c>
      <c r="D437" s="6" t="str">
        <f>Database!H435</f>
        <v>#N/A</v>
      </c>
    </row>
    <row r="438" ht="22.5" customHeight="1">
      <c r="A438" s="38" t="s">
        <v>1715</v>
      </c>
      <c r="B438" s="39">
        <v>174.17</v>
      </c>
      <c r="C438" s="39">
        <v>78.48</v>
      </c>
      <c r="D438" s="6" t="str">
        <f>Database!H436</f>
        <v>#N/A</v>
      </c>
    </row>
    <row r="439" ht="22.5" customHeight="1">
      <c r="A439" s="38" t="s">
        <v>1716</v>
      </c>
      <c r="B439" s="39">
        <v>156.53</v>
      </c>
      <c r="C439" s="39">
        <v>78.5</v>
      </c>
      <c r="D439" s="6" t="str">
        <f>Database!H437</f>
        <v>#N/A</v>
      </c>
    </row>
    <row r="440" ht="22.5" customHeight="1">
      <c r="A440" s="38" t="s">
        <v>1717</v>
      </c>
      <c r="B440" s="39">
        <v>233.14</v>
      </c>
      <c r="C440" s="39">
        <v>155.89</v>
      </c>
      <c r="D440" s="6" t="str">
        <f>Database!H438</f>
        <v>#N/A</v>
      </c>
    </row>
    <row r="441" ht="22.5" customHeight="1">
      <c r="A441" s="38" t="s">
        <v>1718</v>
      </c>
      <c r="B441" s="39">
        <v>162.2</v>
      </c>
      <c r="C441" s="39">
        <v>97.45</v>
      </c>
      <c r="D441" s="6" t="str">
        <f>Database!H439</f>
        <v>#N/A</v>
      </c>
    </row>
    <row r="442" ht="22.5" customHeight="1">
      <c r="A442" s="38" t="s">
        <v>1719</v>
      </c>
      <c r="B442" s="39">
        <v>173.77</v>
      </c>
      <c r="C442" s="39">
        <v>92.51</v>
      </c>
      <c r="D442" s="6" t="str">
        <f>Database!H440</f>
        <v>#N/A</v>
      </c>
    </row>
    <row r="443" ht="22.5" customHeight="1">
      <c r="A443" s="38" t="s">
        <v>1720</v>
      </c>
      <c r="B443" s="39">
        <v>368.86</v>
      </c>
      <c r="C443" s="39">
        <v>347.97</v>
      </c>
      <c r="D443" s="6" t="str">
        <f>Database!H441</f>
        <v>#N/A</v>
      </c>
    </row>
    <row r="444" ht="22.5" customHeight="1">
      <c r="A444" s="38" t="s">
        <v>1721</v>
      </c>
      <c r="B444" s="39">
        <v>287.25</v>
      </c>
      <c r="C444" s="39">
        <v>226.06</v>
      </c>
      <c r="D444" s="6" t="str">
        <f>Database!H442</f>
        <v>#N/A</v>
      </c>
    </row>
    <row r="445" ht="22.5" customHeight="1">
      <c r="A445" s="38" t="s">
        <v>1722</v>
      </c>
      <c r="B445" s="39">
        <v>244.03</v>
      </c>
      <c r="C445" s="39">
        <v>98.69</v>
      </c>
      <c r="D445" s="6" t="str">
        <f>Database!H443</f>
        <v>#N/A</v>
      </c>
    </row>
    <row r="446" ht="22.5" customHeight="1">
      <c r="A446" s="38" t="s">
        <v>1723</v>
      </c>
      <c r="B446" s="39">
        <v>188.295</v>
      </c>
      <c r="C446" s="39">
        <v>89.44</v>
      </c>
      <c r="D446" s="6" t="str">
        <f>Database!H444</f>
        <v>#N/A</v>
      </c>
    </row>
    <row r="447" ht="22.5" customHeight="1">
      <c r="A447" s="38" t="s">
        <v>1724</v>
      </c>
      <c r="B447" s="39">
        <v>310.32</v>
      </c>
      <c r="C447" s="39">
        <v>124.06</v>
      </c>
      <c r="D447" s="6" t="str">
        <f>Database!H445</f>
        <v>#N/A</v>
      </c>
    </row>
    <row r="448" ht="22.5" customHeight="1">
      <c r="A448" s="38" t="s">
        <v>1725</v>
      </c>
      <c r="B448" s="39">
        <v>362.08</v>
      </c>
      <c r="C448" s="39">
        <v>293.03</v>
      </c>
      <c r="D448" s="6" t="str">
        <f>Database!H446</f>
        <v>#N/A</v>
      </c>
    </row>
    <row r="449" ht="22.5" customHeight="1">
      <c r="A449" s="38" t="s">
        <v>1726</v>
      </c>
      <c r="B449" s="39">
        <v>224.95</v>
      </c>
      <c r="C449" s="39">
        <v>90.025</v>
      </c>
      <c r="D449" s="6" t="str">
        <f>Database!H447</f>
        <v>#N/A</v>
      </c>
    </row>
    <row r="450" ht="22.5" customHeight="1">
      <c r="A450" s="38" t="s">
        <v>1727</v>
      </c>
      <c r="B450" s="39">
        <v>340.99</v>
      </c>
      <c r="C450" s="39">
        <v>110.77</v>
      </c>
      <c r="D450" s="6" t="str">
        <f>Database!H448</f>
        <v>#N/A</v>
      </c>
    </row>
    <row r="451" ht="22.5" customHeight="1">
      <c r="A451" s="38" t="s">
        <v>1728</v>
      </c>
      <c r="B451" s="39">
        <v>184.78</v>
      </c>
      <c r="C451" s="39">
        <v>155.5</v>
      </c>
      <c r="D451" s="6" t="str">
        <f>Database!H449</f>
        <v>#N/A</v>
      </c>
    </row>
    <row r="452" ht="22.5" customHeight="1">
      <c r="A452" s="38" t="s">
        <v>1729</v>
      </c>
      <c r="B452" s="39">
        <v>246.41</v>
      </c>
      <c r="C452" s="39">
        <v>110.94</v>
      </c>
      <c r="D452" s="6" t="str">
        <f>Database!H450</f>
        <v>#N/A</v>
      </c>
    </row>
    <row r="453" ht="22.5" customHeight="1">
      <c r="A453" s="38" t="s">
        <v>1730</v>
      </c>
      <c r="B453" s="39">
        <v>192.48</v>
      </c>
      <c r="C453" s="39">
        <v>131.43</v>
      </c>
      <c r="D453" s="6" t="str">
        <f>Database!H451</f>
        <v>#N/A</v>
      </c>
    </row>
    <row r="454" ht="22.5" customHeight="1">
      <c r="A454" s="38" t="s">
        <v>1731</v>
      </c>
      <c r="B454" s="39">
        <v>235.05</v>
      </c>
      <c r="C454" s="39">
        <v>247.055</v>
      </c>
      <c r="D454" s="6" t="str">
        <f>Database!H452</f>
        <v>#N/A</v>
      </c>
    </row>
    <row r="455" ht="22.5" customHeight="1">
      <c r="A455" s="38" t="s">
        <v>1732</v>
      </c>
      <c r="B455" s="39">
        <v>261.33</v>
      </c>
      <c r="C455" s="39">
        <v>93.18</v>
      </c>
      <c r="D455" s="6" t="str">
        <f>Database!H453</f>
        <v>#N/A</v>
      </c>
    </row>
    <row r="456" ht="22.5" customHeight="1">
      <c r="A456" s="38" t="s">
        <v>1733</v>
      </c>
      <c r="B456" s="39">
        <v>241.22</v>
      </c>
      <c r="C456" s="39">
        <v>97.975</v>
      </c>
      <c r="D456" s="6" t="str">
        <f>Database!H454</f>
        <v>#N/A</v>
      </c>
    </row>
    <row r="457" ht="22.5" customHeight="1">
      <c r="A457" s="38" t="s">
        <v>1734</v>
      </c>
      <c r="B457" s="39">
        <v>175.54</v>
      </c>
      <c r="C457" s="39">
        <v>139.17</v>
      </c>
      <c r="D457" s="6" t="str">
        <f>Database!H455</f>
        <v>#N/A</v>
      </c>
    </row>
    <row r="458" ht="22.5" customHeight="1">
      <c r="A458" s="38" t="s">
        <v>1735</v>
      </c>
      <c r="B458" s="39">
        <v>261.41</v>
      </c>
      <c r="C458" s="39">
        <v>78.49</v>
      </c>
      <c r="D458" s="6" t="str">
        <f>Database!H456</f>
        <v>#N/A</v>
      </c>
    </row>
    <row r="459" ht="22.5" customHeight="1">
      <c r="A459" s="38" t="s">
        <v>1736</v>
      </c>
      <c r="B459" s="39">
        <v>270.395</v>
      </c>
      <c r="C459" s="39">
        <v>136.55</v>
      </c>
      <c r="D459" s="6" t="str">
        <f>Database!H457</f>
        <v>#N/A</v>
      </c>
    </row>
    <row r="460" ht="22.5" customHeight="1">
      <c r="A460" s="38" t="s">
        <v>1737</v>
      </c>
      <c r="B460" s="39">
        <v>367.15</v>
      </c>
      <c r="C460" s="39">
        <v>266.91</v>
      </c>
      <c r="D460" s="6" t="str">
        <f>Database!H458</f>
        <v>#N/A</v>
      </c>
    </row>
    <row r="461" ht="22.5" customHeight="1">
      <c r="A461" s="38" t="s">
        <v>1738</v>
      </c>
      <c r="B461" s="39">
        <v>346.295</v>
      </c>
      <c r="C461" s="39">
        <v>101.05</v>
      </c>
      <c r="D461" s="6" t="str">
        <f>Database!H459</f>
        <v>#N/A</v>
      </c>
    </row>
    <row r="462" ht="22.5" customHeight="1">
      <c r="A462" s="38" t="s">
        <v>1739</v>
      </c>
      <c r="B462" s="39">
        <v>290.455</v>
      </c>
      <c r="C462" s="39">
        <v>276.5</v>
      </c>
      <c r="D462" s="6" t="str">
        <f>Database!H460</f>
        <v>#N/A</v>
      </c>
    </row>
    <row r="463" ht="22.5" customHeight="1">
      <c r="A463" s="38" t="s">
        <v>1740</v>
      </c>
      <c r="B463" s="39">
        <v>310.3</v>
      </c>
      <c r="C463" s="39">
        <v>232.94</v>
      </c>
      <c r="D463" s="6" t="str">
        <f>Database!H461</f>
        <v>#N/A</v>
      </c>
    </row>
    <row r="464" ht="22.5" customHeight="1">
      <c r="A464" s="38" t="s">
        <v>1741</v>
      </c>
      <c r="B464" s="39">
        <v>250.06</v>
      </c>
      <c r="C464" s="39">
        <v>249.89</v>
      </c>
      <c r="D464" s="6" t="str">
        <f>Database!H462</f>
        <v>#N/A</v>
      </c>
    </row>
    <row r="465" ht="22.5" customHeight="1">
      <c r="A465" s="38" t="s">
        <v>1742</v>
      </c>
      <c r="B465" s="39">
        <v>310.32</v>
      </c>
      <c r="C465" s="39">
        <v>170.205</v>
      </c>
      <c r="D465" s="6" t="str">
        <f>Database!H463</f>
        <v>#N/A</v>
      </c>
    </row>
    <row r="466" ht="22.5" customHeight="1">
      <c r="A466" s="38" t="s">
        <v>1743</v>
      </c>
      <c r="B466" s="39">
        <v>328.41</v>
      </c>
      <c r="C466" s="39">
        <v>328.32</v>
      </c>
      <c r="D466" s="6" t="str">
        <f>Database!H464</f>
        <v>#N/A</v>
      </c>
    </row>
    <row r="467" ht="22.5" customHeight="1">
      <c r="A467" s="38" t="s">
        <v>1744</v>
      </c>
      <c r="B467" s="39">
        <v>307.785</v>
      </c>
      <c r="C467" s="39">
        <v>117.2</v>
      </c>
      <c r="D467" s="6" t="str">
        <f>Database!H465</f>
        <v>#N/A</v>
      </c>
    </row>
    <row r="468" ht="22.5" customHeight="1">
      <c r="A468" s="38" t="s">
        <v>1745</v>
      </c>
      <c r="B468" s="39">
        <v>165.91</v>
      </c>
      <c r="C468" s="39">
        <v>147.2</v>
      </c>
      <c r="D468" s="6" t="str">
        <f>Database!H466</f>
        <v>#N/A</v>
      </c>
    </row>
    <row r="469" ht="22.5" customHeight="1">
      <c r="A469" s="38" t="s">
        <v>1746</v>
      </c>
      <c r="B469" s="39">
        <v>433.7</v>
      </c>
      <c r="C469" s="39">
        <v>93.03</v>
      </c>
      <c r="D469" s="6" t="str">
        <f>Database!H467</f>
        <v>#N/A</v>
      </c>
    </row>
    <row r="470" ht="22.5" customHeight="1">
      <c r="A470" s="38" t="s">
        <v>1747</v>
      </c>
      <c r="B470" s="40"/>
      <c r="C470" s="39">
        <v>265.91</v>
      </c>
      <c r="D470" s="6" t="str">
        <f>Database!H468</f>
        <v>#N/A</v>
      </c>
    </row>
    <row r="471" ht="22.5" customHeight="1">
      <c r="A471" s="38" t="s">
        <v>1748</v>
      </c>
      <c r="B471" s="39">
        <v>338.73</v>
      </c>
      <c r="C471" s="39">
        <v>83.12</v>
      </c>
      <c r="D471" s="6" t="str">
        <f>Database!H469</f>
        <v>#N/A</v>
      </c>
    </row>
    <row r="472" ht="22.5" customHeight="1">
      <c r="A472" s="38" t="s">
        <v>1749</v>
      </c>
      <c r="B472" s="39">
        <v>188.095</v>
      </c>
      <c r="C472" s="39">
        <v>141.86</v>
      </c>
      <c r="D472" s="6" t="str">
        <f>Database!H470</f>
        <v>#N/A</v>
      </c>
    </row>
    <row r="473" ht="22.5" customHeight="1">
      <c r="A473" s="38" t="s">
        <v>1750</v>
      </c>
      <c r="B473" s="39">
        <v>276.585</v>
      </c>
      <c r="C473" s="39">
        <v>250.93</v>
      </c>
      <c r="D473" s="6" t="str">
        <f>Database!H471</f>
        <v>#N/A</v>
      </c>
    </row>
    <row r="474" ht="22.5" customHeight="1">
      <c r="A474" s="38" t="s">
        <v>1751</v>
      </c>
      <c r="B474" s="39">
        <v>210.575</v>
      </c>
      <c r="C474" s="39">
        <v>140.06</v>
      </c>
      <c r="D474" s="6" t="str">
        <f>Database!H472</f>
        <v>#N/A</v>
      </c>
    </row>
    <row r="475" ht="22.5" customHeight="1">
      <c r="A475" s="38" t="s">
        <v>1752</v>
      </c>
      <c r="B475" s="39">
        <v>207.79</v>
      </c>
      <c r="C475" s="39">
        <v>147.32</v>
      </c>
      <c r="D475" s="6" t="str">
        <f>Database!H473</f>
        <v>#N/A</v>
      </c>
    </row>
    <row r="476" ht="22.5" customHeight="1">
      <c r="A476" s="38" t="s">
        <v>1753</v>
      </c>
      <c r="B476" s="39">
        <v>235.91</v>
      </c>
      <c r="C476" s="39">
        <v>76.04</v>
      </c>
      <c r="D476" s="6" t="str">
        <f>Database!H474</f>
        <v>#N/A</v>
      </c>
    </row>
    <row r="477" ht="22.5" customHeight="1">
      <c r="A477" s="38" t="s">
        <v>1754</v>
      </c>
      <c r="B477" s="39">
        <v>321.955</v>
      </c>
      <c r="C477" s="39">
        <v>242.32</v>
      </c>
      <c r="D477" s="6" t="str">
        <f>Database!H475</f>
        <v>#N/A</v>
      </c>
    </row>
    <row r="478" ht="22.5" customHeight="1">
      <c r="A478" s="38" t="s">
        <v>1755</v>
      </c>
      <c r="B478" s="39">
        <v>293.03</v>
      </c>
      <c r="C478" s="39">
        <v>230.79</v>
      </c>
      <c r="D478" s="6" t="str">
        <f>Database!H476</f>
        <v>#N/A</v>
      </c>
    </row>
    <row r="479" ht="22.5" customHeight="1">
      <c r="A479" s="38" t="s">
        <v>1756</v>
      </c>
      <c r="B479" s="39">
        <v>282.195</v>
      </c>
      <c r="C479" s="39">
        <v>104.51</v>
      </c>
      <c r="D479" s="6" t="str">
        <f>Database!H477</f>
        <v>#N/A</v>
      </c>
    </row>
    <row r="480" ht="22.5" customHeight="1">
      <c r="A480" s="38" t="s">
        <v>1757</v>
      </c>
      <c r="B480" s="39">
        <v>413.2</v>
      </c>
      <c r="C480" s="39">
        <v>327.33</v>
      </c>
      <c r="D480" s="6" t="str">
        <f>Database!H478</f>
        <v>#N/A</v>
      </c>
    </row>
    <row r="481" ht="22.5" customHeight="1">
      <c r="A481" s="38" t="s">
        <v>1758</v>
      </c>
      <c r="B481" s="39">
        <v>238.98</v>
      </c>
      <c r="C481" s="39">
        <v>97.25</v>
      </c>
      <c r="D481" s="6" t="str">
        <f>Database!H479</f>
        <v>#N/A</v>
      </c>
    </row>
    <row r="482" ht="22.5" customHeight="1">
      <c r="A482" s="38" t="s">
        <v>1759</v>
      </c>
      <c r="B482" s="39">
        <v>187.49</v>
      </c>
      <c r="C482" s="39">
        <v>88.71</v>
      </c>
      <c r="D482" s="6" t="str">
        <f>Database!H480</f>
        <v>#N/A</v>
      </c>
    </row>
    <row r="483" ht="22.5" customHeight="1">
      <c r="A483" s="38" t="s">
        <v>1760</v>
      </c>
      <c r="B483" s="39">
        <v>208.82</v>
      </c>
      <c r="C483" s="39">
        <v>150.2</v>
      </c>
      <c r="D483" s="6" t="str">
        <f>Database!H481</f>
        <v>#N/A</v>
      </c>
    </row>
    <row r="484" ht="22.5" customHeight="1">
      <c r="A484" s="38" t="s">
        <v>1761</v>
      </c>
      <c r="B484" s="39">
        <v>196.27</v>
      </c>
      <c r="C484" s="39">
        <v>92.58</v>
      </c>
      <c r="D484" s="6" t="str">
        <f>Database!H482</f>
        <v>#N/A</v>
      </c>
    </row>
    <row r="485" ht="22.5" customHeight="1">
      <c r="A485" s="38" t="s">
        <v>1762</v>
      </c>
      <c r="B485" s="39">
        <v>379.61</v>
      </c>
      <c r="C485" s="39">
        <v>107.565</v>
      </c>
      <c r="D485" s="6" t="str">
        <f>Database!H483</f>
        <v>#N/A</v>
      </c>
    </row>
    <row r="486" ht="22.5" customHeight="1">
      <c r="A486" s="38" t="s">
        <v>1763</v>
      </c>
      <c r="B486" s="39">
        <v>298.22</v>
      </c>
      <c r="C486" s="39">
        <v>83.12</v>
      </c>
      <c r="D486" s="6" t="str">
        <f>Database!H484</f>
        <v>#N/A</v>
      </c>
    </row>
    <row r="487" ht="22.5" customHeight="1">
      <c r="A487" s="38" t="s">
        <v>1764</v>
      </c>
      <c r="B487" s="39">
        <v>276.7</v>
      </c>
      <c r="C487" s="39">
        <v>207.945</v>
      </c>
      <c r="D487" s="6" t="str">
        <f>Database!H485</f>
        <v>#N/A</v>
      </c>
    </row>
    <row r="488" ht="22.5" customHeight="1">
      <c r="A488" s="38" t="s">
        <v>1765</v>
      </c>
      <c r="B488" s="39">
        <v>277.86</v>
      </c>
      <c r="C488" s="39">
        <v>99.65</v>
      </c>
      <c r="D488" s="6" t="str">
        <f>Database!H486</f>
        <v>#N/A</v>
      </c>
    </row>
    <row r="489" ht="22.5" customHeight="1">
      <c r="A489" s="38" t="s">
        <v>1766</v>
      </c>
      <c r="B489" s="39">
        <v>220.06</v>
      </c>
      <c r="C489" s="39">
        <v>131.31</v>
      </c>
      <c r="D489" s="6" t="str">
        <f>Database!H487</f>
        <v>#N/A</v>
      </c>
    </row>
    <row r="490" ht="22.5" customHeight="1">
      <c r="A490" s="38" t="s">
        <v>1767</v>
      </c>
      <c r="B490" s="39">
        <v>336.29</v>
      </c>
      <c r="C490" s="39">
        <v>99.05</v>
      </c>
      <c r="D490" s="6" t="str">
        <f>Database!H488</f>
        <v>#N/A</v>
      </c>
    </row>
    <row r="491" ht="22.5" customHeight="1">
      <c r="A491" s="38" t="s">
        <v>1768</v>
      </c>
      <c r="B491" s="39">
        <v>223.8</v>
      </c>
      <c r="C491" s="39">
        <v>89.84</v>
      </c>
      <c r="D491" s="6" t="str">
        <f>Database!H489</f>
        <v>#N/A</v>
      </c>
    </row>
    <row r="492" ht="22.5" customHeight="1">
      <c r="A492" s="38" t="s">
        <v>1769</v>
      </c>
      <c r="B492" s="39">
        <v>181.8</v>
      </c>
      <c r="C492" s="39">
        <v>156.74</v>
      </c>
      <c r="D492" s="6" t="str">
        <f>Database!H490</f>
        <v>#N/A</v>
      </c>
    </row>
    <row r="493" ht="22.5" customHeight="1">
      <c r="A493" s="38" t="s">
        <v>1770</v>
      </c>
      <c r="B493" s="39">
        <v>165.48</v>
      </c>
      <c r="C493" s="39">
        <v>93.19</v>
      </c>
      <c r="D493" s="6" t="str">
        <f>Database!H491</f>
        <v>#N/A</v>
      </c>
    </row>
    <row r="494" ht="22.5" customHeight="1">
      <c r="A494" s="38" t="s">
        <v>1771</v>
      </c>
      <c r="B494" s="39">
        <v>200.03</v>
      </c>
      <c r="C494" s="39">
        <v>200.6</v>
      </c>
      <c r="D494" s="6" t="str">
        <f>Database!H492</f>
        <v>#N/A</v>
      </c>
    </row>
    <row r="495" ht="22.5" customHeight="1">
      <c r="A495" s="38" t="s">
        <v>1772</v>
      </c>
      <c r="B495" s="39">
        <v>276.72</v>
      </c>
      <c r="C495" s="39">
        <v>155.65</v>
      </c>
      <c r="D495" s="6" t="str">
        <f>Database!H493</f>
        <v>#N/A</v>
      </c>
    </row>
    <row r="496" ht="22.5" customHeight="1">
      <c r="A496" s="38" t="s">
        <v>1773</v>
      </c>
      <c r="B496" s="39">
        <v>218.12</v>
      </c>
      <c r="C496" s="39">
        <v>303.91</v>
      </c>
      <c r="D496" s="6" t="str">
        <f>Database!H494</f>
        <v>#N/A</v>
      </c>
    </row>
    <row r="497" ht="22.5" customHeight="1">
      <c r="A497" s="38" t="s">
        <v>1774</v>
      </c>
      <c r="B497" s="39">
        <v>220.07</v>
      </c>
      <c r="C497" s="39">
        <v>107.27</v>
      </c>
      <c r="D497" s="6" t="str">
        <f>Database!H495</f>
        <v>#N/A</v>
      </c>
    </row>
    <row r="498" ht="22.5" customHeight="1">
      <c r="A498" s="38" t="s">
        <v>1775</v>
      </c>
      <c r="B498" s="39">
        <v>217.775</v>
      </c>
      <c r="C498" s="39">
        <v>91.92</v>
      </c>
      <c r="D498" s="6" t="str">
        <f>Database!H496</f>
        <v>#N/A</v>
      </c>
    </row>
    <row r="499" ht="22.5" customHeight="1">
      <c r="A499" s="38" t="s">
        <v>1776</v>
      </c>
      <c r="B499" s="39">
        <v>214.38</v>
      </c>
      <c r="C499" s="39">
        <v>104.19</v>
      </c>
      <c r="D499" s="6" t="str">
        <f>Database!H497</f>
        <v>#N/A</v>
      </c>
    </row>
    <row r="500" ht="22.5" customHeight="1">
      <c r="A500" s="38" t="s">
        <v>1777</v>
      </c>
      <c r="B500" s="39">
        <v>267.17</v>
      </c>
      <c r="C500" s="39">
        <v>270.915</v>
      </c>
      <c r="D500" s="6" t="str">
        <f>Database!H498</f>
        <v>#N/A</v>
      </c>
    </row>
    <row r="501" ht="22.5" customHeight="1">
      <c r="A501" s="38" t="s">
        <v>1778</v>
      </c>
      <c r="B501" s="39">
        <v>252.23</v>
      </c>
      <c r="C501" s="39">
        <v>83.99</v>
      </c>
      <c r="D501" s="6" t="str">
        <f>Database!H499</f>
        <v>#N/A</v>
      </c>
    </row>
    <row r="502" ht="22.5" customHeight="1">
      <c r="A502" s="38" t="s">
        <v>1779</v>
      </c>
      <c r="B502" s="39">
        <v>233.01</v>
      </c>
      <c r="C502" s="39">
        <v>78.56</v>
      </c>
      <c r="D502" s="6" t="str">
        <f>Database!H500</f>
        <v>#N/A</v>
      </c>
    </row>
    <row r="503" ht="22.5" customHeight="1">
      <c r="A503" s="38" t="s">
        <v>1780</v>
      </c>
      <c r="B503" s="39">
        <v>348.05</v>
      </c>
      <c r="C503" s="39">
        <v>234.26</v>
      </c>
      <c r="D503" s="6" t="str">
        <f>Database!H501</f>
        <v>#N/A</v>
      </c>
    </row>
    <row r="504" ht="22.5" customHeight="1">
      <c r="A504" s="38" t="s">
        <v>1781</v>
      </c>
      <c r="B504" s="39">
        <v>224.37</v>
      </c>
      <c r="C504" s="39">
        <v>92.17</v>
      </c>
      <c r="D504" s="6" t="str">
        <f>Database!H502</f>
        <v>#N/A</v>
      </c>
    </row>
    <row r="505" ht="22.5" customHeight="1">
      <c r="A505" s="38" t="s">
        <v>1782</v>
      </c>
      <c r="B505" s="39">
        <v>274.88</v>
      </c>
      <c r="C505" s="39">
        <v>233.0</v>
      </c>
      <c r="D505" s="6" t="str">
        <f>Database!H503</f>
        <v>#N/A</v>
      </c>
    </row>
    <row r="506" ht="22.5" customHeight="1">
      <c r="A506" s="38" t="s">
        <v>1783</v>
      </c>
      <c r="B506" s="39">
        <v>233.67</v>
      </c>
      <c r="C506" s="39">
        <v>91.25</v>
      </c>
      <c r="D506" s="6" t="str">
        <f>Database!H504</f>
        <v>#N/A</v>
      </c>
    </row>
    <row r="507" ht="22.5" customHeight="1">
      <c r="A507" s="38" t="s">
        <v>1784</v>
      </c>
      <c r="B507" s="39">
        <v>156.01</v>
      </c>
      <c r="C507" s="39">
        <v>155.88</v>
      </c>
      <c r="D507" s="6" t="str">
        <f>Database!H505</f>
        <v>#N/A</v>
      </c>
    </row>
    <row r="508" ht="22.5" customHeight="1">
      <c r="A508" s="38" t="s">
        <v>1785</v>
      </c>
      <c r="B508" s="39">
        <v>293.03</v>
      </c>
      <c r="C508" s="39">
        <v>293.03</v>
      </c>
      <c r="D508" s="6" t="str">
        <f>Database!H506</f>
        <v>#N/A</v>
      </c>
    </row>
    <row r="509" ht="22.5" customHeight="1">
      <c r="A509" s="38" t="s">
        <v>1786</v>
      </c>
      <c r="B509" s="39">
        <v>281.28</v>
      </c>
      <c r="C509" s="39">
        <v>277.345</v>
      </c>
      <c r="D509" s="6" t="str">
        <f>Database!H507</f>
        <v>#N/A</v>
      </c>
    </row>
    <row r="510" ht="22.5" customHeight="1">
      <c r="A510" s="38" t="s">
        <v>1787</v>
      </c>
      <c r="B510" s="39">
        <v>262.74</v>
      </c>
      <c r="C510" s="39">
        <v>83.24</v>
      </c>
      <c r="D510" s="6" t="str">
        <f>Database!H508</f>
        <v>#N/A</v>
      </c>
    </row>
    <row r="511" ht="22.5" customHeight="1">
      <c r="A511" s="38" t="s">
        <v>1788</v>
      </c>
      <c r="B511" s="39">
        <v>232.135</v>
      </c>
      <c r="C511" s="39">
        <v>182.91</v>
      </c>
      <c r="D511" s="6" t="str">
        <f>Database!H509</f>
        <v>#N/A</v>
      </c>
    </row>
    <row r="512" ht="22.5" customHeight="1">
      <c r="A512" s="38" t="s">
        <v>1789</v>
      </c>
      <c r="B512" s="39">
        <v>211.35</v>
      </c>
      <c r="C512" s="39">
        <v>83.34</v>
      </c>
      <c r="D512" s="6" t="str">
        <f>Database!H510</f>
        <v>#N/A</v>
      </c>
    </row>
    <row r="513" ht="22.5" customHeight="1">
      <c r="A513" s="38" t="s">
        <v>1790</v>
      </c>
      <c r="B513" s="39">
        <v>328.57</v>
      </c>
      <c r="C513" s="39">
        <v>261.28</v>
      </c>
      <c r="D513" s="6" t="str">
        <f>Database!H511</f>
        <v>#N/A</v>
      </c>
    </row>
    <row r="514" ht="22.5" customHeight="1">
      <c r="A514" s="38" t="s">
        <v>1791</v>
      </c>
      <c r="B514" s="39">
        <v>229.23</v>
      </c>
      <c r="C514" s="39">
        <v>93.2</v>
      </c>
      <c r="D514" s="6" t="str">
        <f>Database!H512</f>
        <v>#N/A</v>
      </c>
    </row>
    <row r="515" ht="22.5" customHeight="1">
      <c r="A515" s="38" t="s">
        <v>1792</v>
      </c>
      <c r="B515" s="39">
        <v>354.64</v>
      </c>
      <c r="C515" s="39">
        <v>335.06</v>
      </c>
      <c r="D515" s="6" t="str">
        <f>Database!H513</f>
        <v>#N/A</v>
      </c>
    </row>
    <row r="516" ht="22.5" customHeight="1">
      <c r="A516" s="38" t="s">
        <v>1793</v>
      </c>
      <c r="B516" s="39">
        <v>283.74</v>
      </c>
      <c r="C516" s="39">
        <v>106.58</v>
      </c>
      <c r="D516" s="6" t="str">
        <f>Database!H514</f>
        <v>#N/A</v>
      </c>
    </row>
    <row r="517" ht="22.5" customHeight="1">
      <c r="A517" s="38" t="s">
        <v>1794</v>
      </c>
      <c r="B517" s="39">
        <v>141.87</v>
      </c>
      <c r="C517" s="39">
        <v>78.21</v>
      </c>
      <c r="D517" s="6" t="str">
        <f>Database!H515</f>
        <v>#N/A</v>
      </c>
    </row>
    <row r="518" ht="22.5" customHeight="1">
      <c r="A518" s="38" t="s">
        <v>1795</v>
      </c>
      <c r="B518" s="39">
        <v>196.24</v>
      </c>
      <c r="C518" s="39">
        <v>117.16</v>
      </c>
      <c r="D518" s="6" t="str">
        <f>Database!H516</f>
        <v>#N/A</v>
      </c>
    </row>
    <row r="519" ht="22.5" customHeight="1">
      <c r="A519" s="38" t="s">
        <v>1796</v>
      </c>
      <c r="B519" s="39">
        <v>156.28</v>
      </c>
      <c r="C519" s="39">
        <v>84.45</v>
      </c>
      <c r="D519" s="6" t="str">
        <f>Database!H517</f>
        <v>#N/A</v>
      </c>
    </row>
    <row r="520" ht="22.5" customHeight="1">
      <c r="A520" s="38" t="s">
        <v>1797</v>
      </c>
      <c r="B520" s="39">
        <v>287.295</v>
      </c>
      <c r="C520" s="39">
        <v>116.32</v>
      </c>
      <c r="D520" s="6" t="str">
        <f>Database!H518</f>
        <v>#N/A</v>
      </c>
    </row>
    <row r="521" ht="22.5" customHeight="1">
      <c r="A521" s="38" t="s">
        <v>1798</v>
      </c>
      <c r="B521" s="39">
        <v>242.03</v>
      </c>
      <c r="C521" s="39">
        <v>89.94</v>
      </c>
      <c r="D521" s="6" t="str">
        <f>Database!H519</f>
        <v>#N/A</v>
      </c>
    </row>
    <row r="522" ht="22.5" customHeight="1">
      <c r="A522" s="38" t="s">
        <v>1799</v>
      </c>
      <c r="B522" s="39">
        <v>276.68</v>
      </c>
      <c r="C522" s="39">
        <v>110.67</v>
      </c>
      <c r="D522" s="6" t="str">
        <f>Database!H520</f>
        <v>#N/A</v>
      </c>
    </row>
    <row r="523" ht="22.5" customHeight="1">
      <c r="A523" s="38" t="s">
        <v>1800</v>
      </c>
      <c r="B523" s="39">
        <v>190.06</v>
      </c>
      <c r="C523" s="39">
        <v>94.31</v>
      </c>
      <c r="D523" s="6" t="str">
        <f>Database!H521</f>
        <v>#N/A</v>
      </c>
    </row>
    <row r="524" ht="22.5" customHeight="1">
      <c r="A524" s="38" t="s">
        <v>1801</v>
      </c>
      <c r="B524" s="39">
        <v>221.16</v>
      </c>
      <c r="C524" s="39">
        <v>84.13</v>
      </c>
      <c r="D524" s="6" t="str">
        <f>Database!H522</f>
        <v>#N/A</v>
      </c>
    </row>
    <row r="525" ht="22.5" customHeight="1">
      <c r="A525" s="38" t="s">
        <v>1802</v>
      </c>
      <c r="B525" s="39">
        <v>315.96</v>
      </c>
      <c r="C525" s="39">
        <v>90.91</v>
      </c>
      <c r="D525" s="6" t="str">
        <f>Database!H523</f>
        <v>#N/A</v>
      </c>
    </row>
    <row r="526" ht="22.5" customHeight="1">
      <c r="A526" s="38" t="s">
        <v>1803</v>
      </c>
      <c r="B526" s="39">
        <v>215.88</v>
      </c>
      <c r="C526" s="39">
        <v>111.445</v>
      </c>
      <c r="D526" s="6" t="str">
        <f>Database!H524</f>
        <v>#N/A</v>
      </c>
    </row>
    <row r="527" ht="22.5" customHeight="1">
      <c r="A527" s="38" t="s">
        <v>1804</v>
      </c>
      <c r="B527" s="39">
        <v>213.87</v>
      </c>
      <c r="C527" s="39">
        <v>108.78</v>
      </c>
      <c r="D527" s="6" t="str">
        <f>Database!H525</f>
        <v>#N/A</v>
      </c>
    </row>
    <row r="528" ht="22.5" customHeight="1">
      <c r="A528" s="38" t="s">
        <v>1805</v>
      </c>
      <c r="B528" s="39"/>
      <c r="C528" s="39"/>
      <c r="D528" s="6" t="str">
        <f>Database!H526</f>
        <v>#N/A</v>
      </c>
    </row>
    <row r="529" ht="22.5" customHeight="1">
      <c r="A529" s="38" t="s">
        <v>1806</v>
      </c>
      <c r="B529" s="39">
        <v>131.19</v>
      </c>
      <c r="C529" s="39">
        <v>78.48</v>
      </c>
      <c r="D529" s="6" t="str">
        <f>Database!H527</f>
        <v>#N/A</v>
      </c>
    </row>
    <row r="530" ht="22.5" customHeight="1">
      <c r="A530" s="38" t="s">
        <v>1807</v>
      </c>
      <c r="B530" s="39">
        <v>199.99</v>
      </c>
      <c r="C530" s="39">
        <v>72.31</v>
      </c>
      <c r="D530" s="6" t="str">
        <f>Database!H528</f>
        <v>#N/A</v>
      </c>
    </row>
    <row r="531" ht="22.5" customHeight="1">
      <c r="A531" s="38" t="s">
        <v>1808</v>
      </c>
      <c r="B531" s="39">
        <v>131.3</v>
      </c>
      <c r="C531" s="39">
        <v>64.85</v>
      </c>
      <c r="D531" s="6" t="str">
        <f>Database!H529</f>
        <v>#N/A</v>
      </c>
    </row>
    <row r="532" ht="22.5" customHeight="1">
      <c r="A532" s="38" t="s">
        <v>1809</v>
      </c>
      <c r="B532" s="39">
        <v>147.38</v>
      </c>
      <c r="C532" s="39">
        <v>72.72</v>
      </c>
      <c r="D532" s="6" t="str">
        <f>Database!H530</f>
        <v>#N/A</v>
      </c>
    </row>
    <row r="533" ht="22.5" customHeight="1">
      <c r="A533" s="38" t="s">
        <v>1810</v>
      </c>
      <c r="B533" s="39">
        <v>194.8</v>
      </c>
      <c r="C533" s="39">
        <v>88.57</v>
      </c>
      <c r="D533" s="6" t="str">
        <f>Database!H531</f>
        <v>#N/A</v>
      </c>
    </row>
    <row r="534" ht="22.5" customHeight="1">
      <c r="A534" s="38" t="s">
        <v>1811</v>
      </c>
      <c r="B534" s="39">
        <v>185.28</v>
      </c>
      <c r="C534" s="39">
        <v>147.37</v>
      </c>
      <c r="D534" s="6" t="str">
        <f>Database!H532</f>
        <v>#N/A</v>
      </c>
    </row>
    <row r="535" ht="22.5" customHeight="1">
      <c r="A535" s="38" t="s">
        <v>1812</v>
      </c>
      <c r="B535" s="39">
        <v>147.37</v>
      </c>
      <c r="C535" s="39">
        <v>72.72</v>
      </c>
      <c r="D535" s="6" t="str">
        <f>Database!H533</f>
        <v>#N/A</v>
      </c>
    </row>
    <row r="536" ht="22.5" customHeight="1">
      <c r="A536" s="38" t="s">
        <v>1813</v>
      </c>
      <c r="B536" s="39">
        <v>181.7</v>
      </c>
      <c r="C536" s="39">
        <v>90.88</v>
      </c>
      <c r="D536" s="6" t="str">
        <f>Database!H534</f>
        <v>#N/A</v>
      </c>
    </row>
    <row r="537" ht="22.5" customHeight="1">
      <c r="A537" s="38" t="s">
        <v>1814</v>
      </c>
      <c r="B537" s="39">
        <v>260.9</v>
      </c>
      <c r="C537" s="39">
        <v>207.84</v>
      </c>
      <c r="D537" s="6" t="str">
        <f>Database!H535</f>
        <v>#N/A</v>
      </c>
    </row>
    <row r="538" ht="22.5" customHeight="1">
      <c r="A538" s="38" t="s">
        <v>1815</v>
      </c>
      <c r="B538" s="39">
        <v>155.9</v>
      </c>
      <c r="C538" s="39">
        <v>153.98</v>
      </c>
      <c r="D538" s="6" t="str">
        <f>Database!H536</f>
        <v>#N/A</v>
      </c>
    </row>
    <row r="539" ht="22.5" customHeight="1">
      <c r="A539" s="38" t="s">
        <v>1816</v>
      </c>
      <c r="B539" s="39">
        <v>200.44</v>
      </c>
      <c r="C539" s="39">
        <v>104.17</v>
      </c>
      <c r="D539" s="6" t="str">
        <f>Database!H537</f>
        <v>#N/A</v>
      </c>
    </row>
    <row r="540" ht="22.5" customHeight="1">
      <c r="A540" s="38" t="s">
        <v>1817</v>
      </c>
      <c r="B540" s="39">
        <v>185.32</v>
      </c>
      <c r="C540" s="39">
        <v>156.05</v>
      </c>
      <c r="D540" s="6" t="str">
        <f>Database!H538</f>
        <v>#N/A</v>
      </c>
    </row>
    <row r="541" ht="22.5" customHeight="1">
      <c r="A541" s="38" t="s">
        <v>1818</v>
      </c>
      <c r="B541" s="39">
        <v>184.56</v>
      </c>
      <c r="C541" s="39">
        <v>147.38</v>
      </c>
      <c r="D541" s="6" t="str">
        <f>Database!H539</f>
        <v>#N/A</v>
      </c>
    </row>
    <row r="542" ht="22.5" customHeight="1">
      <c r="A542" s="38" t="s">
        <v>1819</v>
      </c>
      <c r="B542" s="39">
        <v>207.8</v>
      </c>
      <c r="C542" s="39">
        <v>97.6</v>
      </c>
      <c r="D542" s="6" t="str">
        <f>Database!H540</f>
        <v>#N/A</v>
      </c>
    </row>
    <row r="543" ht="22.5" customHeight="1">
      <c r="A543" s="38" t="s">
        <v>1820</v>
      </c>
      <c r="B543" s="39">
        <v>271.49</v>
      </c>
      <c r="C543" s="39">
        <v>104.21</v>
      </c>
      <c r="D543" s="6" t="str">
        <f>Database!H541</f>
        <v>#N/A</v>
      </c>
    </row>
    <row r="544" ht="22.5" customHeight="1">
      <c r="A544" s="38" t="s">
        <v>1821</v>
      </c>
      <c r="B544" s="39">
        <v>328.53</v>
      </c>
      <c r="C544" s="39">
        <v>98.93</v>
      </c>
      <c r="D544" s="6" t="str">
        <f>Database!H542</f>
        <v>#N/A</v>
      </c>
    </row>
    <row r="545" ht="22.5" customHeight="1">
      <c r="A545" s="38" t="s">
        <v>1822</v>
      </c>
      <c r="B545" s="39">
        <v>155.62</v>
      </c>
      <c r="C545" s="39">
        <v>117.15</v>
      </c>
      <c r="D545" s="6" t="str">
        <f>Database!H543</f>
        <v>#N/A</v>
      </c>
    </row>
    <row r="546" ht="22.5" customHeight="1">
      <c r="A546" s="38" t="s">
        <v>1823</v>
      </c>
      <c r="B546" s="39">
        <v>261.85</v>
      </c>
      <c r="C546" s="39">
        <v>104.52</v>
      </c>
      <c r="D546" s="6" t="str">
        <f>Database!H544</f>
        <v>#N/A</v>
      </c>
    </row>
    <row r="547" ht="22.5" customHeight="1">
      <c r="A547" s="38" t="s">
        <v>1824</v>
      </c>
      <c r="B547" s="39">
        <v>172.58</v>
      </c>
      <c r="C547" s="39">
        <v>144.58</v>
      </c>
      <c r="D547" s="6" t="str">
        <f>Database!H545</f>
        <v>#N/A</v>
      </c>
    </row>
    <row r="548" ht="22.5" customHeight="1">
      <c r="A548" s="38" t="s">
        <v>1825</v>
      </c>
      <c r="B548" s="39">
        <v>232.1</v>
      </c>
      <c r="C548" s="39">
        <v>120.825</v>
      </c>
      <c r="D548" s="6" t="str">
        <f>Database!H546</f>
        <v>#N/A</v>
      </c>
    </row>
    <row r="549" ht="22.5" customHeight="1">
      <c r="A549" s="38" t="s">
        <v>1826</v>
      </c>
      <c r="B549" s="39">
        <v>255.445</v>
      </c>
      <c r="C549" s="39">
        <v>185.39</v>
      </c>
      <c r="D549" s="6" t="str">
        <f>Database!H547</f>
        <v>#N/A</v>
      </c>
    </row>
    <row r="550" ht="22.5" customHeight="1">
      <c r="A550" s="38" t="s">
        <v>1827</v>
      </c>
      <c r="B550" s="39">
        <v>347.97</v>
      </c>
      <c r="C550" s="39">
        <v>328.02</v>
      </c>
      <c r="D550" s="6" t="str">
        <f>Database!H548</f>
        <v>#N/A</v>
      </c>
    </row>
    <row r="551" ht="22.5" customHeight="1">
      <c r="A551" s="38" t="s">
        <v>1828</v>
      </c>
      <c r="B551" s="39">
        <v>335.12</v>
      </c>
      <c r="C551" s="39">
        <v>84.67</v>
      </c>
      <c r="D551" s="6" t="str">
        <f>Database!H549</f>
        <v>#N/A</v>
      </c>
    </row>
    <row r="552" ht="22.5" customHeight="1">
      <c r="A552" s="38" t="s">
        <v>1829</v>
      </c>
      <c r="B552" s="39">
        <v>293.03</v>
      </c>
      <c r="C552" s="39">
        <v>293.29</v>
      </c>
      <c r="D552" s="6" t="str">
        <f>Database!H550</f>
        <v>#N/A</v>
      </c>
    </row>
    <row r="553" ht="22.5" customHeight="1">
      <c r="A553" s="38" t="s">
        <v>1830</v>
      </c>
      <c r="B553" s="39">
        <v>310.24</v>
      </c>
      <c r="C553" s="39">
        <v>88.1</v>
      </c>
      <c r="D553" s="6" t="str">
        <f>Database!H551</f>
        <v>#N/A</v>
      </c>
    </row>
    <row r="554" ht="22.5" customHeight="1">
      <c r="A554" s="38" t="s">
        <v>1831</v>
      </c>
      <c r="B554" s="39">
        <v>235.835</v>
      </c>
      <c r="C554" s="39">
        <v>93.09</v>
      </c>
      <c r="D554" s="6" t="str">
        <f>Database!H552</f>
        <v>#N/A</v>
      </c>
    </row>
    <row r="555" ht="22.5" customHeight="1">
      <c r="A555" s="38" t="s">
        <v>1832</v>
      </c>
      <c r="B555" s="39">
        <v>156.5</v>
      </c>
      <c r="C555" s="39">
        <v>104.46</v>
      </c>
      <c r="D555" s="6" t="str">
        <f>Database!H553</f>
        <v>#N/A</v>
      </c>
    </row>
    <row r="556" ht="22.5" customHeight="1">
      <c r="A556" s="38" t="s">
        <v>1833</v>
      </c>
      <c r="B556" s="39">
        <v>243.14</v>
      </c>
      <c r="C556" s="39">
        <v>89.125</v>
      </c>
      <c r="D556" s="6" t="str">
        <f>Database!H554</f>
        <v>#N/A</v>
      </c>
    </row>
    <row r="557" ht="22.5" customHeight="1">
      <c r="A557" s="38" t="s">
        <v>1834</v>
      </c>
      <c r="B557" s="39">
        <v>235.29</v>
      </c>
      <c r="C557" s="39">
        <v>112.275</v>
      </c>
      <c r="D557" s="6" t="str">
        <f>Database!H555</f>
        <v>#N/A</v>
      </c>
    </row>
    <row r="558" ht="22.5" customHeight="1">
      <c r="A558" s="38" t="s">
        <v>1835</v>
      </c>
      <c r="B558" s="39">
        <v>218.4</v>
      </c>
      <c r="C558" s="39">
        <v>124.255</v>
      </c>
      <c r="D558" s="6" t="str">
        <f>Database!H556</f>
        <v>#N/A</v>
      </c>
    </row>
    <row r="559" ht="22.5" customHeight="1">
      <c r="A559" s="38" t="s">
        <v>1836</v>
      </c>
      <c r="B559" s="39">
        <v>212.04</v>
      </c>
      <c r="C559" s="39">
        <v>147.38</v>
      </c>
      <c r="D559" s="6" t="str">
        <f>Database!H557</f>
        <v>#N/A</v>
      </c>
    </row>
    <row r="560" ht="22.5" customHeight="1">
      <c r="A560" s="38" t="s">
        <v>1837</v>
      </c>
      <c r="B560" s="39">
        <v>188.96</v>
      </c>
      <c r="C560" s="39">
        <v>82.74</v>
      </c>
      <c r="D560" s="6" t="str">
        <f>Database!H558</f>
        <v>#N/A</v>
      </c>
    </row>
    <row r="561" ht="22.5" customHeight="1">
      <c r="A561" s="38" t="s">
        <v>1838</v>
      </c>
      <c r="B561" s="39">
        <v>225.165</v>
      </c>
      <c r="C561" s="39">
        <v>84.705</v>
      </c>
      <c r="D561" s="6" t="str">
        <f>Database!H559</f>
        <v>#N/A</v>
      </c>
    </row>
    <row r="562" ht="22.5" customHeight="1">
      <c r="A562" s="38" t="s">
        <v>1839</v>
      </c>
      <c r="B562" s="39">
        <v>196.215</v>
      </c>
      <c r="C562" s="39">
        <v>84.19</v>
      </c>
      <c r="D562" s="6" t="str">
        <f>Database!H560</f>
        <v>#N/A</v>
      </c>
    </row>
    <row r="563" ht="22.5" customHeight="1">
      <c r="A563" s="38" t="s">
        <v>1840</v>
      </c>
      <c r="B563" s="39">
        <v>202.915</v>
      </c>
      <c r="C563" s="39">
        <v>156.06</v>
      </c>
      <c r="D563" s="6" t="str">
        <f>Database!H561</f>
        <v>#N/A</v>
      </c>
    </row>
    <row r="564" ht="22.5" customHeight="1">
      <c r="A564" s="38" t="s">
        <v>1841</v>
      </c>
      <c r="B564" s="39">
        <v>203.88</v>
      </c>
      <c r="C564" s="39">
        <v>92.33</v>
      </c>
      <c r="D564" s="6" t="str">
        <f>Database!H562</f>
        <v>#N/A</v>
      </c>
    </row>
    <row r="565" ht="22.5" customHeight="1">
      <c r="A565" s="38" t="s">
        <v>1842</v>
      </c>
      <c r="B565" s="39">
        <v>272.18</v>
      </c>
      <c r="C565" s="39">
        <v>207.79</v>
      </c>
      <c r="D565" s="6" t="str">
        <f>Database!H563</f>
        <v>#N/A</v>
      </c>
    </row>
    <row r="566" ht="22.5" customHeight="1">
      <c r="A566" s="38" t="s">
        <v>1843</v>
      </c>
      <c r="B566" s="39">
        <v>265.945</v>
      </c>
      <c r="C566" s="39">
        <v>97.8</v>
      </c>
      <c r="D566" s="6" t="str">
        <f>Database!H564</f>
        <v>#N/A</v>
      </c>
    </row>
    <row r="567" ht="22.5" customHeight="1">
      <c r="A567" s="38" t="s">
        <v>1844</v>
      </c>
      <c r="B567" s="39">
        <v>198.1</v>
      </c>
      <c r="C567" s="39">
        <v>87.85</v>
      </c>
      <c r="D567" s="6" t="str">
        <f>Database!H565</f>
        <v>#N/A</v>
      </c>
    </row>
    <row r="568" ht="22.5" customHeight="1">
      <c r="A568" s="38" t="s">
        <v>1845</v>
      </c>
      <c r="B568" s="39">
        <v>193.33</v>
      </c>
      <c r="C568" s="39">
        <v>147.23</v>
      </c>
      <c r="D568" s="6" t="str">
        <f>Database!H566</f>
        <v>#N/A</v>
      </c>
    </row>
    <row r="569" ht="22.5" customHeight="1">
      <c r="A569" s="38" t="s">
        <v>1846</v>
      </c>
      <c r="B569" s="39">
        <v>191.69</v>
      </c>
      <c r="C569" s="39">
        <v>137.85</v>
      </c>
      <c r="D569" s="6" t="str">
        <f>Database!H567</f>
        <v>#N/A</v>
      </c>
    </row>
    <row r="570" ht="22.5" customHeight="1">
      <c r="A570" s="38" t="s">
        <v>1847</v>
      </c>
      <c r="B570" s="39">
        <v>265.765</v>
      </c>
      <c r="C570" s="39">
        <v>83.27</v>
      </c>
      <c r="D570" s="6" t="str">
        <f>Database!H568</f>
        <v>#N/A</v>
      </c>
    </row>
    <row r="571" ht="22.5" customHeight="1">
      <c r="A571" s="38" t="s">
        <v>1848</v>
      </c>
      <c r="B571" s="39">
        <v>320.285</v>
      </c>
      <c r="C571" s="39">
        <v>141.87</v>
      </c>
      <c r="D571" s="6" t="str">
        <f>Database!H569</f>
        <v>#N/A</v>
      </c>
    </row>
    <row r="572" ht="22.5" customHeight="1">
      <c r="A572" s="38" t="s">
        <v>1849</v>
      </c>
      <c r="B572" s="39">
        <v>345.09</v>
      </c>
      <c r="C572" s="39">
        <v>83.11</v>
      </c>
      <c r="D572" s="6" t="str">
        <f>Database!H570</f>
        <v>#N/A</v>
      </c>
    </row>
    <row r="573" ht="22.5" customHeight="1">
      <c r="A573" s="38" t="s">
        <v>1850</v>
      </c>
      <c r="B573" s="39">
        <v>246.86</v>
      </c>
      <c r="C573" s="39">
        <v>104.58</v>
      </c>
      <c r="D573" s="6" t="str">
        <f>Database!H571</f>
        <v>#N/A</v>
      </c>
    </row>
    <row r="574" ht="22.5" customHeight="1">
      <c r="A574" s="38" t="s">
        <v>1851</v>
      </c>
      <c r="B574" s="39">
        <v>276.71</v>
      </c>
      <c r="C574" s="39">
        <v>233.03</v>
      </c>
      <c r="D574" s="6" t="str">
        <f>Database!H572</f>
        <v>#N/A</v>
      </c>
    </row>
    <row r="575" ht="22.5" customHeight="1">
      <c r="A575" s="38" t="s">
        <v>1852</v>
      </c>
      <c r="B575" s="39">
        <v>251.55</v>
      </c>
      <c r="C575" s="39">
        <v>189.87</v>
      </c>
      <c r="D575" s="6" t="str">
        <f>Database!H573</f>
        <v>#N/A</v>
      </c>
    </row>
    <row r="576" ht="22.5" customHeight="1">
      <c r="A576" s="38" t="s">
        <v>1853</v>
      </c>
      <c r="B576" s="39">
        <v>179.82</v>
      </c>
      <c r="C576" s="39">
        <v>138.77</v>
      </c>
      <c r="D576" s="6" t="str">
        <f>Database!H574</f>
        <v>#N/A</v>
      </c>
    </row>
    <row r="577" ht="22.5" customHeight="1">
      <c r="A577" s="38" t="s">
        <v>1854</v>
      </c>
      <c r="B577" s="39">
        <v>256.24</v>
      </c>
      <c r="C577" s="39">
        <v>199.99</v>
      </c>
      <c r="D577" s="6" t="str">
        <f>Database!H575</f>
        <v>#N/A</v>
      </c>
    </row>
    <row r="578" ht="22.5" customHeight="1">
      <c r="A578" s="38" t="s">
        <v>1855</v>
      </c>
      <c r="B578" s="39">
        <v>197.3</v>
      </c>
      <c r="C578" s="39">
        <v>103.51</v>
      </c>
      <c r="D578" s="6" t="str">
        <f>Database!H576</f>
        <v>#N/A</v>
      </c>
    </row>
    <row r="579" ht="22.5" customHeight="1">
      <c r="A579" s="38" t="s">
        <v>1856</v>
      </c>
      <c r="B579" s="39">
        <v>233.9</v>
      </c>
      <c r="C579" s="39">
        <v>93.15</v>
      </c>
      <c r="D579" s="6" t="str">
        <f>Database!H577</f>
        <v>#N/A</v>
      </c>
    </row>
    <row r="580" ht="22.5" customHeight="1">
      <c r="A580" s="38" t="s">
        <v>1857</v>
      </c>
      <c r="B580" s="39">
        <v>309.74</v>
      </c>
      <c r="C580" s="39">
        <v>156.06</v>
      </c>
      <c r="D580" s="6" t="str">
        <f>Database!H578</f>
        <v>#N/A</v>
      </c>
    </row>
    <row r="581" ht="22.5" customHeight="1">
      <c r="A581" s="38" t="s">
        <v>1858</v>
      </c>
      <c r="B581" s="39">
        <v>247.545</v>
      </c>
      <c r="C581" s="39">
        <v>147.37</v>
      </c>
      <c r="D581" s="6" t="str">
        <f>Database!H579</f>
        <v>#N/A</v>
      </c>
    </row>
    <row r="582" ht="22.5" customHeight="1">
      <c r="A582" s="38" t="s">
        <v>1859</v>
      </c>
      <c r="B582" s="39">
        <v>185.36</v>
      </c>
      <c r="C582" s="39">
        <v>92.74</v>
      </c>
      <c r="D582" s="6" t="str">
        <f>Database!H580</f>
        <v>#N/A</v>
      </c>
    </row>
    <row r="583" ht="22.5" customHeight="1">
      <c r="A583" s="38" t="s">
        <v>1860</v>
      </c>
      <c r="B583" s="39">
        <v>327.19</v>
      </c>
      <c r="C583" s="39">
        <v>100.97</v>
      </c>
      <c r="D583" s="6" t="str">
        <f>Database!H581</f>
        <v>#N/A</v>
      </c>
    </row>
    <row r="584" ht="22.5" customHeight="1">
      <c r="A584" s="38" t="s">
        <v>1861</v>
      </c>
      <c r="B584" s="39">
        <v>262.48</v>
      </c>
      <c r="C584" s="39">
        <v>100.48</v>
      </c>
      <c r="D584" s="6" t="str">
        <f>Database!H582</f>
        <v>#N/A</v>
      </c>
    </row>
    <row r="585" ht="22.5" customHeight="1">
      <c r="A585" s="38" t="s">
        <v>1862</v>
      </c>
      <c r="B585" s="39">
        <v>311.17</v>
      </c>
      <c r="C585" s="39">
        <v>98.98</v>
      </c>
      <c r="D585" s="6" t="str">
        <f>Database!H583</f>
        <v>#N/A</v>
      </c>
    </row>
    <row r="586" ht="22.5" customHeight="1">
      <c r="A586" s="38" t="s">
        <v>1863</v>
      </c>
      <c r="B586" s="39">
        <v>182.85</v>
      </c>
      <c r="C586" s="39">
        <v>126.04</v>
      </c>
      <c r="D586" s="6" t="str">
        <f>Database!H584</f>
        <v>#N/A</v>
      </c>
    </row>
    <row r="587" ht="22.5" customHeight="1">
      <c r="A587" s="38" t="s">
        <v>1864</v>
      </c>
      <c r="B587" s="39">
        <v>176.16</v>
      </c>
      <c r="C587" s="39">
        <v>139.17</v>
      </c>
      <c r="D587" s="6" t="str">
        <f>Database!H585</f>
        <v>#N/A</v>
      </c>
    </row>
    <row r="588" ht="22.5" customHeight="1">
      <c r="A588" s="38" t="s">
        <v>1865</v>
      </c>
      <c r="B588" s="39">
        <v>217.03</v>
      </c>
      <c r="C588" s="39">
        <v>145.96</v>
      </c>
      <c r="D588" s="6" t="str">
        <f>Database!H586</f>
        <v>#N/A</v>
      </c>
    </row>
    <row r="589" ht="22.5" customHeight="1">
      <c r="A589" s="38" t="s">
        <v>1866</v>
      </c>
      <c r="B589" s="39">
        <v>216.92</v>
      </c>
      <c r="C589" s="39">
        <v>85.24</v>
      </c>
      <c r="D589" s="6" t="str">
        <f>Database!H587</f>
        <v>#N/A</v>
      </c>
    </row>
    <row r="590" ht="22.5" customHeight="1">
      <c r="A590" s="38" t="s">
        <v>1867</v>
      </c>
      <c r="B590" s="39">
        <v>202.73</v>
      </c>
      <c r="C590" s="39">
        <v>104.2</v>
      </c>
      <c r="D590" s="6" t="str">
        <f>Database!H588</f>
        <v>#N/A</v>
      </c>
    </row>
    <row r="591" ht="22.5" customHeight="1">
      <c r="A591" s="38" t="s">
        <v>1868</v>
      </c>
      <c r="B591" s="39">
        <v>182.79</v>
      </c>
      <c r="C591" s="39">
        <v>138.46</v>
      </c>
      <c r="D591" s="6" t="str">
        <f>Database!H589</f>
        <v>#N/A</v>
      </c>
    </row>
    <row r="592" ht="22.5" customHeight="1">
      <c r="A592" s="38" t="s">
        <v>1869</v>
      </c>
      <c r="B592" s="39">
        <v>228.33</v>
      </c>
      <c r="C592" s="39">
        <v>104.5</v>
      </c>
      <c r="D592" s="6" t="str">
        <f>Database!H590</f>
        <v>#N/A</v>
      </c>
    </row>
    <row r="593" ht="22.5" customHeight="1">
      <c r="A593" s="38" t="s">
        <v>1870</v>
      </c>
      <c r="B593" s="39">
        <v>204.885</v>
      </c>
      <c r="C593" s="39">
        <v>103.74</v>
      </c>
      <c r="D593" s="6" t="str">
        <f>Database!H591</f>
        <v>#N/A</v>
      </c>
    </row>
    <row r="594" ht="22.5" customHeight="1">
      <c r="A594" s="38" t="s">
        <v>1871</v>
      </c>
      <c r="B594" s="39">
        <v>207.835</v>
      </c>
      <c r="C594" s="39">
        <v>104.26</v>
      </c>
      <c r="D594" s="6" t="str">
        <f>Database!H592</f>
        <v>#N/A</v>
      </c>
    </row>
    <row r="595" ht="22.5" customHeight="1">
      <c r="A595" s="38" t="s">
        <v>1872</v>
      </c>
      <c r="B595" s="39">
        <v>188.9</v>
      </c>
      <c r="C595" s="39">
        <v>93.19</v>
      </c>
      <c r="D595" s="6" t="str">
        <f>Database!H593</f>
        <v>#N/A</v>
      </c>
    </row>
    <row r="596" ht="22.5" customHeight="1">
      <c r="A596" s="38" t="s">
        <v>1873</v>
      </c>
      <c r="B596" s="39">
        <v>196.22</v>
      </c>
      <c r="C596" s="39">
        <v>147.38</v>
      </c>
      <c r="D596" s="6" t="str">
        <f>Database!H594</f>
        <v>#N/A</v>
      </c>
    </row>
    <row r="597" ht="22.5" customHeight="1">
      <c r="A597" s="38" t="s">
        <v>1874</v>
      </c>
      <c r="B597" s="39">
        <v>180.645</v>
      </c>
      <c r="C597" s="39">
        <v>92.99</v>
      </c>
      <c r="D597" s="6" t="str">
        <f>Database!H595</f>
        <v>#N/A</v>
      </c>
    </row>
    <row r="598" ht="22.5" customHeight="1">
      <c r="A598" s="38" t="s">
        <v>1875</v>
      </c>
      <c r="B598" s="39">
        <v>200.2</v>
      </c>
      <c r="C598" s="39">
        <v>112.52</v>
      </c>
      <c r="D598" s="6" t="str">
        <f>Database!H596</f>
        <v>#N/A</v>
      </c>
    </row>
    <row r="599" ht="22.5" customHeight="1">
      <c r="A599" s="38" t="s">
        <v>1876</v>
      </c>
      <c r="B599" s="39">
        <v>192.91</v>
      </c>
      <c r="C599" s="39">
        <v>93.4</v>
      </c>
      <c r="D599" s="6" t="str">
        <f>Database!H597</f>
        <v>#N/A</v>
      </c>
    </row>
    <row r="600" ht="22.5" customHeight="1">
      <c r="A600" s="38" t="s">
        <v>1877</v>
      </c>
      <c r="B600" s="39">
        <v>171.86</v>
      </c>
      <c r="C600" s="39">
        <v>131.42</v>
      </c>
      <c r="D600" s="6" t="str">
        <f>Database!H598</f>
        <v>#N/A</v>
      </c>
    </row>
    <row r="601" ht="22.5" customHeight="1">
      <c r="A601" s="38" t="s">
        <v>1878</v>
      </c>
      <c r="B601" s="39">
        <v>211.36</v>
      </c>
      <c r="C601" s="39">
        <v>93.11</v>
      </c>
      <c r="D601" s="6" t="str">
        <f>Database!H599</f>
        <v>#N/A</v>
      </c>
    </row>
    <row r="602" ht="22.5" customHeight="1">
      <c r="A602" s="38" t="s">
        <v>1879</v>
      </c>
      <c r="B602" s="39">
        <v>196.04</v>
      </c>
      <c r="C602" s="39">
        <v>91.36</v>
      </c>
      <c r="D602" s="6" t="str">
        <f>Database!H600</f>
        <v>#N/A</v>
      </c>
    </row>
    <row r="603" ht="22.5" customHeight="1">
      <c r="A603" s="38" t="s">
        <v>1880</v>
      </c>
      <c r="B603" s="39">
        <v>226.555</v>
      </c>
      <c r="C603" s="39">
        <v>139.62</v>
      </c>
      <c r="D603" s="6" t="str">
        <f>Database!H601</f>
        <v>#N/A</v>
      </c>
    </row>
    <row r="604" ht="22.5" customHeight="1">
      <c r="A604" s="38" t="s">
        <v>1881</v>
      </c>
      <c r="B604" s="39">
        <v>176.52</v>
      </c>
      <c r="C604" s="39">
        <v>104.67</v>
      </c>
      <c r="D604" s="6" t="str">
        <f>Database!H602</f>
        <v>#N/A</v>
      </c>
    </row>
    <row r="605" ht="22.5" customHeight="1">
      <c r="A605" s="38" t="s">
        <v>1882</v>
      </c>
      <c r="B605" s="39">
        <v>207.115</v>
      </c>
      <c r="C605" s="39">
        <v>104.33</v>
      </c>
      <c r="D605" s="6" t="str">
        <f>Database!H603</f>
        <v>#N/A</v>
      </c>
    </row>
    <row r="606" ht="22.5" customHeight="1">
      <c r="A606" s="38" t="s">
        <v>1883</v>
      </c>
      <c r="B606" s="39">
        <v>231.77</v>
      </c>
      <c r="C606" s="39">
        <v>104.2</v>
      </c>
      <c r="D606" s="6" t="str">
        <f>Database!H604</f>
        <v>#N/A</v>
      </c>
    </row>
    <row r="607" ht="22.5" customHeight="1">
      <c r="A607" s="38" t="s">
        <v>1884</v>
      </c>
      <c r="B607" s="39">
        <v>168.85</v>
      </c>
      <c r="C607" s="39">
        <v>139.08</v>
      </c>
      <c r="D607" s="6" t="str">
        <f>Database!H605</f>
        <v>#N/A</v>
      </c>
    </row>
    <row r="608" ht="22.5" customHeight="1">
      <c r="A608" s="38" t="s">
        <v>1885</v>
      </c>
      <c r="B608" s="39">
        <v>211.4</v>
      </c>
      <c r="C608" s="39">
        <v>104.85</v>
      </c>
      <c r="D608" s="6" t="str">
        <f>Database!H606</f>
        <v>#N/A</v>
      </c>
    </row>
    <row r="609" ht="22.5" customHeight="1">
      <c r="A609" s="38" t="s">
        <v>1886</v>
      </c>
      <c r="B609" s="39">
        <v>203.88</v>
      </c>
      <c r="C609" s="39">
        <v>78.58</v>
      </c>
      <c r="D609" s="6" t="str">
        <f>Database!H607</f>
        <v>#N/A</v>
      </c>
    </row>
    <row r="610" ht="22.5" customHeight="1">
      <c r="A610" s="38" t="s">
        <v>1887</v>
      </c>
      <c r="B610" s="39">
        <v>266.5</v>
      </c>
      <c r="C610" s="39">
        <v>235.69</v>
      </c>
      <c r="D610" s="6" t="str">
        <f>Database!H608</f>
        <v>#N/A</v>
      </c>
    </row>
    <row r="611" ht="22.5" customHeight="1">
      <c r="A611" s="38" t="s">
        <v>1888</v>
      </c>
      <c r="B611" s="39">
        <v>398.52</v>
      </c>
      <c r="C611" s="39">
        <v>101.64</v>
      </c>
      <c r="D611" s="6" t="str">
        <f>Database!H609</f>
        <v>#N/A</v>
      </c>
    </row>
    <row r="612" ht="22.5" customHeight="1">
      <c r="A612" s="38" t="s">
        <v>1889</v>
      </c>
      <c r="B612" s="39">
        <v>309.43</v>
      </c>
      <c r="C612" s="39">
        <v>101.42</v>
      </c>
      <c r="D612" s="6" t="str">
        <f>Database!H610</f>
        <v>#N/A</v>
      </c>
    </row>
    <row r="613" ht="22.5" customHeight="1">
      <c r="A613" s="38" t="s">
        <v>1890</v>
      </c>
      <c r="B613" s="39">
        <v>204.58</v>
      </c>
      <c r="C613" s="39">
        <v>156.06</v>
      </c>
      <c r="D613" s="6" t="str">
        <f>Database!H611</f>
        <v>#N/A</v>
      </c>
    </row>
    <row r="614" ht="22.5" customHeight="1">
      <c r="A614" s="38" t="s">
        <v>1891</v>
      </c>
      <c r="B614" s="39">
        <v>216.02</v>
      </c>
      <c r="C614" s="39">
        <v>91.0</v>
      </c>
      <c r="D614" s="6" t="str">
        <f>Database!H612</f>
        <v>#N/A</v>
      </c>
    </row>
    <row r="615" ht="22.5" customHeight="1">
      <c r="A615" s="38" t="s">
        <v>1892</v>
      </c>
      <c r="B615" s="39">
        <v>311.81</v>
      </c>
      <c r="C615" s="39">
        <v>117.11</v>
      </c>
      <c r="D615" s="6" t="str">
        <f>Database!H613</f>
        <v>#N/A</v>
      </c>
    </row>
    <row r="616" ht="22.5" customHeight="1">
      <c r="A616" s="38" t="s">
        <v>1893</v>
      </c>
      <c r="B616" s="39">
        <v>232.83</v>
      </c>
      <c r="C616" s="39">
        <v>348.205</v>
      </c>
      <c r="D616" s="6" t="str">
        <f>Database!H614</f>
        <v>#N/A</v>
      </c>
    </row>
    <row r="617" ht="22.5" customHeight="1">
      <c r="A617" s="38" t="s">
        <v>1894</v>
      </c>
      <c r="B617" s="39">
        <v>369.08</v>
      </c>
      <c r="C617" s="39">
        <v>123.93</v>
      </c>
      <c r="D617" s="6" t="str">
        <f>Database!H615</f>
        <v>#N/A</v>
      </c>
    </row>
    <row r="618" ht="22.5" customHeight="1">
      <c r="A618" s="38" t="s">
        <v>1895</v>
      </c>
      <c r="B618" s="39">
        <v>174.97</v>
      </c>
      <c r="C618" s="39">
        <v>144.96</v>
      </c>
      <c r="D618" s="6" t="str">
        <f>Database!H616</f>
        <v>#N/A</v>
      </c>
    </row>
    <row r="619" ht="22.5" customHeight="1">
      <c r="A619" s="38" t="s">
        <v>1896</v>
      </c>
      <c r="B619" s="39">
        <v>210.22</v>
      </c>
      <c r="C619" s="39">
        <v>139.01</v>
      </c>
      <c r="D619" s="6" t="str">
        <f>Database!H617</f>
        <v>#N/A</v>
      </c>
    </row>
    <row r="620" ht="22.5" customHeight="1">
      <c r="A620" s="38" t="s">
        <v>1897</v>
      </c>
      <c r="B620" s="39">
        <v>162.13</v>
      </c>
      <c r="C620" s="39">
        <v>114.98</v>
      </c>
      <c r="D620" s="6" t="str">
        <f>Database!H618</f>
        <v>#N/A</v>
      </c>
    </row>
    <row r="621" ht="22.5" customHeight="1">
      <c r="A621" s="38" t="s">
        <v>1898</v>
      </c>
      <c r="B621" s="39">
        <v>347.97</v>
      </c>
      <c r="C621" s="39">
        <v>117.18</v>
      </c>
      <c r="D621" s="6" t="str">
        <f>Database!H619</f>
        <v>#N/A</v>
      </c>
    </row>
    <row r="622" ht="22.5" customHeight="1">
      <c r="A622" s="38" t="s">
        <v>1899</v>
      </c>
      <c r="B622" s="39">
        <v>235.13</v>
      </c>
      <c r="C622" s="39">
        <v>147.41</v>
      </c>
      <c r="D622" s="6" t="str">
        <f>Database!H620</f>
        <v>#N/A</v>
      </c>
    </row>
    <row r="623" ht="22.5" customHeight="1">
      <c r="A623" s="38" t="s">
        <v>1900</v>
      </c>
      <c r="B623" s="39">
        <v>240.87</v>
      </c>
      <c r="C623" s="39">
        <v>175.0</v>
      </c>
      <c r="D623" s="6" t="str">
        <f>Database!H621</f>
        <v>#N/A</v>
      </c>
    </row>
    <row r="624" ht="22.5" customHeight="1">
      <c r="A624" s="38" t="s">
        <v>1901</v>
      </c>
      <c r="B624" s="39">
        <v>215.94</v>
      </c>
      <c r="C624" s="39">
        <v>106.53</v>
      </c>
      <c r="D624" s="6" t="str">
        <f>Database!H622</f>
        <v>#N/A</v>
      </c>
    </row>
    <row r="625" ht="22.5" customHeight="1">
      <c r="A625" s="38" t="s">
        <v>1902</v>
      </c>
      <c r="B625" s="39">
        <v>330.32</v>
      </c>
      <c r="C625" s="39">
        <v>88.01</v>
      </c>
      <c r="D625" s="6" t="str">
        <f>Database!H623</f>
        <v>#N/A</v>
      </c>
    </row>
    <row r="626" ht="22.5" customHeight="1">
      <c r="A626" s="38" t="s">
        <v>1903</v>
      </c>
      <c r="B626" s="39">
        <v>182.86</v>
      </c>
      <c r="C626" s="39">
        <v>84.02</v>
      </c>
      <c r="D626" s="6" t="str">
        <f>Database!H624</f>
        <v>#N/A</v>
      </c>
    </row>
    <row r="627" ht="22.5" customHeight="1">
      <c r="A627" s="38" t="s">
        <v>1904</v>
      </c>
      <c r="B627" s="39">
        <v>314.85</v>
      </c>
      <c r="C627" s="39">
        <v>93.31</v>
      </c>
      <c r="D627" s="6" t="str">
        <f>Database!H625</f>
        <v>#N/A</v>
      </c>
    </row>
    <row r="628" ht="22.5" customHeight="1">
      <c r="A628" s="38" t="s">
        <v>1905</v>
      </c>
      <c r="B628" s="39">
        <v>310.64</v>
      </c>
      <c r="C628" s="39">
        <v>90.15</v>
      </c>
      <c r="D628" s="6" t="str">
        <f>Database!H626</f>
        <v>#N/A</v>
      </c>
    </row>
    <row r="629" ht="22.5" customHeight="1">
      <c r="A629" s="38" t="s">
        <v>1906</v>
      </c>
      <c r="B629" s="39">
        <v>264.345</v>
      </c>
      <c r="C629" s="39">
        <v>173.64</v>
      </c>
      <c r="D629" s="6" t="str">
        <f>Database!H627</f>
        <v>#N/A</v>
      </c>
    </row>
    <row r="630" ht="22.5" customHeight="1">
      <c r="A630" s="38" t="s">
        <v>1907</v>
      </c>
      <c r="B630" s="39">
        <v>180.36</v>
      </c>
      <c r="C630" s="39">
        <v>178.38</v>
      </c>
      <c r="D630" s="6" t="str">
        <f>Database!H628</f>
        <v>#N/A</v>
      </c>
    </row>
    <row r="631" ht="22.5" customHeight="1">
      <c r="A631" s="38" t="s">
        <v>1908</v>
      </c>
      <c r="B631" s="39">
        <v>175.01</v>
      </c>
      <c r="C631" s="39">
        <v>94.76</v>
      </c>
      <c r="D631" s="6" t="str">
        <f>Database!H629</f>
        <v>#N/A</v>
      </c>
    </row>
    <row r="632" ht="22.5" customHeight="1">
      <c r="A632" s="38" t="s">
        <v>1909</v>
      </c>
      <c r="B632" s="39">
        <v>178.71</v>
      </c>
      <c r="C632" s="39">
        <v>113.575</v>
      </c>
      <c r="D632" s="6" t="str">
        <f>Database!H630</f>
        <v>#N/A</v>
      </c>
    </row>
    <row r="633" ht="22.5" customHeight="1">
      <c r="A633" s="38" t="s">
        <v>1910</v>
      </c>
      <c r="B633" s="39">
        <v>156.74</v>
      </c>
      <c r="C633" s="39">
        <v>156.06</v>
      </c>
      <c r="D633" s="6" t="str">
        <f>Database!H631</f>
        <v>#N/A</v>
      </c>
    </row>
    <row r="634" ht="22.5" customHeight="1">
      <c r="A634" s="38" t="s">
        <v>1911</v>
      </c>
      <c r="B634" s="39">
        <v>156.06</v>
      </c>
      <c r="C634" s="39">
        <v>156.06</v>
      </c>
      <c r="D634" s="6" t="str">
        <f>Database!H632</f>
        <v>#N/A</v>
      </c>
    </row>
    <row r="635" ht="22.5" customHeight="1">
      <c r="A635" s="38" t="s">
        <v>1912</v>
      </c>
      <c r="B635" s="39">
        <v>175.0</v>
      </c>
      <c r="C635" s="39">
        <v>141.82</v>
      </c>
      <c r="D635" s="6" t="str">
        <f>Database!H633</f>
        <v>#N/A</v>
      </c>
    </row>
    <row r="636" ht="22.5" customHeight="1">
      <c r="A636" s="38" t="s">
        <v>1913</v>
      </c>
      <c r="B636" s="39">
        <v>241.87</v>
      </c>
      <c r="C636" s="39">
        <v>107.66</v>
      </c>
      <c r="D636" s="6" t="str">
        <f>Database!H634</f>
        <v>#N/A</v>
      </c>
    </row>
    <row r="637" ht="22.5" customHeight="1">
      <c r="A637" s="38" t="s">
        <v>1914</v>
      </c>
      <c r="B637" s="39">
        <v>242.08</v>
      </c>
      <c r="C637" s="39">
        <v>106.54</v>
      </c>
      <c r="D637" s="6" t="str">
        <f>Database!H635</f>
        <v>#N/A</v>
      </c>
    </row>
    <row r="638" ht="22.5" customHeight="1">
      <c r="A638" s="38" t="s">
        <v>1915</v>
      </c>
      <c r="B638" s="39">
        <v>199.05</v>
      </c>
      <c r="C638" s="39">
        <v>92.035</v>
      </c>
      <c r="D638" s="6" t="str">
        <f>Database!H636</f>
        <v>#N/A</v>
      </c>
    </row>
    <row r="639" ht="22.5" customHeight="1">
      <c r="A639" s="38" t="s">
        <v>1916</v>
      </c>
      <c r="B639" s="39">
        <v>178.38</v>
      </c>
      <c r="C639" s="39">
        <v>156.06</v>
      </c>
      <c r="D639" s="6" t="str">
        <f>Database!H637</f>
        <v>#N/A</v>
      </c>
    </row>
    <row r="640" ht="22.5" customHeight="1">
      <c r="A640" s="38" t="s">
        <v>1917</v>
      </c>
      <c r="B640" s="39">
        <v>174.75</v>
      </c>
      <c r="C640" s="39">
        <v>271.5</v>
      </c>
      <c r="D640" s="6" t="str">
        <f>Database!H638</f>
        <v>#N/A</v>
      </c>
    </row>
    <row r="641" ht="22.5" customHeight="1">
      <c r="A641" s="38" t="s">
        <v>1918</v>
      </c>
      <c r="B641" s="39">
        <v>368.55</v>
      </c>
      <c r="C641" s="39">
        <v>83.11</v>
      </c>
      <c r="D641" s="6" t="str">
        <f>Database!H639</f>
        <v>#N/A</v>
      </c>
    </row>
    <row r="642" ht="22.5" customHeight="1">
      <c r="A642" s="38" t="s">
        <v>1919</v>
      </c>
      <c r="B642" s="39">
        <v>272.84</v>
      </c>
      <c r="C642" s="39">
        <v>267.75</v>
      </c>
      <c r="D642" s="6" t="str">
        <f>Database!H640</f>
        <v>#N/A</v>
      </c>
    </row>
    <row r="643" ht="22.5" customHeight="1">
      <c r="A643" s="38" t="s">
        <v>1920</v>
      </c>
      <c r="B643" s="39">
        <v>254.66</v>
      </c>
      <c r="C643" s="39">
        <v>382.88</v>
      </c>
      <c r="D643" s="6" t="str">
        <f>Database!H641</f>
        <v>#N/A</v>
      </c>
    </row>
    <row r="644" ht="22.5" customHeight="1">
      <c r="A644" s="38" t="s">
        <v>1921</v>
      </c>
      <c r="B644" s="39">
        <v>381.59</v>
      </c>
      <c r="C644" s="39">
        <v>83.33</v>
      </c>
      <c r="D644" s="6" t="str">
        <f>Database!H642</f>
        <v>#N/A</v>
      </c>
    </row>
    <row r="645" ht="22.5" customHeight="1">
      <c r="A645" s="38" t="s">
        <v>1922</v>
      </c>
      <c r="B645" s="39">
        <v>319.96</v>
      </c>
      <c r="C645" s="39">
        <v>94.7</v>
      </c>
      <c r="D645" s="6" t="str">
        <f>Database!H643</f>
        <v>#N/A</v>
      </c>
    </row>
    <row r="646" ht="22.5" customHeight="1">
      <c r="A646" s="38" t="s">
        <v>1923</v>
      </c>
      <c r="B646" s="39">
        <v>147.38</v>
      </c>
      <c r="C646" s="39">
        <v>147.44</v>
      </c>
      <c r="D646" s="6" t="str">
        <f>Database!H644</f>
        <v>#N/A</v>
      </c>
    </row>
    <row r="647" ht="22.5" customHeight="1">
      <c r="A647" s="38" t="s">
        <v>1924</v>
      </c>
      <c r="B647" s="39">
        <v>347.96</v>
      </c>
      <c r="C647" s="39">
        <v>233.04</v>
      </c>
      <c r="D647" s="6" t="str">
        <f>Database!H645</f>
        <v>#N/A</v>
      </c>
    </row>
    <row r="648" ht="22.5" customHeight="1">
      <c r="A648" s="38" t="s">
        <v>1925</v>
      </c>
      <c r="B648" s="39">
        <v>328.61</v>
      </c>
      <c r="C648" s="39">
        <v>232.8</v>
      </c>
      <c r="D648" s="6" t="str">
        <f>Database!H646</f>
        <v>#N/A</v>
      </c>
    </row>
    <row r="649" ht="22.5" customHeight="1">
      <c r="A649" s="38" t="s">
        <v>1926</v>
      </c>
      <c r="B649" s="39">
        <v>217.74</v>
      </c>
      <c r="C649" s="39">
        <v>78.95</v>
      </c>
      <c r="D649" s="6" t="str">
        <f>Database!H647</f>
        <v>#N/A</v>
      </c>
    </row>
    <row r="650" ht="22.5" customHeight="1">
      <c r="A650" s="38" t="s">
        <v>1927</v>
      </c>
      <c r="B650" s="39">
        <v>200.0</v>
      </c>
      <c r="C650" s="39">
        <v>140.155</v>
      </c>
      <c r="D650" s="6" t="str">
        <f>Database!H648</f>
        <v>#N/A</v>
      </c>
    </row>
    <row r="651" ht="22.5" customHeight="1">
      <c r="A651" s="38" t="s">
        <v>1928</v>
      </c>
      <c r="B651" s="39">
        <v>237.47</v>
      </c>
      <c r="C651" s="39">
        <v>237.26</v>
      </c>
      <c r="D651" s="6" t="str">
        <f>Database!H649</f>
        <v>#N/A</v>
      </c>
    </row>
    <row r="652" ht="22.5" customHeight="1">
      <c r="A652" s="38" t="s">
        <v>1929</v>
      </c>
      <c r="B652" s="39">
        <v>315.78</v>
      </c>
      <c r="C652" s="39">
        <v>110.58</v>
      </c>
      <c r="D652" s="6" t="str">
        <f>Database!H650</f>
        <v>#N/A</v>
      </c>
    </row>
    <row r="653" ht="22.5" customHeight="1">
      <c r="A653" s="38" t="s">
        <v>1930</v>
      </c>
      <c r="B653" s="39">
        <v>256.91</v>
      </c>
      <c r="C653" s="39">
        <v>223.98</v>
      </c>
      <c r="D653" s="6" t="str">
        <f>Database!H651</f>
        <v>#N/A</v>
      </c>
    </row>
    <row r="654" ht="22.5" customHeight="1">
      <c r="A654" s="38" t="s">
        <v>1931</v>
      </c>
      <c r="B654" s="39">
        <v>204.02</v>
      </c>
      <c r="C654" s="39">
        <v>292.97</v>
      </c>
      <c r="D654" s="6" t="str">
        <f>Database!H652</f>
        <v>#N/A</v>
      </c>
    </row>
    <row r="655" ht="22.5" customHeight="1">
      <c r="A655" s="38" t="s">
        <v>1932</v>
      </c>
      <c r="B655" s="39">
        <v>353.72</v>
      </c>
      <c r="C655" s="39">
        <v>93.94</v>
      </c>
      <c r="D655" s="6" t="str">
        <f>Database!H653</f>
        <v>#N/A</v>
      </c>
    </row>
    <row r="656" ht="22.5" customHeight="1">
      <c r="A656" s="38" t="s">
        <v>1933</v>
      </c>
      <c r="B656" s="39">
        <v>167.69</v>
      </c>
      <c r="C656" s="39">
        <v>104.48</v>
      </c>
      <c r="D656" s="6" t="str">
        <f>Database!H654</f>
        <v>#N/A</v>
      </c>
    </row>
    <row r="657" ht="22.5" customHeight="1">
      <c r="A657" s="38" t="s">
        <v>1934</v>
      </c>
      <c r="B657" s="39">
        <v>238.38</v>
      </c>
      <c r="C657" s="39">
        <v>93.13</v>
      </c>
      <c r="D657" s="6" t="str">
        <f>Database!H655</f>
        <v>#N/A</v>
      </c>
    </row>
    <row r="658" ht="22.5" customHeight="1">
      <c r="A658" s="38" t="s">
        <v>1935</v>
      </c>
      <c r="B658" s="39">
        <v>171.25</v>
      </c>
      <c r="C658" s="39">
        <v>147.38</v>
      </c>
      <c r="D658" s="6" t="str">
        <f>Database!H656</f>
        <v>#N/A</v>
      </c>
    </row>
    <row r="659" ht="22.5" customHeight="1">
      <c r="A659" s="38" t="s">
        <v>1936</v>
      </c>
      <c r="B659" s="39">
        <v>233.1</v>
      </c>
      <c r="C659" s="39">
        <v>104.51</v>
      </c>
      <c r="D659" s="6" t="str">
        <f>Database!H657</f>
        <v>#N/A</v>
      </c>
    </row>
    <row r="660" ht="22.5" customHeight="1">
      <c r="A660" s="38" t="s">
        <v>1937</v>
      </c>
      <c r="B660" s="39">
        <v>266.88</v>
      </c>
      <c r="C660" s="39">
        <v>118.79</v>
      </c>
      <c r="D660" s="6" t="str">
        <f>Database!H658</f>
        <v>#N/A</v>
      </c>
    </row>
    <row r="661" ht="22.5" customHeight="1">
      <c r="A661" s="38" t="s">
        <v>1938</v>
      </c>
      <c r="B661" s="39">
        <v>188.71</v>
      </c>
      <c r="C661" s="39">
        <v>83.34</v>
      </c>
      <c r="D661" s="6" t="str">
        <f>Database!H659</f>
        <v>#N/A</v>
      </c>
    </row>
    <row r="662" ht="22.5" customHeight="1">
      <c r="A662" s="38" t="s">
        <v>1939</v>
      </c>
      <c r="B662" s="39">
        <v>228.61</v>
      </c>
      <c r="C662" s="39">
        <v>115.09</v>
      </c>
      <c r="D662" s="6" t="str">
        <f>Database!H660</f>
        <v>#N/A</v>
      </c>
    </row>
    <row r="663" ht="22.5" customHeight="1">
      <c r="A663" s="38" t="s">
        <v>1940</v>
      </c>
      <c r="B663" s="39">
        <v>316.535</v>
      </c>
      <c r="C663" s="39">
        <v>278.6</v>
      </c>
      <c r="D663" s="6" t="str">
        <f>Database!H661</f>
        <v>#N/A</v>
      </c>
    </row>
    <row r="664" ht="22.5" customHeight="1">
      <c r="A664" s="38" t="s">
        <v>1941</v>
      </c>
      <c r="B664" s="39">
        <v>233.2</v>
      </c>
      <c r="C664" s="39">
        <v>218.91</v>
      </c>
      <c r="D664" s="6" t="str">
        <f>Database!H662</f>
        <v>#N/A</v>
      </c>
    </row>
    <row r="665" ht="22.5" customHeight="1">
      <c r="A665" s="38" t="s">
        <v>1942</v>
      </c>
      <c r="B665" s="39">
        <v>140.89</v>
      </c>
      <c r="C665" s="39">
        <v>105.01</v>
      </c>
      <c r="D665" s="6" t="str">
        <f>Database!H663</f>
        <v>#N/A</v>
      </c>
    </row>
    <row r="666" ht="22.5" customHeight="1">
      <c r="A666" s="38" t="s">
        <v>1943</v>
      </c>
      <c r="B666" s="39">
        <v>246.82</v>
      </c>
      <c r="C666" s="39">
        <v>110.67</v>
      </c>
      <c r="D666" s="6" t="str">
        <f>Database!H664</f>
        <v>#N/A</v>
      </c>
    </row>
    <row r="667" ht="22.5" customHeight="1">
      <c r="A667" s="38" t="s">
        <v>1944</v>
      </c>
      <c r="B667" s="39">
        <v>187.81</v>
      </c>
      <c r="C667" s="39">
        <v>78.59</v>
      </c>
      <c r="D667" s="6" t="str">
        <f>Database!H665</f>
        <v>#N/A</v>
      </c>
    </row>
    <row r="668" ht="22.5" customHeight="1">
      <c r="A668" s="38" t="s">
        <v>1945</v>
      </c>
      <c r="B668" s="39">
        <v>141.275</v>
      </c>
      <c r="C668" s="39">
        <v>104.78</v>
      </c>
      <c r="D668" s="6" t="str">
        <f>Database!H666</f>
        <v>#N/A</v>
      </c>
    </row>
    <row r="669" ht="22.5" customHeight="1">
      <c r="A669" s="38" t="s">
        <v>1946</v>
      </c>
      <c r="B669" s="39">
        <v>139.86</v>
      </c>
      <c r="C669" s="39">
        <v>105.33</v>
      </c>
      <c r="D669" s="6" t="str">
        <f>Database!H667</f>
        <v>#N/A</v>
      </c>
    </row>
    <row r="670" ht="22.5" customHeight="1">
      <c r="A670" s="38" t="s">
        <v>1947</v>
      </c>
      <c r="B670" s="39">
        <v>141.44</v>
      </c>
      <c r="C670" s="39">
        <v>139.6</v>
      </c>
      <c r="D670" s="6" t="str">
        <f>Database!H668</f>
        <v>#N/A</v>
      </c>
    </row>
    <row r="671" ht="22.5" customHeight="1">
      <c r="A671" s="38" t="s">
        <v>1948</v>
      </c>
      <c r="B671" s="39">
        <v>300.05</v>
      </c>
      <c r="C671" s="39">
        <v>102.385</v>
      </c>
      <c r="D671" s="6" t="str">
        <f>Database!H669</f>
        <v>#N/A</v>
      </c>
    </row>
    <row r="672" ht="22.5" customHeight="1">
      <c r="A672" s="38" t="s">
        <v>1949</v>
      </c>
      <c r="B672" s="39">
        <v>220.14</v>
      </c>
      <c r="C672" s="39">
        <v>233.03</v>
      </c>
      <c r="D672" s="6" t="str">
        <f>Database!H670</f>
        <v>#N/A</v>
      </c>
    </row>
    <row r="673" ht="22.5" customHeight="1">
      <c r="A673" s="38" t="s">
        <v>1950</v>
      </c>
      <c r="B673" s="39">
        <v>271.58</v>
      </c>
      <c r="C673" s="39">
        <v>94.87</v>
      </c>
      <c r="D673" s="6" t="str">
        <f>Database!H671</f>
        <v>#N/A</v>
      </c>
    </row>
    <row r="674" ht="22.5" customHeight="1">
      <c r="A674" s="38" t="s">
        <v>1951</v>
      </c>
      <c r="B674" s="39">
        <v>321.45</v>
      </c>
      <c r="C674" s="39">
        <v>92.68</v>
      </c>
      <c r="D674" s="6" t="str">
        <f>Database!H672</f>
        <v>#N/A</v>
      </c>
    </row>
    <row r="675" ht="22.5" customHeight="1">
      <c r="A675" s="38" t="s">
        <v>1952</v>
      </c>
      <c r="B675" s="39">
        <v>314.68</v>
      </c>
      <c r="C675" s="39">
        <v>95.87</v>
      </c>
      <c r="D675" s="6" t="str">
        <f>Database!H673</f>
        <v>#N/A</v>
      </c>
    </row>
    <row r="676" ht="22.5" customHeight="1">
      <c r="A676" s="38" t="s">
        <v>1953</v>
      </c>
      <c r="B676" s="39">
        <v>256.38</v>
      </c>
      <c r="C676" s="39">
        <v>104.5</v>
      </c>
      <c r="D676" s="6" t="str">
        <f>Database!H674</f>
        <v>#N/A</v>
      </c>
    </row>
    <row r="677" ht="22.5" customHeight="1">
      <c r="A677" s="38" t="s">
        <v>1954</v>
      </c>
      <c r="B677" s="39">
        <v>276.72</v>
      </c>
      <c r="C677" s="39">
        <v>84.48</v>
      </c>
      <c r="D677" s="6" t="str">
        <f>Database!H675</f>
        <v>#N/A</v>
      </c>
    </row>
    <row r="678" ht="22.5" customHeight="1">
      <c r="A678" s="38" t="s">
        <v>1955</v>
      </c>
      <c r="B678" s="39">
        <v>194.44</v>
      </c>
      <c r="C678" s="39">
        <v>147.37</v>
      </c>
      <c r="D678" s="6" t="str">
        <f>Database!H676</f>
        <v>#N/A</v>
      </c>
    </row>
    <row r="679" ht="22.5" customHeight="1">
      <c r="A679" s="38" t="s">
        <v>1956</v>
      </c>
      <c r="B679" s="39">
        <v>198.805</v>
      </c>
      <c r="C679" s="39">
        <v>150.09</v>
      </c>
      <c r="D679" s="6" t="str">
        <f>Database!H677</f>
        <v>#N/A</v>
      </c>
    </row>
    <row r="680" ht="22.5" customHeight="1">
      <c r="A680" s="38" t="s">
        <v>1957</v>
      </c>
      <c r="B680" s="39">
        <v>361.93</v>
      </c>
      <c r="C680" s="39">
        <v>242.08</v>
      </c>
      <c r="D680" s="6" t="str">
        <f>Database!H678</f>
        <v>#N/A</v>
      </c>
    </row>
    <row r="681" ht="22.5" customHeight="1">
      <c r="A681" s="38" t="s">
        <v>1958</v>
      </c>
      <c r="B681" s="39">
        <v>304.81</v>
      </c>
      <c r="C681" s="39">
        <v>232.81</v>
      </c>
      <c r="D681" s="6" t="str">
        <f>Database!H679</f>
        <v>#N/A</v>
      </c>
    </row>
    <row r="682" ht="22.5" customHeight="1">
      <c r="A682" s="38" t="s">
        <v>1959</v>
      </c>
      <c r="B682" s="39">
        <v>159.27</v>
      </c>
      <c r="C682" s="39">
        <v>101.01</v>
      </c>
      <c r="D682" s="6" t="str">
        <f>Database!H680</f>
        <v>#N/A</v>
      </c>
    </row>
    <row r="683" ht="22.5" customHeight="1">
      <c r="A683" s="38" t="s">
        <v>1960</v>
      </c>
      <c r="B683" s="39">
        <v>207.68</v>
      </c>
      <c r="C683" s="39">
        <v>88.01</v>
      </c>
      <c r="D683" s="6" t="str">
        <f>Database!H681</f>
        <v>#N/A</v>
      </c>
    </row>
    <row r="684" ht="22.5" customHeight="1">
      <c r="A684" s="38" t="s">
        <v>1961</v>
      </c>
      <c r="B684" s="39">
        <v>320.87</v>
      </c>
      <c r="C684" s="39">
        <v>389.63</v>
      </c>
      <c r="D684" s="6" t="str">
        <f>Database!H682</f>
        <v>#N/A</v>
      </c>
    </row>
    <row r="685" ht="22.5" customHeight="1">
      <c r="A685" s="38" t="s">
        <v>1962</v>
      </c>
      <c r="B685" s="39">
        <v>278.865</v>
      </c>
      <c r="C685" s="39">
        <v>185.32</v>
      </c>
      <c r="D685" s="6" t="str">
        <f>Database!H683</f>
        <v>#N/A</v>
      </c>
    </row>
    <row r="686" ht="22.5" customHeight="1">
      <c r="A686" s="38" t="s">
        <v>1963</v>
      </c>
      <c r="B686" s="39">
        <v>266.43</v>
      </c>
      <c r="C686" s="39">
        <v>149.16</v>
      </c>
      <c r="D686" s="6" t="str">
        <f>Database!H684</f>
        <v>#N/A</v>
      </c>
    </row>
    <row r="687" ht="22.5" customHeight="1">
      <c r="A687" s="38" t="s">
        <v>1964</v>
      </c>
      <c r="B687" s="39">
        <v>142.615</v>
      </c>
      <c r="C687" s="39">
        <v>156.0</v>
      </c>
      <c r="D687" s="6" t="str">
        <f>Database!H685</f>
        <v>#N/A</v>
      </c>
    </row>
    <row r="688" ht="22.5" customHeight="1">
      <c r="A688" s="38" t="s">
        <v>1965</v>
      </c>
      <c r="B688" s="39">
        <v>157.48</v>
      </c>
      <c r="C688" s="39">
        <v>156.09</v>
      </c>
      <c r="D688" s="6" t="str">
        <f>Database!H686</f>
        <v>#N/A</v>
      </c>
    </row>
    <row r="689" ht="22.5" customHeight="1">
      <c r="A689" s="38" t="s">
        <v>1966</v>
      </c>
      <c r="B689" s="39">
        <v>141.84</v>
      </c>
      <c r="C689" s="39">
        <v>93.42</v>
      </c>
      <c r="D689" s="6" t="str">
        <f>Database!H687</f>
        <v>#N/A</v>
      </c>
    </row>
    <row r="690" ht="22.5" customHeight="1">
      <c r="A690" s="38" t="s">
        <v>1967</v>
      </c>
      <c r="B690" s="39">
        <v>171.495</v>
      </c>
      <c r="C690" s="39">
        <v>93.05</v>
      </c>
      <c r="D690" s="6" t="str">
        <f>Database!H688</f>
        <v>#N/A</v>
      </c>
    </row>
    <row r="691" ht="22.5" customHeight="1">
      <c r="A691" s="38" t="s">
        <v>1968</v>
      </c>
      <c r="B691" s="39">
        <v>224.43</v>
      </c>
      <c r="C691" s="39">
        <v>110.94</v>
      </c>
      <c r="D691" s="6" t="str">
        <f>Database!H689</f>
        <v>#N/A</v>
      </c>
    </row>
    <row r="692" ht="22.5" customHeight="1">
      <c r="A692" s="38" t="s">
        <v>1969</v>
      </c>
      <c r="B692" s="39">
        <v>147.26</v>
      </c>
      <c r="C692" s="39">
        <v>292.96</v>
      </c>
      <c r="D692" s="6" t="str">
        <f>Database!H690</f>
        <v>#N/A</v>
      </c>
    </row>
    <row r="693" ht="22.5" customHeight="1">
      <c r="A693" s="38" t="s">
        <v>1970</v>
      </c>
      <c r="B693" s="39">
        <v>140.085</v>
      </c>
      <c r="C693" s="39">
        <v>139.27</v>
      </c>
      <c r="D693" s="6" t="str">
        <f>Database!H691</f>
        <v>#N/A</v>
      </c>
    </row>
    <row r="694" ht="22.5" customHeight="1">
      <c r="A694" s="38" t="s">
        <v>1971</v>
      </c>
      <c r="B694" s="39">
        <v>209.42</v>
      </c>
      <c r="C694" s="39">
        <v>139.22</v>
      </c>
      <c r="D694" s="6" t="str">
        <f>Database!H692</f>
        <v>#N/A</v>
      </c>
    </row>
    <row r="695" ht="22.5" customHeight="1">
      <c r="A695" s="38" t="s">
        <v>1972</v>
      </c>
      <c r="B695" s="39">
        <v>550.21</v>
      </c>
      <c r="C695" s="39">
        <v>94.645</v>
      </c>
      <c r="D695" s="6" t="str">
        <f>Database!H693</f>
        <v>#N/A</v>
      </c>
    </row>
    <row r="696" ht="22.5" customHeight="1">
      <c r="A696" s="38" t="s">
        <v>1973</v>
      </c>
      <c r="B696" s="39">
        <v>413.21</v>
      </c>
      <c r="C696" s="39">
        <v>88.33</v>
      </c>
      <c r="D696" s="6" t="str">
        <f>Database!H694</f>
        <v>#N/A</v>
      </c>
    </row>
    <row r="697" ht="22.5" customHeight="1">
      <c r="A697" s="38" t="s">
        <v>1974</v>
      </c>
      <c r="B697" s="39">
        <v>327.675</v>
      </c>
      <c r="C697" s="39">
        <v>145.425</v>
      </c>
      <c r="D697" s="6" t="str">
        <f>Database!H695</f>
        <v>#N/A</v>
      </c>
    </row>
    <row r="698" ht="22.5" customHeight="1">
      <c r="A698" s="38" t="s">
        <v>1975</v>
      </c>
      <c r="B698" s="39">
        <v>445.115</v>
      </c>
      <c r="C698" s="39">
        <v>110.86</v>
      </c>
      <c r="D698" s="6" t="str">
        <f>Database!H696</f>
        <v>#N/A</v>
      </c>
    </row>
    <row r="699" ht="22.5" customHeight="1">
      <c r="A699" s="38" t="s">
        <v>1976</v>
      </c>
      <c r="B699" s="39">
        <v>412.51</v>
      </c>
      <c r="C699" s="39">
        <v>130.895</v>
      </c>
      <c r="D699" s="6" t="str">
        <f>Database!H697</f>
        <v>#N/A</v>
      </c>
    </row>
    <row r="700" ht="22.5" customHeight="1">
      <c r="A700" s="38" t="s">
        <v>1977</v>
      </c>
      <c r="B700" s="39">
        <v>357.01</v>
      </c>
      <c r="C700" s="39">
        <v>72.79</v>
      </c>
      <c r="D700" s="6" t="str">
        <f>Database!H698</f>
        <v>#N/A</v>
      </c>
    </row>
    <row r="701" ht="22.5" customHeight="1">
      <c r="A701" s="38" t="s">
        <v>1978</v>
      </c>
      <c r="B701" s="39">
        <v>261.51</v>
      </c>
      <c r="C701" s="39">
        <v>196.22</v>
      </c>
      <c r="D701" s="6" t="str">
        <f>Database!H699</f>
        <v>#N/A</v>
      </c>
    </row>
    <row r="702" ht="22.5" customHeight="1">
      <c r="A702" s="38" t="s">
        <v>1979</v>
      </c>
      <c r="B702" s="39">
        <v>412.88</v>
      </c>
      <c r="C702" s="39">
        <v>99.06</v>
      </c>
      <c r="D702" s="6" t="str">
        <f>Database!H700</f>
        <v>#N/A</v>
      </c>
    </row>
    <row r="703" ht="22.5" customHeight="1">
      <c r="A703" s="38" t="s">
        <v>1980</v>
      </c>
      <c r="B703" s="39">
        <v>347.97</v>
      </c>
      <c r="C703" s="39">
        <v>98.32</v>
      </c>
      <c r="D703" s="6" t="str">
        <f>Database!H701</f>
        <v>#N/A</v>
      </c>
    </row>
    <row r="704" ht="22.5" customHeight="1">
      <c r="A704" s="38" t="s">
        <v>1981</v>
      </c>
      <c r="B704" s="39">
        <v>219.44</v>
      </c>
      <c r="C704" s="39">
        <v>83.23</v>
      </c>
      <c r="D704" s="6" t="str">
        <f>Database!H702</f>
        <v>#N/A</v>
      </c>
    </row>
    <row r="705" ht="22.5" customHeight="1">
      <c r="A705" s="38" t="s">
        <v>1982</v>
      </c>
      <c r="B705" s="39">
        <v>196.43</v>
      </c>
      <c r="C705" s="39">
        <v>98.65</v>
      </c>
      <c r="D705" s="6" t="str">
        <f>Database!H703</f>
        <v>#N/A</v>
      </c>
    </row>
    <row r="706" ht="22.5" customHeight="1">
      <c r="A706" s="38" t="s">
        <v>1983</v>
      </c>
      <c r="B706" s="39">
        <v>171.72</v>
      </c>
      <c r="C706" s="39">
        <v>88.02</v>
      </c>
      <c r="D706" s="6" t="str">
        <f>Database!H704</f>
        <v>#N/A</v>
      </c>
    </row>
    <row r="707" ht="22.5" customHeight="1">
      <c r="A707" s="38" t="s">
        <v>1984</v>
      </c>
      <c r="B707" s="39">
        <v>370.2</v>
      </c>
      <c r="C707" s="39">
        <v>98.7</v>
      </c>
      <c r="D707" s="6" t="str">
        <f>Database!H705</f>
        <v>#N/A</v>
      </c>
    </row>
    <row r="708" ht="22.5" customHeight="1">
      <c r="A708" s="38" t="s">
        <v>1985</v>
      </c>
      <c r="B708" s="39">
        <v>321.63</v>
      </c>
      <c r="C708" s="39">
        <v>211.62</v>
      </c>
      <c r="D708" s="6" t="str">
        <f>Database!H706</f>
        <v>#N/A</v>
      </c>
    </row>
    <row r="709" ht="22.5" customHeight="1">
      <c r="A709" s="38" t="s">
        <v>1986</v>
      </c>
      <c r="B709" s="39">
        <v>293.1</v>
      </c>
      <c r="C709" s="39">
        <v>292.49</v>
      </c>
      <c r="D709" s="6" t="str">
        <f>Database!H707</f>
        <v>#N/A</v>
      </c>
    </row>
    <row r="710" ht="22.5" customHeight="1">
      <c r="A710" s="38" t="s">
        <v>1987</v>
      </c>
      <c r="B710" s="39">
        <v>413.2</v>
      </c>
      <c r="C710" s="39">
        <v>83.98</v>
      </c>
      <c r="D710" s="6" t="str">
        <f>Database!H708</f>
        <v>#N/A</v>
      </c>
    </row>
    <row r="711" ht="22.5" customHeight="1">
      <c r="A711" s="38" t="s">
        <v>1988</v>
      </c>
      <c r="B711" s="39">
        <v>390.2</v>
      </c>
      <c r="C711" s="39">
        <v>83.43</v>
      </c>
      <c r="D711" s="6" t="str">
        <f>Database!H709</f>
        <v>#N/A</v>
      </c>
    </row>
    <row r="712" ht="22.5" customHeight="1">
      <c r="A712" s="38" t="s">
        <v>1989</v>
      </c>
      <c r="B712" s="39">
        <v>252.02</v>
      </c>
      <c r="C712" s="39">
        <v>142.05</v>
      </c>
      <c r="D712" s="6" t="str">
        <f>Database!H710</f>
        <v>#N/A</v>
      </c>
    </row>
    <row r="713" ht="22.5" customHeight="1">
      <c r="A713" s="38" t="s">
        <v>1990</v>
      </c>
      <c r="B713" s="39">
        <v>178.29</v>
      </c>
      <c r="C713" s="39">
        <v>93.7</v>
      </c>
      <c r="D713" s="6" t="str">
        <f>Database!H711</f>
        <v>#N/A</v>
      </c>
    </row>
    <row r="714" ht="22.5" customHeight="1">
      <c r="A714" s="38" t="s">
        <v>1991</v>
      </c>
      <c r="B714" s="39">
        <v>200.02</v>
      </c>
      <c r="C714" s="39">
        <v>99.81</v>
      </c>
      <c r="D714" s="6" t="str">
        <f>Database!H712</f>
        <v>#N/A</v>
      </c>
    </row>
    <row r="715" ht="22.5" customHeight="1">
      <c r="A715" s="38" t="s">
        <v>1992</v>
      </c>
      <c r="B715" s="39">
        <v>175.0</v>
      </c>
      <c r="C715" s="39">
        <v>140.19</v>
      </c>
      <c r="D715" s="6" t="str">
        <f>Database!H713</f>
        <v>#N/A</v>
      </c>
    </row>
    <row r="716" ht="22.5" customHeight="1">
      <c r="A716" s="38" t="s">
        <v>1993</v>
      </c>
      <c r="B716" s="39">
        <v>293.06</v>
      </c>
      <c r="C716" s="39">
        <v>233.04</v>
      </c>
      <c r="D716" s="6" t="str">
        <f>Database!H714</f>
        <v>#N/A</v>
      </c>
    </row>
    <row r="717" ht="22.5" customHeight="1">
      <c r="A717" s="38" t="s">
        <v>1994</v>
      </c>
      <c r="B717" s="39">
        <v>258.125</v>
      </c>
      <c r="C717" s="39">
        <v>237.21</v>
      </c>
      <c r="D717" s="6" t="str">
        <f>Database!H715</f>
        <v>#N/A</v>
      </c>
    </row>
    <row r="718" ht="22.5" customHeight="1">
      <c r="A718" s="38" t="s">
        <v>1995</v>
      </c>
      <c r="B718" s="39">
        <v>156.15</v>
      </c>
      <c r="C718" s="39">
        <v>100.4</v>
      </c>
      <c r="D718" s="6" t="str">
        <f>Database!H716</f>
        <v>#N/A</v>
      </c>
    </row>
    <row r="719" ht="22.5" customHeight="1">
      <c r="A719" s="38" t="s">
        <v>1996</v>
      </c>
      <c r="B719" s="39">
        <v>160.96</v>
      </c>
      <c r="C719" s="39">
        <v>98.24</v>
      </c>
      <c r="D719" s="6" t="str">
        <f>Database!H717</f>
        <v>#N/A</v>
      </c>
    </row>
    <row r="720" ht="22.5" customHeight="1">
      <c r="A720" s="38" t="s">
        <v>1997</v>
      </c>
      <c r="B720" s="39">
        <v>233.03</v>
      </c>
      <c r="C720" s="39">
        <v>233.04</v>
      </c>
      <c r="D720" s="6" t="str">
        <f>Database!H718</f>
        <v>#N/A</v>
      </c>
    </row>
    <row r="721" ht="22.5" customHeight="1">
      <c r="A721" s="38" t="s">
        <v>1998</v>
      </c>
      <c r="B721" s="39">
        <v>328.38</v>
      </c>
      <c r="C721" s="39">
        <v>232.26</v>
      </c>
      <c r="D721" s="6" t="str">
        <f>Database!H719</f>
        <v>#N/A</v>
      </c>
    </row>
    <row r="722" ht="22.5" customHeight="1">
      <c r="A722" s="38" t="s">
        <v>1999</v>
      </c>
      <c r="B722" s="39">
        <v>185.32</v>
      </c>
      <c r="C722" s="39">
        <v>139.16</v>
      </c>
      <c r="D722" s="6" t="str">
        <f>Database!H720</f>
        <v>#N/A</v>
      </c>
    </row>
    <row r="723" ht="22.5" customHeight="1">
      <c r="A723" s="38" t="s">
        <v>2000</v>
      </c>
      <c r="B723" s="39">
        <v>156.05</v>
      </c>
      <c r="C723" s="39">
        <v>246.63</v>
      </c>
      <c r="D723" s="6" t="str">
        <f>Database!H721</f>
        <v>#N/A</v>
      </c>
    </row>
    <row r="724" ht="22.5" customHeight="1">
      <c r="A724" s="38" t="s">
        <v>2001</v>
      </c>
      <c r="B724" s="39">
        <v>175.93</v>
      </c>
      <c r="C724" s="39">
        <v>79.4</v>
      </c>
      <c r="D724" s="6" t="str">
        <f>Database!H722</f>
        <v>#N/A</v>
      </c>
    </row>
    <row r="725" ht="22.5" customHeight="1">
      <c r="A725" s="38" t="s">
        <v>2002</v>
      </c>
      <c r="B725" s="39">
        <v>146.35</v>
      </c>
      <c r="C725" s="39">
        <v>121.905</v>
      </c>
      <c r="D725" s="6" t="str">
        <f>Database!H723</f>
        <v>#N/A</v>
      </c>
    </row>
    <row r="726" ht="22.5" customHeight="1">
      <c r="A726" s="38" t="s">
        <v>2003</v>
      </c>
      <c r="B726" s="39">
        <v>168.325</v>
      </c>
      <c r="C726" s="39">
        <v>107.685</v>
      </c>
      <c r="D726" s="6" t="str">
        <f>Database!H724</f>
        <v>#N/A</v>
      </c>
    </row>
    <row r="727" ht="22.5" customHeight="1">
      <c r="A727" s="38" t="s">
        <v>2004</v>
      </c>
      <c r="B727" s="39">
        <v>139.17</v>
      </c>
      <c r="C727" s="39">
        <v>117.32</v>
      </c>
      <c r="D727" s="6" t="str">
        <f>Database!H725</f>
        <v>#N/A</v>
      </c>
    </row>
    <row r="728" ht="22.5" customHeight="1">
      <c r="A728" s="38" t="s">
        <v>2005</v>
      </c>
      <c r="B728" s="39">
        <v>152.97</v>
      </c>
      <c r="C728" s="39">
        <v>126.65</v>
      </c>
      <c r="D728" s="6" t="str">
        <f>Database!H726</f>
        <v>#N/A</v>
      </c>
    </row>
    <row r="729" ht="22.5" customHeight="1">
      <c r="A729" s="38" t="s">
        <v>2006</v>
      </c>
      <c r="B729" s="39">
        <v>165.26</v>
      </c>
      <c r="C729" s="39">
        <v>97.64</v>
      </c>
      <c r="D729" s="6" t="str">
        <f>Database!H727</f>
        <v>#N/A</v>
      </c>
    </row>
    <row r="730" ht="22.5" customHeight="1">
      <c r="A730" s="38" t="s">
        <v>2007</v>
      </c>
      <c r="B730" s="39">
        <v>189.99</v>
      </c>
      <c r="C730" s="39">
        <v>88.0</v>
      </c>
      <c r="D730" s="6" t="str">
        <f>Database!H728</f>
        <v>#N/A</v>
      </c>
    </row>
    <row r="731" ht="22.5" customHeight="1">
      <c r="A731" s="38" t="s">
        <v>2008</v>
      </c>
      <c r="B731" s="39">
        <v>160.91</v>
      </c>
      <c r="C731" s="39">
        <v>156.295</v>
      </c>
      <c r="D731" s="6" t="str">
        <f>Database!H729</f>
        <v>#N/A</v>
      </c>
    </row>
    <row r="732" ht="22.5" customHeight="1">
      <c r="A732" s="38" t="s">
        <v>2009</v>
      </c>
      <c r="B732" s="39">
        <v>276.525</v>
      </c>
      <c r="C732" s="39">
        <v>104.35</v>
      </c>
      <c r="D732" s="6" t="str">
        <f>Database!H730</f>
        <v>#N/A</v>
      </c>
    </row>
    <row r="733" ht="22.5" customHeight="1">
      <c r="A733" s="38" t="s">
        <v>2010</v>
      </c>
      <c r="B733" s="39">
        <v>158.52</v>
      </c>
      <c r="C733" s="39">
        <v>101.18</v>
      </c>
      <c r="D733" s="6" t="str">
        <f>Database!H731</f>
        <v>#N/A</v>
      </c>
    </row>
    <row r="734" ht="22.5" customHeight="1">
      <c r="A734" s="38" t="s">
        <v>2011</v>
      </c>
      <c r="B734" s="39">
        <v>260.475</v>
      </c>
      <c r="C734" s="39">
        <v>117.19</v>
      </c>
      <c r="D734" s="6" t="str">
        <f>Database!H732</f>
        <v>#N/A</v>
      </c>
    </row>
    <row r="735" ht="22.5" customHeight="1">
      <c r="A735" s="38" t="s">
        <v>2012</v>
      </c>
      <c r="B735" s="39">
        <v>266.72</v>
      </c>
      <c r="C735" s="39">
        <v>92.87</v>
      </c>
      <c r="D735" s="6" t="str">
        <f>Database!H733</f>
        <v>#N/A</v>
      </c>
    </row>
    <row r="736" ht="22.5" customHeight="1">
      <c r="A736" s="38" t="s">
        <v>2013</v>
      </c>
      <c r="B736" s="39">
        <v>281.56</v>
      </c>
      <c r="C736" s="39">
        <v>107.035</v>
      </c>
      <c r="D736" s="6" t="str">
        <f>Database!H734</f>
        <v>#N/A</v>
      </c>
    </row>
    <row r="737" ht="22.5" customHeight="1">
      <c r="A737" s="38" t="s">
        <v>2014</v>
      </c>
      <c r="B737" s="39">
        <v>261.33</v>
      </c>
      <c r="C737" s="39">
        <v>116.05</v>
      </c>
      <c r="D737" s="6" t="str">
        <f>Database!H735</f>
        <v>#N/A</v>
      </c>
    </row>
    <row r="738" ht="22.5" customHeight="1">
      <c r="A738" s="38" t="s">
        <v>2015</v>
      </c>
      <c r="B738" s="39">
        <v>154.575</v>
      </c>
      <c r="C738" s="39">
        <v>83.7</v>
      </c>
      <c r="D738" s="6" t="str">
        <f>Database!H736</f>
        <v>#N/A</v>
      </c>
    </row>
    <row r="739" ht="22.5" customHeight="1">
      <c r="A739" s="38" t="s">
        <v>2016</v>
      </c>
      <c r="B739" s="39">
        <v>261.465</v>
      </c>
      <c r="C739" s="39">
        <v>235.48</v>
      </c>
      <c r="D739" s="6" t="str">
        <f>Database!H737</f>
        <v>#N/A</v>
      </c>
    </row>
    <row r="740" ht="22.5" customHeight="1">
      <c r="A740" s="38" t="s">
        <v>2017</v>
      </c>
      <c r="B740" s="39">
        <v>139.17</v>
      </c>
      <c r="C740" s="39">
        <v>96.46</v>
      </c>
      <c r="D740" s="6" t="str">
        <f>Database!H738</f>
        <v>#N/A</v>
      </c>
    </row>
    <row r="741" ht="22.5" customHeight="1">
      <c r="A741" s="38" t="s">
        <v>2018</v>
      </c>
      <c r="B741" s="39">
        <v>230.645</v>
      </c>
      <c r="C741" s="39">
        <v>83.05</v>
      </c>
      <c r="D741" s="6" t="str">
        <f>Database!H739</f>
        <v>#N/A</v>
      </c>
    </row>
    <row r="742" ht="22.5" customHeight="1">
      <c r="A742" s="38" t="s">
        <v>2019</v>
      </c>
      <c r="B742" s="39">
        <v>216.77</v>
      </c>
      <c r="C742" s="39">
        <v>92.38</v>
      </c>
      <c r="D742" s="6" t="str">
        <f>Database!H740</f>
        <v>#N/A</v>
      </c>
    </row>
    <row r="743" ht="22.5" customHeight="1">
      <c r="A743" s="38" t="s">
        <v>2020</v>
      </c>
      <c r="B743" s="39">
        <v>233.03</v>
      </c>
      <c r="C743" s="39">
        <v>175.01</v>
      </c>
      <c r="D743" s="6" t="str">
        <f>Database!H741</f>
        <v>#N/A</v>
      </c>
    </row>
    <row r="744" ht="22.5" customHeight="1">
      <c r="A744" s="38" t="s">
        <v>2021</v>
      </c>
      <c r="B744" s="39">
        <v>165.24</v>
      </c>
      <c r="C744" s="39">
        <v>82.93</v>
      </c>
      <c r="D744" s="6" t="str">
        <f>Database!H742</f>
        <v>#N/A</v>
      </c>
    </row>
    <row r="745" ht="22.5" customHeight="1">
      <c r="A745" s="38" t="s">
        <v>2022</v>
      </c>
      <c r="B745" s="39">
        <v>233.02</v>
      </c>
      <c r="C745" s="39">
        <v>175.03</v>
      </c>
      <c r="D745" s="6" t="str">
        <f>Database!H743</f>
        <v>#N/A</v>
      </c>
    </row>
    <row r="746" ht="22.5" customHeight="1">
      <c r="A746" s="38" t="s">
        <v>2023</v>
      </c>
      <c r="B746" s="39">
        <v>236.76</v>
      </c>
      <c r="C746" s="39">
        <v>233.03</v>
      </c>
      <c r="D746" s="6" t="str">
        <f>Database!H744</f>
        <v>#N/A</v>
      </c>
    </row>
    <row r="747" ht="22.5" customHeight="1">
      <c r="A747" s="38" t="s">
        <v>2024</v>
      </c>
      <c r="B747" s="39">
        <v>177.185</v>
      </c>
      <c r="C747" s="39">
        <v>88.86</v>
      </c>
      <c r="D747" s="6" t="str">
        <f>Database!H745</f>
        <v>#N/A</v>
      </c>
    </row>
    <row r="748" ht="22.5" customHeight="1">
      <c r="A748" s="38" t="s">
        <v>2025</v>
      </c>
      <c r="B748" s="39">
        <v>221.23</v>
      </c>
      <c r="C748" s="39">
        <v>68.67</v>
      </c>
      <c r="D748" s="6" t="str">
        <f>Database!H746</f>
        <v>#N/A</v>
      </c>
    </row>
    <row r="749" ht="22.5" customHeight="1">
      <c r="A749" s="38" t="s">
        <v>2026</v>
      </c>
      <c r="B749" s="39">
        <v>136.06</v>
      </c>
      <c r="C749" s="39">
        <v>124.59</v>
      </c>
      <c r="D749" s="6" t="str">
        <f>Database!H747</f>
        <v>#N/A</v>
      </c>
    </row>
    <row r="750" ht="22.5" customHeight="1">
      <c r="A750" s="38" t="s">
        <v>2027</v>
      </c>
      <c r="B750" s="39">
        <v>164.3</v>
      </c>
      <c r="C750" s="39">
        <v>161.74</v>
      </c>
      <c r="D750" s="6" t="str">
        <f>Database!H748</f>
        <v>#N/A</v>
      </c>
    </row>
    <row r="751" ht="22.5" customHeight="1">
      <c r="A751" s="38" t="s">
        <v>2028</v>
      </c>
      <c r="B751" s="39">
        <v>201.56</v>
      </c>
      <c r="C751" s="39">
        <v>178.4</v>
      </c>
      <c r="D751" s="6" t="str">
        <f>Database!H749</f>
        <v>#N/A</v>
      </c>
    </row>
    <row r="752" ht="22.5" customHeight="1">
      <c r="A752" s="38" t="s">
        <v>2029</v>
      </c>
      <c r="B752" s="39">
        <v>275.235</v>
      </c>
      <c r="C752" s="39">
        <v>85.98</v>
      </c>
      <c r="D752" s="6" t="str">
        <f>Database!H750</f>
        <v>#N/A</v>
      </c>
    </row>
    <row r="753" ht="22.5" customHeight="1">
      <c r="A753" s="38" t="s">
        <v>2030</v>
      </c>
      <c r="B753" s="39">
        <v>141.86</v>
      </c>
      <c r="C753" s="39">
        <v>133.4</v>
      </c>
      <c r="D753" s="6" t="str">
        <f>Database!H751</f>
        <v>#N/A</v>
      </c>
    </row>
    <row r="754" ht="22.5" customHeight="1">
      <c r="A754" s="38" t="s">
        <v>2031</v>
      </c>
      <c r="B754" s="39">
        <v>227.88</v>
      </c>
      <c r="C754" s="39">
        <v>234.34</v>
      </c>
      <c r="D754" s="6" t="str">
        <f>Database!H752</f>
        <v>#N/A</v>
      </c>
    </row>
    <row r="755" ht="22.5" customHeight="1">
      <c r="A755" s="38" t="s">
        <v>2032</v>
      </c>
      <c r="B755" s="39">
        <v>147.76</v>
      </c>
      <c r="C755" s="39">
        <v>107.74</v>
      </c>
      <c r="D755" s="6" t="str">
        <f>Database!H753</f>
        <v>#N/A</v>
      </c>
    </row>
    <row r="756" ht="22.5" customHeight="1">
      <c r="A756" s="38" t="s">
        <v>2033</v>
      </c>
      <c r="B756" s="39">
        <v>139.21</v>
      </c>
      <c r="C756" s="39">
        <v>147.37</v>
      </c>
      <c r="D756" s="6" t="str">
        <f>Database!H754</f>
        <v>#N/A</v>
      </c>
    </row>
    <row r="757" ht="22.5" customHeight="1">
      <c r="A757" s="38" t="s">
        <v>2034</v>
      </c>
      <c r="B757" s="39">
        <v>147.46</v>
      </c>
      <c r="C757" s="39">
        <v>72.89</v>
      </c>
      <c r="D757" s="6" t="str">
        <f>Database!H755</f>
        <v>#N/A</v>
      </c>
    </row>
    <row r="758" ht="22.5" customHeight="1">
      <c r="A758" s="38" t="s">
        <v>2035</v>
      </c>
      <c r="B758" s="39">
        <v>139.03</v>
      </c>
      <c r="C758" s="39">
        <v>104.48</v>
      </c>
      <c r="D758" s="6" t="str">
        <f>Database!H756</f>
        <v>#N/A</v>
      </c>
    </row>
    <row r="759" ht="22.5" customHeight="1">
      <c r="A759" s="38" t="s">
        <v>2036</v>
      </c>
      <c r="B759" s="39">
        <v>244.35</v>
      </c>
      <c r="C759" s="39">
        <v>91.89</v>
      </c>
      <c r="D759" s="6" t="str">
        <f>Database!H757</f>
        <v>#N/A</v>
      </c>
    </row>
    <row r="760" ht="22.5" customHeight="1">
      <c r="A760" s="38" t="s">
        <v>2037</v>
      </c>
      <c r="B760" s="39">
        <v>147.43</v>
      </c>
      <c r="C760" s="39">
        <v>147.37</v>
      </c>
      <c r="D760" s="6" t="str">
        <f>Database!H758</f>
        <v>#N/A</v>
      </c>
    </row>
    <row r="761" ht="22.5" customHeight="1">
      <c r="A761" s="38" t="s">
        <v>2038</v>
      </c>
      <c r="B761" s="39">
        <v>341.26</v>
      </c>
      <c r="C761" s="39">
        <v>114.77</v>
      </c>
      <c r="D761" s="6" t="str">
        <f>Database!H759</f>
        <v>#N/A</v>
      </c>
    </row>
    <row r="762" ht="22.5" customHeight="1">
      <c r="A762" s="38" t="s">
        <v>2039</v>
      </c>
      <c r="B762" s="39">
        <v>316.02</v>
      </c>
      <c r="C762" s="39">
        <v>92.475</v>
      </c>
      <c r="D762" s="6" t="str">
        <f>Database!H760</f>
        <v>#N/A</v>
      </c>
    </row>
    <row r="763" ht="22.5" customHeight="1">
      <c r="A763" s="38" t="s">
        <v>2040</v>
      </c>
      <c r="B763" s="39">
        <v>156.06</v>
      </c>
      <c r="C763" s="39">
        <v>87.745</v>
      </c>
      <c r="D763" s="6" t="str">
        <f>Database!H761</f>
        <v>#N/A</v>
      </c>
    </row>
    <row r="764" ht="22.5" customHeight="1">
      <c r="A764" s="38" t="s">
        <v>2041</v>
      </c>
      <c r="B764" s="39">
        <v>253.04</v>
      </c>
      <c r="C764" s="39">
        <v>126.07</v>
      </c>
      <c r="D764" s="6" t="str">
        <f>Database!H762</f>
        <v>#N/A</v>
      </c>
    </row>
    <row r="765" ht="22.5" customHeight="1">
      <c r="A765" s="38" t="s">
        <v>2042</v>
      </c>
      <c r="B765" s="39">
        <v>330.22</v>
      </c>
      <c r="C765" s="39">
        <v>116.54</v>
      </c>
      <c r="D765" s="6" t="str">
        <f>Database!H763</f>
        <v>#N/A</v>
      </c>
    </row>
    <row r="766" ht="22.5" customHeight="1">
      <c r="A766" s="38" t="s">
        <v>2043</v>
      </c>
      <c r="B766" s="39">
        <v>188.88</v>
      </c>
      <c r="C766" s="39">
        <v>157.43</v>
      </c>
      <c r="D766" s="6" t="str">
        <f>Database!H764</f>
        <v>#N/A</v>
      </c>
    </row>
    <row r="767" ht="22.5" customHeight="1">
      <c r="A767" s="38" t="s">
        <v>2044</v>
      </c>
      <c r="B767" s="39">
        <v>189.51</v>
      </c>
      <c r="C767" s="39">
        <v>103.865</v>
      </c>
      <c r="D767" s="6" t="str">
        <f>Database!H765</f>
        <v>#N/A</v>
      </c>
    </row>
    <row r="768" ht="22.5" customHeight="1">
      <c r="A768" s="38" t="s">
        <v>2045</v>
      </c>
      <c r="B768" s="39">
        <v>256.39</v>
      </c>
      <c r="C768" s="39">
        <v>92.01</v>
      </c>
      <c r="D768" s="6" t="str">
        <f>Database!H766</f>
        <v>#N/A</v>
      </c>
    </row>
    <row r="769" ht="22.5" customHeight="1">
      <c r="A769" s="38" t="s">
        <v>2046</v>
      </c>
      <c r="B769" s="39">
        <v>158.92</v>
      </c>
      <c r="C769" s="39">
        <v>84.0</v>
      </c>
      <c r="D769" s="6" t="str">
        <f>Database!H767</f>
        <v>#N/A</v>
      </c>
    </row>
    <row r="770" ht="22.5" customHeight="1">
      <c r="A770" s="38" t="s">
        <v>2047</v>
      </c>
      <c r="B770" s="39">
        <v>234.94</v>
      </c>
      <c r="C770" s="39">
        <v>92.555</v>
      </c>
      <c r="D770" s="6" t="str">
        <f>Database!H768</f>
        <v>#N/A</v>
      </c>
    </row>
    <row r="771" ht="22.5" customHeight="1">
      <c r="A771" s="38" t="s">
        <v>2048</v>
      </c>
      <c r="B771" s="39">
        <v>321.255</v>
      </c>
      <c r="C771" s="39">
        <v>93.12</v>
      </c>
      <c r="D771" s="6" t="str">
        <f>Database!H769</f>
        <v>#N/A</v>
      </c>
    </row>
    <row r="772" ht="22.5" customHeight="1">
      <c r="A772" s="38" t="s">
        <v>2049</v>
      </c>
      <c r="B772" s="39">
        <v>186.555</v>
      </c>
      <c r="C772" s="39">
        <v>139.1</v>
      </c>
      <c r="D772" s="6" t="str">
        <f>Database!H770</f>
        <v>#N/A</v>
      </c>
    </row>
    <row r="773" ht="22.5" customHeight="1">
      <c r="A773" s="38" t="s">
        <v>2050</v>
      </c>
      <c r="B773" s="39">
        <v>236.31</v>
      </c>
      <c r="C773" s="39">
        <v>102.605</v>
      </c>
      <c r="D773" s="6" t="str">
        <f>Database!H771</f>
        <v>#N/A</v>
      </c>
    </row>
    <row r="774" ht="22.5" customHeight="1">
      <c r="A774" s="38" t="s">
        <v>2051</v>
      </c>
      <c r="B774" s="39">
        <v>203.88</v>
      </c>
      <c r="C774" s="39">
        <v>154.78</v>
      </c>
      <c r="D774" s="6" t="str">
        <f>Database!H772</f>
        <v>#N/A</v>
      </c>
    </row>
    <row r="775" ht="22.5" customHeight="1">
      <c r="A775" s="38" t="s">
        <v>2052</v>
      </c>
      <c r="B775" s="39">
        <v>193.83</v>
      </c>
      <c r="C775" s="39">
        <v>147.38</v>
      </c>
      <c r="D775" s="6" t="str">
        <f>Database!H773</f>
        <v>#N/A</v>
      </c>
    </row>
    <row r="776" ht="22.5" customHeight="1">
      <c r="A776" s="38" t="s">
        <v>2053</v>
      </c>
      <c r="B776" s="39">
        <v>276.82</v>
      </c>
      <c r="C776" s="39">
        <v>110.69</v>
      </c>
      <c r="D776" s="6" t="str">
        <f>Database!H774</f>
        <v>#N/A</v>
      </c>
    </row>
    <row r="777" ht="22.5" customHeight="1">
      <c r="A777" s="38" t="s">
        <v>2054</v>
      </c>
      <c r="B777" s="39">
        <v>259.175</v>
      </c>
      <c r="C777" s="39">
        <v>91.71</v>
      </c>
      <c r="D777" s="6" t="str">
        <f>Database!H775</f>
        <v>#N/A</v>
      </c>
    </row>
    <row r="778" ht="22.5" customHeight="1">
      <c r="A778" s="38" t="s">
        <v>2055</v>
      </c>
      <c r="B778" s="39">
        <v>293.04</v>
      </c>
      <c r="C778" s="39">
        <v>81.08</v>
      </c>
      <c r="D778" s="6" t="str">
        <f>Database!H776</f>
        <v>#N/A</v>
      </c>
    </row>
    <row r="779" ht="22.5" customHeight="1">
      <c r="A779" s="38" t="s">
        <v>2056</v>
      </c>
      <c r="B779" s="39">
        <v>196.24</v>
      </c>
      <c r="C779" s="39">
        <v>147.37</v>
      </c>
      <c r="D779" s="6" t="str">
        <f>Database!H777</f>
        <v>#N/A</v>
      </c>
    </row>
    <row r="780" ht="22.5" customHeight="1">
      <c r="A780" s="38" t="s">
        <v>2057</v>
      </c>
      <c r="B780" s="39">
        <v>327.31</v>
      </c>
      <c r="C780" s="39">
        <v>84.53</v>
      </c>
      <c r="D780" s="6" t="str">
        <f>Database!H778</f>
        <v>#N/A</v>
      </c>
    </row>
    <row r="781" ht="22.5" customHeight="1">
      <c r="A781" s="38" t="s">
        <v>2058</v>
      </c>
      <c r="B781" s="39">
        <v>271.0</v>
      </c>
      <c r="C781" s="39">
        <v>230.37</v>
      </c>
      <c r="D781" s="6" t="str">
        <f>Database!H779</f>
        <v>#N/A</v>
      </c>
    </row>
    <row r="782" ht="22.5" customHeight="1">
      <c r="A782" s="38" t="s">
        <v>2059</v>
      </c>
      <c r="B782" s="39">
        <v>195.74</v>
      </c>
      <c r="C782" s="39">
        <v>138.43</v>
      </c>
      <c r="D782" s="6" t="str">
        <f>Database!H780</f>
        <v>#N/A</v>
      </c>
    </row>
    <row r="783" ht="22.5" customHeight="1">
      <c r="A783" s="38" t="s">
        <v>2060</v>
      </c>
      <c r="B783" s="39">
        <v>256.08</v>
      </c>
      <c r="C783" s="39">
        <v>187.91</v>
      </c>
      <c r="D783" s="6" t="str">
        <f>Database!H781</f>
        <v>#N/A</v>
      </c>
    </row>
    <row r="784" ht="22.5" customHeight="1">
      <c r="A784" s="38" t="s">
        <v>2061</v>
      </c>
      <c r="B784" s="39">
        <v>334.97</v>
      </c>
      <c r="C784" s="39">
        <v>72.76</v>
      </c>
      <c r="D784" s="6" t="str">
        <f>Database!H782</f>
        <v>#N/A</v>
      </c>
    </row>
    <row r="785" ht="22.5" customHeight="1">
      <c r="A785" s="38" t="s">
        <v>2062</v>
      </c>
      <c r="B785" s="39">
        <v>172.95</v>
      </c>
      <c r="C785" s="39">
        <v>146.215</v>
      </c>
      <c r="D785" s="6" t="str">
        <f>Database!H783</f>
        <v>#N/A</v>
      </c>
    </row>
    <row r="786" ht="22.5" customHeight="1">
      <c r="A786" s="38" t="s">
        <v>2063</v>
      </c>
      <c r="B786" s="39">
        <v>204.64</v>
      </c>
      <c r="C786" s="39">
        <v>232.75</v>
      </c>
      <c r="D786" s="6" t="str">
        <f>Database!H784</f>
        <v>#N/A</v>
      </c>
    </row>
    <row r="787" ht="22.5" customHeight="1">
      <c r="A787" s="38" t="s">
        <v>2064</v>
      </c>
      <c r="B787" s="39">
        <v>207.83</v>
      </c>
      <c r="C787" s="39">
        <v>138.97</v>
      </c>
      <c r="D787" s="6" t="str">
        <f>Database!H785</f>
        <v>#N/A</v>
      </c>
    </row>
    <row r="788" ht="22.5" customHeight="1">
      <c r="A788" s="38" t="s">
        <v>2065</v>
      </c>
      <c r="B788" s="39">
        <v>181.94</v>
      </c>
      <c r="C788" s="39">
        <v>138.98</v>
      </c>
      <c r="D788" s="6" t="str">
        <f>Database!H786</f>
        <v>#N/A</v>
      </c>
    </row>
    <row r="789" ht="22.5" customHeight="1">
      <c r="A789" s="38" t="s">
        <v>2066</v>
      </c>
      <c r="B789" s="39">
        <v>203.87</v>
      </c>
      <c r="C789" s="39">
        <v>98.65</v>
      </c>
      <c r="D789" s="6" t="str">
        <f>Database!H787</f>
        <v>#N/A</v>
      </c>
    </row>
    <row r="790" ht="22.5" customHeight="1">
      <c r="A790" s="38" t="s">
        <v>2067</v>
      </c>
      <c r="B790" s="39">
        <v>276.72</v>
      </c>
      <c r="C790" s="39">
        <v>261.71</v>
      </c>
      <c r="D790" s="6" t="str">
        <f>Database!H788</f>
        <v>#N/A</v>
      </c>
    </row>
    <row r="791" ht="22.5" customHeight="1">
      <c r="A791" s="38" t="s">
        <v>2068</v>
      </c>
      <c r="B791" s="39">
        <v>184.3</v>
      </c>
      <c r="C791" s="39">
        <v>72.85</v>
      </c>
      <c r="D791" s="6" t="str">
        <f>Database!H789</f>
        <v>#N/A</v>
      </c>
    </row>
    <row r="792" ht="22.5" customHeight="1">
      <c r="A792" s="38" t="s">
        <v>2069</v>
      </c>
      <c r="B792" s="39">
        <v>316.925</v>
      </c>
      <c r="C792" s="39">
        <v>236.26</v>
      </c>
      <c r="D792" s="6" t="str">
        <f>Database!H790</f>
        <v>#N/A</v>
      </c>
    </row>
    <row r="793" ht="22.5" customHeight="1">
      <c r="A793" s="38" t="s">
        <v>2070</v>
      </c>
      <c r="B793" s="39">
        <v>174.6</v>
      </c>
      <c r="C793" s="39">
        <v>111.25</v>
      </c>
      <c r="D793" s="6" t="str">
        <f>Database!H791</f>
        <v>#N/A</v>
      </c>
    </row>
    <row r="794" ht="22.5" customHeight="1">
      <c r="A794" s="38" t="s">
        <v>2071</v>
      </c>
      <c r="B794" s="39">
        <v>178.39</v>
      </c>
      <c r="C794" s="39">
        <v>160.94</v>
      </c>
      <c r="D794" s="6" t="str">
        <f>Database!H792</f>
        <v>#N/A</v>
      </c>
    </row>
    <row r="795" ht="22.5" customHeight="1">
      <c r="A795" s="38" t="s">
        <v>2072</v>
      </c>
      <c r="B795" s="39">
        <v>330.16</v>
      </c>
      <c r="C795" s="39">
        <v>83.14</v>
      </c>
      <c r="D795" s="6" t="str">
        <f>Database!H793</f>
        <v>#N/A</v>
      </c>
    </row>
    <row r="796" ht="22.5" customHeight="1">
      <c r="A796" s="38" t="s">
        <v>2073</v>
      </c>
      <c r="B796" s="39">
        <v>388.21</v>
      </c>
      <c r="C796" s="39">
        <v>95.07</v>
      </c>
      <c r="D796" s="6" t="str">
        <f>Database!H794</f>
        <v>#N/A</v>
      </c>
    </row>
    <row r="797" ht="22.5" customHeight="1">
      <c r="A797" s="38" t="s">
        <v>2074</v>
      </c>
      <c r="B797" s="39">
        <v>288.84</v>
      </c>
      <c r="C797" s="39">
        <v>98.09</v>
      </c>
      <c r="D797" s="6" t="str">
        <f>Database!H795</f>
        <v>#N/A</v>
      </c>
    </row>
    <row r="798" ht="22.5" customHeight="1">
      <c r="A798" s="38" t="s">
        <v>2075</v>
      </c>
      <c r="B798" s="39">
        <v>181.85</v>
      </c>
      <c r="C798" s="39">
        <v>83.03</v>
      </c>
      <c r="D798" s="6" t="str">
        <f>Database!H796</f>
        <v>#N/A</v>
      </c>
    </row>
    <row r="799" ht="22.5" customHeight="1">
      <c r="A799" s="38" t="s">
        <v>2076</v>
      </c>
      <c r="B799" s="39">
        <v>220.36</v>
      </c>
      <c r="C799" s="39">
        <v>83.28</v>
      </c>
      <c r="D799" s="6" t="str">
        <f>Database!H797</f>
        <v>#N/A</v>
      </c>
    </row>
    <row r="800" ht="22.5" customHeight="1">
      <c r="A800" s="38" t="s">
        <v>2077</v>
      </c>
      <c r="B800" s="39">
        <v>260.59</v>
      </c>
      <c r="C800" s="39">
        <v>207.81</v>
      </c>
      <c r="D800" s="6" t="str">
        <f>Database!H798</f>
        <v>#N/A</v>
      </c>
    </row>
    <row r="801" ht="22.5" customHeight="1">
      <c r="A801" s="38" t="s">
        <v>2078</v>
      </c>
      <c r="B801" s="39">
        <v>177.9</v>
      </c>
      <c r="C801" s="39">
        <v>147.37</v>
      </c>
      <c r="D801" s="6" t="str">
        <f>Database!H799</f>
        <v>#N/A</v>
      </c>
    </row>
    <row r="802" ht="22.5" customHeight="1">
      <c r="A802" s="38" t="s">
        <v>2079</v>
      </c>
      <c r="B802" s="39">
        <v>292.865</v>
      </c>
      <c r="C802" s="39">
        <v>86.02</v>
      </c>
      <c r="D802" s="6" t="str">
        <f>Database!H800</f>
        <v>#N/A</v>
      </c>
    </row>
    <row r="803" ht="22.5" customHeight="1">
      <c r="A803" s="38" t="s">
        <v>2080</v>
      </c>
      <c r="B803" s="39">
        <v>286.52</v>
      </c>
      <c r="C803" s="39">
        <v>116.79</v>
      </c>
      <c r="D803" s="6" t="str">
        <f>Database!H801</f>
        <v>#N/A</v>
      </c>
    </row>
    <row r="804" ht="22.5" customHeight="1">
      <c r="A804" s="38" t="s">
        <v>2081</v>
      </c>
      <c r="B804" s="39">
        <v>312.48</v>
      </c>
      <c r="C804" s="39">
        <v>234.17</v>
      </c>
      <c r="D804" s="6" t="str">
        <f>Database!H802</f>
        <v>#N/A</v>
      </c>
    </row>
    <row r="805" ht="22.5" customHeight="1">
      <c r="A805" s="38" t="s">
        <v>2082</v>
      </c>
      <c r="B805" s="39">
        <v>196.15</v>
      </c>
      <c r="C805" s="39">
        <v>117.32</v>
      </c>
      <c r="D805" s="6" t="str">
        <f>Database!H803</f>
        <v>#N/A</v>
      </c>
    </row>
    <row r="806" ht="22.5" customHeight="1">
      <c r="A806" s="38" t="s">
        <v>2083</v>
      </c>
      <c r="B806" s="39">
        <v>276.7</v>
      </c>
      <c r="C806" s="39">
        <v>104.51</v>
      </c>
      <c r="D806" s="6" t="str">
        <f>Database!H804</f>
        <v>#N/A</v>
      </c>
    </row>
    <row r="807" ht="22.5" customHeight="1">
      <c r="A807" s="38" t="s">
        <v>2084</v>
      </c>
      <c r="B807" s="39">
        <v>315.88</v>
      </c>
      <c r="C807" s="39">
        <v>232.78</v>
      </c>
      <c r="D807" s="6" t="str">
        <f>Database!H805</f>
        <v>#N/A</v>
      </c>
    </row>
    <row r="808" ht="22.5" customHeight="1">
      <c r="A808" s="38" t="s">
        <v>2085</v>
      </c>
      <c r="B808" s="39">
        <v>209.95</v>
      </c>
      <c r="C808" s="39">
        <v>139.16</v>
      </c>
      <c r="D808" s="6" t="str">
        <f>Database!H806</f>
        <v>#N/A</v>
      </c>
    </row>
    <row r="809" ht="22.5" customHeight="1">
      <c r="A809" s="38" t="s">
        <v>2086</v>
      </c>
      <c r="B809" s="39">
        <v>233.12</v>
      </c>
      <c r="C809" s="39">
        <v>328.6</v>
      </c>
      <c r="D809" s="6" t="str">
        <f>Database!H807</f>
        <v>#N/A</v>
      </c>
    </row>
    <row r="810" ht="22.5" customHeight="1">
      <c r="A810" s="38" t="s">
        <v>2087</v>
      </c>
      <c r="B810" s="39">
        <v>316.35</v>
      </c>
      <c r="C810" s="39">
        <v>92.44</v>
      </c>
      <c r="D810" s="6" t="str">
        <f>Database!H808</f>
        <v>#N/A</v>
      </c>
    </row>
    <row r="811" ht="22.5" customHeight="1">
      <c r="A811" s="38" t="s">
        <v>2088</v>
      </c>
      <c r="B811" s="39">
        <v>192.32</v>
      </c>
      <c r="C811" s="39">
        <v>198.31</v>
      </c>
      <c r="D811" s="6" t="str">
        <f>Database!H809</f>
        <v>#N/A</v>
      </c>
    </row>
    <row r="812" ht="22.5" customHeight="1">
      <c r="A812" s="38" t="s">
        <v>2089</v>
      </c>
      <c r="B812" s="39">
        <v>393.87</v>
      </c>
      <c r="C812" s="39">
        <v>199.665</v>
      </c>
      <c r="D812" s="6" t="str">
        <f>Database!H810</f>
        <v>#N/A</v>
      </c>
    </row>
    <row r="813" ht="22.5" customHeight="1">
      <c r="A813" s="38" t="s">
        <v>2090</v>
      </c>
      <c r="B813" s="39">
        <v>241.96</v>
      </c>
      <c r="C813" s="39">
        <v>98.75</v>
      </c>
      <c r="D813" s="6" t="str">
        <f>Database!H811</f>
        <v>#N/A</v>
      </c>
    </row>
    <row r="814" ht="22.5" customHeight="1">
      <c r="A814" s="38" t="s">
        <v>2091</v>
      </c>
      <c r="B814" s="39">
        <v>397.57</v>
      </c>
      <c r="C814" s="39">
        <v>437.52</v>
      </c>
      <c r="D814" s="6" t="str">
        <f>Database!H812</f>
        <v>#N/A</v>
      </c>
    </row>
    <row r="815" ht="22.5" customHeight="1">
      <c r="A815" s="38" t="s">
        <v>2092</v>
      </c>
      <c r="B815" s="39">
        <v>217.33</v>
      </c>
      <c r="C815" s="39">
        <v>93.2</v>
      </c>
      <c r="D815" s="6" t="str">
        <f>Database!H813</f>
        <v>#N/A</v>
      </c>
    </row>
    <row r="816" ht="22.5" customHeight="1">
      <c r="A816" s="38" t="s">
        <v>2093</v>
      </c>
      <c r="B816" s="39">
        <v>395.63</v>
      </c>
      <c r="C816" s="39">
        <v>140.86</v>
      </c>
      <c r="D816" s="6" t="str">
        <f>Database!H814</f>
        <v>#N/A</v>
      </c>
    </row>
    <row r="817" ht="22.5" customHeight="1">
      <c r="A817" s="38" t="s">
        <v>2094</v>
      </c>
      <c r="B817" s="39">
        <v>322.98</v>
      </c>
      <c r="C817" s="39">
        <v>115.395</v>
      </c>
      <c r="D817" s="6" t="str">
        <f>Database!H815</f>
        <v>#N/A</v>
      </c>
    </row>
    <row r="818" ht="22.5" customHeight="1">
      <c r="A818" s="38" t="s">
        <v>2095</v>
      </c>
      <c r="B818" s="39">
        <v>173.26</v>
      </c>
      <c r="C818" s="39">
        <v>293.02</v>
      </c>
      <c r="D818" s="6" t="str">
        <f>Database!H816</f>
        <v>#N/A</v>
      </c>
    </row>
    <row r="819" ht="22.5" customHeight="1">
      <c r="A819" s="38" t="s">
        <v>2096</v>
      </c>
      <c r="B819" s="39">
        <v>258.12</v>
      </c>
      <c r="C819" s="39">
        <v>193.68</v>
      </c>
      <c r="D819" s="6" t="str">
        <f>Database!H817</f>
        <v>#N/A</v>
      </c>
    </row>
    <row r="820" ht="22.5" customHeight="1">
      <c r="A820" s="38" t="s">
        <v>2097</v>
      </c>
      <c r="B820" s="39">
        <v>156.02</v>
      </c>
      <c r="C820" s="39">
        <v>87.6</v>
      </c>
      <c r="D820" s="6" t="str">
        <f>Database!H818</f>
        <v>#N/A</v>
      </c>
    </row>
    <row r="821" ht="22.5" customHeight="1">
      <c r="A821" s="38" t="s">
        <v>2098</v>
      </c>
      <c r="B821" s="39">
        <v>244.6</v>
      </c>
      <c r="C821" s="39">
        <v>147.35</v>
      </c>
      <c r="D821" s="6" t="str">
        <f>Database!H819</f>
        <v>#N/A</v>
      </c>
    </row>
    <row r="822" ht="22.5" customHeight="1">
      <c r="A822" s="38" t="s">
        <v>2099</v>
      </c>
      <c r="B822" s="39">
        <v>446.98</v>
      </c>
      <c r="C822" s="39">
        <v>80.31</v>
      </c>
      <c r="D822" s="6" t="str">
        <f>Database!H820</f>
        <v>#N/A</v>
      </c>
    </row>
    <row r="823" ht="22.5" customHeight="1">
      <c r="A823" s="38" t="s">
        <v>2100</v>
      </c>
      <c r="B823" s="39">
        <v>255.03</v>
      </c>
      <c r="C823" s="39">
        <v>260.58</v>
      </c>
      <c r="D823" s="6" t="str">
        <f>Database!H821</f>
        <v>#N/A</v>
      </c>
    </row>
    <row r="824" ht="22.5" customHeight="1">
      <c r="A824" s="38" t="s">
        <v>2101</v>
      </c>
      <c r="B824" s="39">
        <v>196.01</v>
      </c>
      <c r="C824" s="39">
        <v>147.38</v>
      </c>
      <c r="D824" s="6" t="str">
        <f>Database!H822</f>
        <v>#N/A</v>
      </c>
    </row>
    <row r="825" ht="22.5" customHeight="1">
      <c r="A825" s="38" t="s">
        <v>2102</v>
      </c>
      <c r="B825" s="39">
        <v>243.94</v>
      </c>
      <c r="C825" s="39">
        <v>96.29</v>
      </c>
      <c r="D825" s="6" t="str">
        <f>Database!H823</f>
        <v>#N/A</v>
      </c>
    </row>
    <row r="826" ht="22.5" customHeight="1">
      <c r="A826" s="38" t="s">
        <v>2103</v>
      </c>
      <c r="B826" s="39">
        <v>276.57</v>
      </c>
      <c r="C826" s="39">
        <v>110.51</v>
      </c>
      <c r="D826" s="6" t="str">
        <f>Database!H824</f>
        <v>#N/A</v>
      </c>
    </row>
    <row r="827" ht="22.5" customHeight="1">
      <c r="A827" s="38" t="s">
        <v>2104</v>
      </c>
      <c r="B827" s="39">
        <v>242.205</v>
      </c>
      <c r="C827" s="39">
        <v>240.135</v>
      </c>
      <c r="D827" s="6" t="str">
        <f>Database!H825</f>
        <v>#N/A</v>
      </c>
    </row>
    <row r="828" ht="22.5" customHeight="1">
      <c r="A828" s="38" t="s">
        <v>2105</v>
      </c>
      <c r="B828" s="39">
        <v>254.84</v>
      </c>
      <c r="C828" s="39">
        <v>78.51</v>
      </c>
      <c r="D828" s="6" t="str">
        <f>Database!H826</f>
        <v>#N/A</v>
      </c>
    </row>
    <row r="829" ht="22.5" customHeight="1">
      <c r="A829" s="38" t="s">
        <v>2106</v>
      </c>
      <c r="B829" s="39">
        <v>220.09</v>
      </c>
      <c r="C829" s="39">
        <v>174.89</v>
      </c>
      <c r="D829" s="6" t="str">
        <f>Database!H827</f>
        <v>#N/A</v>
      </c>
    </row>
    <row r="830" ht="22.5" customHeight="1">
      <c r="A830" s="38" t="s">
        <v>2107</v>
      </c>
      <c r="B830" s="39">
        <v>347.45</v>
      </c>
      <c r="C830" s="39">
        <v>91.7</v>
      </c>
      <c r="D830" s="6" t="str">
        <f>Database!H828</f>
        <v>#N/A</v>
      </c>
    </row>
    <row r="831" ht="22.5" customHeight="1">
      <c r="A831" s="38" t="s">
        <v>2108</v>
      </c>
      <c r="B831" s="39">
        <v>334.92</v>
      </c>
      <c r="C831" s="39">
        <v>83.14</v>
      </c>
      <c r="D831" s="6" t="str">
        <f>Database!H829</f>
        <v>#N/A</v>
      </c>
    </row>
    <row r="832" ht="22.5" customHeight="1">
      <c r="A832" s="38" t="s">
        <v>2109</v>
      </c>
      <c r="B832" s="39">
        <v>489.04</v>
      </c>
      <c r="C832" s="39">
        <v>107.74</v>
      </c>
      <c r="D832" s="6" t="str">
        <f>Database!H830</f>
        <v>#N/A</v>
      </c>
    </row>
    <row r="833" ht="22.5" customHeight="1">
      <c r="A833" s="38" t="s">
        <v>2110</v>
      </c>
      <c r="B833" s="39">
        <v>347.96</v>
      </c>
      <c r="C833" s="39">
        <v>138.66</v>
      </c>
      <c r="D833" s="6" t="str">
        <f>Database!H831</f>
        <v>#N/A</v>
      </c>
    </row>
    <row r="834" ht="22.5" customHeight="1">
      <c r="A834" s="38" t="s">
        <v>2111</v>
      </c>
      <c r="B834" s="39">
        <v>207.82</v>
      </c>
      <c r="C834" s="39">
        <v>86.98</v>
      </c>
      <c r="D834" s="6" t="str">
        <f>Database!H832</f>
        <v>#N/A</v>
      </c>
    </row>
    <row r="835" ht="22.5" customHeight="1">
      <c r="A835" s="38" t="s">
        <v>2112</v>
      </c>
      <c r="B835" s="39">
        <v>332.19</v>
      </c>
      <c r="C835" s="39">
        <v>322.9</v>
      </c>
      <c r="D835" s="6" t="str">
        <f>Database!H833</f>
        <v>#N/A</v>
      </c>
    </row>
    <row r="836" ht="22.5" customHeight="1">
      <c r="A836" s="38" t="s">
        <v>2113</v>
      </c>
      <c r="B836" s="39">
        <v>194.26</v>
      </c>
      <c r="C836" s="39">
        <v>156.04</v>
      </c>
      <c r="D836" s="6" t="str">
        <f>Database!H834</f>
        <v>#N/A</v>
      </c>
    </row>
    <row r="837" ht="22.5" customHeight="1">
      <c r="A837" s="38" t="s">
        <v>2114</v>
      </c>
      <c r="B837" s="39">
        <v>139.17</v>
      </c>
      <c r="C837" s="39">
        <v>139.17</v>
      </c>
      <c r="D837" s="6" t="str">
        <f>Database!H835</f>
        <v>#N/A</v>
      </c>
    </row>
    <row r="838" ht="22.5" customHeight="1">
      <c r="A838" s="38" t="s">
        <v>2115</v>
      </c>
      <c r="B838" s="39">
        <v>347.97</v>
      </c>
      <c r="C838" s="39">
        <v>310.3</v>
      </c>
      <c r="D838" s="6" t="str">
        <f>Database!H836</f>
        <v>#N/A</v>
      </c>
    </row>
    <row r="839" ht="22.5" customHeight="1">
      <c r="A839" s="38" t="s">
        <v>2116</v>
      </c>
      <c r="B839" s="39">
        <v>303.88</v>
      </c>
      <c r="C839" s="39">
        <v>86.61</v>
      </c>
      <c r="D839" s="6" t="str">
        <f>Database!H837</f>
        <v>#N/A</v>
      </c>
    </row>
    <row r="840" ht="22.5" customHeight="1">
      <c r="A840" s="38" t="s">
        <v>2117</v>
      </c>
      <c r="B840" s="39">
        <v>235.51</v>
      </c>
      <c r="C840" s="39">
        <v>237.09</v>
      </c>
      <c r="D840" s="6" t="str">
        <f>Database!H838</f>
        <v>#N/A</v>
      </c>
    </row>
    <row r="841" ht="22.5" customHeight="1">
      <c r="A841" s="38" t="s">
        <v>2118</v>
      </c>
      <c r="B841" s="39">
        <v>136.25</v>
      </c>
      <c r="C841" s="39">
        <v>78.71</v>
      </c>
      <c r="D841" s="6" t="str">
        <f>Database!H839</f>
        <v>#N/A</v>
      </c>
    </row>
    <row r="842" ht="22.5" customHeight="1">
      <c r="A842" s="38" t="s">
        <v>2119</v>
      </c>
      <c r="B842" s="39">
        <v>192.66</v>
      </c>
      <c r="C842" s="39">
        <v>196.22</v>
      </c>
      <c r="D842" s="6" t="str">
        <f>Database!H840</f>
        <v>#N/A</v>
      </c>
    </row>
    <row r="843" ht="22.5" customHeight="1">
      <c r="A843" s="38" t="s">
        <v>2120</v>
      </c>
      <c r="B843" s="39">
        <v>223.15</v>
      </c>
      <c r="C843" s="39">
        <v>79.55</v>
      </c>
      <c r="D843" s="6" t="str">
        <f>Database!H841</f>
        <v>#N/A</v>
      </c>
    </row>
    <row r="844" ht="22.5" customHeight="1">
      <c r="A844" s="38" t="s">
        <v>2121</v>
      </c>
      <c r="B844" s="39">
        <v>207.46</v>
      </c>
      <c r="C844" s="39">
        <v>84.62</v>
      </c>
      <c r="D844" s="6" t="str">
        <f>Database!H842</f>
        <v>#N/A</v>
      </c>
    </row>
    <row r="845" ht="22.5" customHeight="1">
      <c r="A845" s="38" t="s">
        <v>2122</v>
      </c>
      <c r="B845" s="39">
        <v>174.82</v>
      </c>
      <c r="C845" s="39">
        <v>139.17</v>
      </c>
      <c r="D845" s="6" t="str">
        <f>Database!H843</f>
        <v>#N/A</v>
      </c>
    </row>
    <row r="846" ht="22.5" customHeight="1">
      <c r="A846" s="38" t="s">
        <v>2123</v>
      </c>
      <c r="B846" s="39">
        <v>246.42</v>
      </c>
      <c r="C846" s="39">
        <v>233.02</v>
      </c>
      <c r="D846" s="6" t="str">
        <f>Database!H844</f>
        <v>#N/A</v>
      </c>
    </row>
    <row r="847" ht="22.5" customHeight="1">
      <c r="A847" s="38" t="s">
        <v>2124</v>
      </c>
      <c r="B847" s="39">
        <v>192.31</v>
      </c>
      <c r="C847" s="39">
        <v>147.37</v>
      </c>
      <c r="D847" s="6" t="str">
        <f>Database!H845</f>
        <v>#N/A</v>
      </c>
    </row>
    <row r="848" ht="22.5" customHeight="1">
      <c r="A848" s="38" t="s">
        <v>2125</v>
      </c>
      <c r="B848" s="39">
        <v>255.265</v>
      </c>
      <c r="C848" s="39">
        <v>242.17</v>
      </c>
      <c r="D848" s="6" t="str">
        <f>Database!H846</f>
        <v>#N/A</v>
      </c>
    </row>
    <row r="849" ht="22.5" customHeight="1">
      <c r="A849" s="38" t="s">
        <v>2126</v>
      </c>
      <c r="B849" s="39">
        <v>260.44</v>
      </c>
      <c r="C849" s="39">
        <v>104.55</v>
      </c>
      <c r="D849" s="6" t="str">
        <f>Database!H847</f>
        <v>#N/A</v>
      </c>
    </row>
    <row r="850" ht="22.5" customHeight="1">
      <c r="A850" s="38" t="s">
        <v>2127</v>
      </c>
      <c r="B850" s="39">
        <v>275.39</v>
      </c>
      <c r="C850" s="39">
        <v>220.05</v>
      </c>
      <c r="D850" s="6" t="str">
        <f>Database!H848</f>
        <v>#N/A</v>
      </c>
    </row>
    <row r="851" ht="22.5" customHeight="1">
      <c r="A851" s="38" t="s">
        <v>2128</v>
      </c>
      <c r="B851" s="39">
        <v>198.67</v>
      </c>
      <c r="C851" s="39">
        <v>119.86</v>
      </c>
      <c r="D851" s="6" t="str">
        <f>Database!H849</f>
        <v>#N/A</v>
      </c>
    </row>
    <row r="852" ht="22.5" customHeight="1">
      <c r="A852" s="38" t="s">
        <v>2129</v>
      </c>
      <c r="B852" s="39">
        <v>220.755</v>
      </c>
      <c r="C852" s="39">
        <v>154.76</v>
      </c>
      <c r="D852" s="6" t="str">
        <f>Database!H850</f>
        <v>#N/A</v>
      </c>
    </row>
    <row r="853" ht="22.5" customHeight="1">
      <c r="A853" s="38" t="s">
        <v>2130</v>
      </c>
      <c r="B853" s="39">
        <v>220.76</v>
      </c>
      <c r="C853" s="39">
        <v>103.59</v>
      </c>
      <c r="D853" s="6" t="str">
        <f>Database!H851</f>
        <v>#N/A</v>
      </c>
    </row>
    <row r="854" ht="22.5" customHeight="1">
      <c r="A854" s="38" t="s">
        <v>2131</v>
      </c>
      <c r="B854" s="39">
        <v>168.45</v>
      </c>
      <c r="C854" s="39">
        <v>92.52</v>
      </c>
      <c r="D854" s="6" t="str">
        <f>Database!H852</f>
        <v>#N/A</v>
      </c>
    </row>
    <row r="855" ht="22.5" customHeight="1">
      <c r="A855" s="38" t="s">
        <v>2132</v>
      </c>
      <c r="B855" s="39">
        <v>280.21</v>
      </c>
      <c r="C855" s="39">
        <v>107.79</v>
      </c>
      <c r="D855" s="6" t="str">
        <f>Database!H853</f>
        <v>#N/A</v>
      </c>
    </row>
    <row r="856" ht="22.5" customHeight="1">
      <c r="A856" s="38" t="s">
        <v>2133</v>
      </c>
      <c r="B856" s="39">
        <v>200.67</v>
      </c>
      <c r="C856" s="39">
        <v>78.49</v>
      </c>
      <c r="D856" s="6" t="str">
        <f>Database!H854</f>
        <v>#N/A</v>
      </c>
    </row>
    <row r="857" ht="22.5" customHeight="1">
      <c r="A857" s="38" t="s">
        <v>2134</v>
      </c>
      <c r="B857" s="39">
        <v>175.1</v>
      </c>
      <c r="C857" s="39">
        <v>93.05</v>
      </c>
      <c r="D857" s="6" t="str">
        <f>Database!H855</f>
        <v>#N/A</v>
      </c>
    </row>
    <row r="858" ht="22.5" customHeight="1">
      <c r="A858" s="38" t="s">
        <v>2135</v>
      </c>
      <c r="B858" s="39">
        <v>173.57</v>
      </c>
      <c r="C858" s="39">
        <v>100.44</v>
      </c>
      <c r="D858" s="6" t="str">
        <f>Database!H856</f>
        <v>#N/A</v>
      </c>
    </row>
    <row r="859" ht="22.5" customHeight="1">
      <c r="A859" s="38" t="s">
        <v>2136</v>
      </c>
      <c r="B859" s="39">
        <v>278.77</v>
      </c>
      <c r="C859" s="39">
        <v>106.61</v>
      </c>
      <c r="D859" s="6" t="str">
        <f>Database!H857</f>
        <v>#N/A</v>
      </c>
    </row>
    <row r="860" ht="22.5" customHeight="1">
      <c r="A860" s="38" t="s">
        <v>2137</v>
      </c>
      <c r="B860" s="39">
        <v>299.61</v>
      </c>
      <c r="C860" s="39">
        <v>106.68</v>
      </c>
      <c r="D860" s="6" t="str">
        <f>Database!H858</f>
        <v>#N/A</v>
      </c>
    </row>
    <row r="861" ht="22.5" customHeight="1">
      <c r="A861" s="38" t="s">
        <v>2138</v>
      </c>
      <c r="B861" s="39">
        <v>311.04</v>
      </c>
      <c r="C861" s="39">
        <v>106.71</v>
      </c>
      <c r="D861" s="6" t="str">
        <f>Database!H859</f>
        <v>#N/A</v>
      </c>
    </row>
    <row r="862" ht="22.5" customHeight="1">
      <c r="A862" s="38" t="s">
        <v>2139</v>
      </c>
      <c r="B862" s="39">
        <v>324.63</v>
      </c>
      <c r="C862" s="39">
        <v>83.11</v>
      </c>
      <c r="D862" s="6" t="str">
        <f>Database!H860</f>
        <v>#N/A</v>
      </c>
    </row>
    <row r="863" ht="22.5" customHeight="1">
      <c r="A863" s="38" t="s">
        <v>2140</v>
      </c>
      <c r="B863" s="39">
        <v>203.78</v>
      </c>
      <c r="C863" s="39">
        <v>117.63</v>
      </c>
      <c r="D863" s="6" t="str">
        <f>Database!H861</f>
        <v>#N/A</v>
      </c>
    </row>
    <row r="864" ht="22.5" customHeight="1">
      <c r="A864" s="38" t="s">
        <v>2141</v>
      </c>
      <c r="B864" s="39">
        <v>207.48</v>
      </c>
      <c r="C864" s="39">
        <v>83.12</v>
      </c>
      <c r="D864" s="6" t="str">
        <f>Database!H862</f>
        <v>#N/A</v>
      </c>
    </row>
    <row r="865" ht="22.5" customHeight="1">
      <c r="A865" s="38" t="s">
        <v>2142</v>
      </c>
      <c r="B865" s="39">
        <v>338.46</v>
      </c>
      <c r="C865" s="39">
        <v>254.42</v>
      </c>
      <c r="D865" s="6" t="str">
        <f>Database!H863</f>
        <v>#N/A</v>
      </c>
    </row>
    <row r="866" ht="22.5" customHeight="1">
      <c r="A866" s="38" t="s">
        <v>2143</v>
      </c>
      <c r="B866" s="39">
        <v>161.76</v>
      </c>
      <c r="C866" s="39">
        <v>149.985</v>
      </c>
      <c r="D866" s="6" t="str">
        <f>Database!H864</f>
        <v>#N/A</v>
      </c>
    </row>
    <row r="867" ht="22.5" customHeight="1">
      <c r="A867" s="38" t="s">
        <v>2144</v>
      </c>
      <c r="B867" s="39">
        <v>182.46</v>
      </c>
      <c r="C867" s="39">
        <v>174.99</v>
      </c>
      <c r="D867" s="6" t="str">
        <f>Database!H865</f>
        <v>#N/A</v>
      </c>
    </row>
    <row r="868" ht="22.5" customHeight="1">
      <c r="A868" s="38" t="s">
        <v>2145</v>
      </c>
      <c r="B868" s="39">
        <v>306.745</v>
      </c>
      <c r="C868" s="39">
        <v>110.66</v>
      </c>
      <c r="D868" s="6" t="str">
        <f>Database!H866</f>
        <v>#N/A</v>
      </c>
    </row>
    <row r="869" ht="22.5" customHeight="1">
      <c r="A869" s="38" t="s">
        <v>2146</v>
      </c>
      <c r="B869" s="39">
        <v>220.06</v>
      </c>
      <c r="C869" s="39">
        <v>110.68</v>
      </c>
      <c r="D869" s="6" t="str">
        <f>Database!H867</f>
        <v>#N/A</v>
      </c>
    </row>
    <row r="870" ht="22.5" customHeight="1">
      <c r="A870" s="38" t="s">
        <v>2147</v>
      </c>
      <c r="B870" s="39">
        <v>303.85</v>
      </c>
      <c r="C870" s="39">
        <v>99.15</v>
      </c>
      <c r="D870" s="6" t="str">
        <f>Database!H868</f>
        <v>#N/A</v>
      </c>
    </row>
    <row r="871" ht="22.5" customHeight="1">
      <c r="A871" s="38" t="s">
        <v>2148</v>
      </c>
      <c r="B871" s="39">
        <v>246.77</v>
      </c>
      <c r="C871" s="39">
        <v>117.23</v>
      </c>
      <c r="D871" s="6" t="str">
        <f>Database!H869</f>
        <v>#N/A</v>
      </c>
    </row>
    <row r="872" ht="22.5" customHeight="1">
      <c r="A872" s="38" t="s">
        <v>2149</v>
      </c>
      <c r="B872" s="39">
        <v>276.82</v>
      </c>
      <c r="C872" s="39">
        <v>277.03</v>
      </c>
      <c r="D872" s="6" t="str">
        <f>Database!H870</f>
        <v>#N/A</v>
      </c>
    </row>
    <row r="873" ht="22.5" customHeight="1">
      <c r="A873" s="38" t="s">
        <v>2150</v>
      </c>
      <c r="B873" s="39">
        <v>160.38</v>
      </c>
      <c r="C873" s="39">
        <v>99.385</v>
      </c>
      <c r="D873" s="6" t="str">
        <f>Database!H871</f>
        <v>#N/A</v>
      </c>
    </row>
    <row r="874" ht="22.5" customHeight="1">
      <c r="A874" s="38" t="s">
        <v>2151</v>
      </c>
      <c r="B874" s="39">
        <v>280.24</v>
      </c>
      <c r="C874" s="39">
        <v>413.12</v>
      </c>
      <c r="D874" s="6" t="str">
        <f>Database!H872</f>
        <v>#N/A</v>
      </c>
    </row>
    <row r="875" ht="22.5" customHeight="1">
      <c r="A875" s="38" t="s">
        <v>2152</v>
      </c>
      <c r="B875" s="39">
        <v>147.37</v>
      </c>
      <c r="C875" s="39">
        <v>82.77</v>
      </c>
      <c r="D875" s="6" t="str">
        <f>Database!H873</f>
        <v>#N/A</v>
      </c>
    </row>
    <row r="876" ht="22.5" customHeight="1">
      <c r="A876" s="38" t="s">
        <v>2153</v>
      </c>
      <c r="B876" s="39">
        <v>150.16</v>
      </c>
      <c r="C876" s="39">
        <v>78.49</v>
      </c>
      <c r="D876" s="6" t="str">
        <f>Database!H874</f>
        <v>#N/A</v>
      </c>
    </row>
    <row r="877" ht="22.5" customHeight="1">
      <c r="A877" s="38" t="s">
        <v>2154</v>
      </c>
      <c r="B877" s="39">
        <v>137.63</v>
      </c>
      <c r="C877" s="39">
        <v>144.75</v>
      </c>
      <c r="D877" s="6" t="str">
        <f>Database!H875</f>
        <v>#N/A</v>
      </c>
    </row>
    <row r="878" ht="22.5" customHeight="1">
      <c r="A878" s="38" t="s">
        <v>2155</v>
      </c>
      <c r="B878" s="39">
        <v>150.15</v>
      </c>
      <c r="C878" s="39">
        <v>156.06</v>
      </c>
      <c r="D878" s="6" t="str">
        <f>Database!H876</f>
        <v>#N/A</v>
      </c>
    </row>
    <row r="879" ht="22.5" customHeight="1">
      <c r="A879" s="38" t="s">
        <v>2156</v>
      </c>
      <c r="B879" s="39">
        <v>215.9</v>
      </c>
      <c r="C879" s="39">
        <v>205.255</v>
      </c>
      <c r="D879" s="6" t="str">
        <f>Database!H877</f>
        <v>#N/A</v>
      </c>
    </row>
    <row r="880" ht="22.5" customHeight="1">
      <c r="A880" s="38" t="s">
        <v>2157</v>
      </c>
      <c r="B880" s="39">
        <v>150.12</v>
      </c>
      <c r="C880" s="39">
        <v>110.77</v>
      </c>
      <c r="D880" s="6" t="str">
        <f>Database!H878</f>
        <v>#N/A</v>
      </c>
    </row>
    <row r="881" ht="22.5" customHeight="1">
      <c r="A881" s="38" t="s">
        <v>2158</v>
      </c>
      <c r="B881" s="39">
        <v>200.93</v>
      </c>
      <c r="C881" s="39">
        <v>83.77</v>
      </c>
      <c r="D881" s="6" t="str">
        <f>Database!H879</f>
        <v>#N/A</v>
      </c>
    </row>
    <row r="882" ht="22.5" customHeight="1">
      <c r="A882" s="38" t="s">
        <v>2159</v>
      </c>
      <c r="B882" s="39">
        <v>224.3</v>
      </c>
      <c r="C882" s="39">
        <v>107.95</v>
      </c>
      <c r="D882" s="6" t="str">
        <f>Database!H880</f>
        <v>#N/A</v>
      </c>
    </row>
    <row r="883" ht="22.5" customHeight="1">
      <c r="A883" s="38" t="s">
        <v>2160</v>
      </c>
      <c r="B883" s="39">
        <v>175.0</v>
      </c>
      <c r="C883" s="39">
        <v>93.22</v>
      </c>
      <c r="D883" s="6" t="str">
        <f>Database!H881</f>
        <v>#N/A</v>
      </c>
    </row>
    <row r="884" ht="22.5" customHeight="1">
      <c r="A884" s="38" t="s">
        <v>2161</v>
      </c>
      <c r="B884" s="39">
        <v>183.42</v>
      </c>
      <c r="C884" s="39">
        <v>93.34</v>
      </c>
      <c r="D884" s="6" t="str">
        <f>Database!H882</f>
        <v>#N/A</v>
      </c>
    </row>
    <row r="885" ht="22.5" customHeight="1">
      <c r="A885" s="38" t="s">
        <v>2162</v>
      </c>
      <c r="B885" s="39">
        <v>147.38</v>
      </c>
      <c r="C885" s="39">
        <v>102.08</v>
      </c>
      <c r="D885" s="6" t="str">
        <f>Database!H883</f>
        <v>#N/A</v>
      </c>
    </row>
    <row r="886" ht="22.5" customHeight="1">
      <c r="A886" s="38" t="s">
        <v>2163</v>
      </c>
      <c r="B886" s="39">
        <v>233.03</v>
      </c>
      <c r="C886" s="39">
        <v>232.345</v>
      </c>
      <c r="D886" s="6" t="str">
        <f>Database!H884</f>
        <v>#N/A</v>
      </c>
    </row>
    <row r="887" ht="22.5" customHeight="1">
      <c r="A887" s="38" t="s">
        <v>2164</v>
      </c>
      <c r="B887" s="39">
        <v>236.61</v>
      </c>
      <c r="C887" s="39">
        <v>147.37</v>
      </c>
      <c r="D887" s="6" t="str">
        <f>Database!H885</f>
        <v>#N/A</v>
      </c>
    </row>
    <row r="888" ht="22.5" customHeight="1">
      <c r="A888" s="38" t="s">
        <v>2165</v>
      </c>
      <c r="B888" s="39">
        <v>279.03</v>
      </c>
      <c r="C888" s="39">
        <v>93.09</v>
      </c>
      <c r="D888" s="6" t="str">
        <f>Database!H886</f>
        <v>#N/A</v>
      </c>
    </row>
    <row r="889" ht="22.5" customHeight="1">
      <c r="A889" s="38" t="s">
        <v>2166</v>
      </c>
      <c r="B889" s="39">
        <v>301.35</v>
      </c>
      <c r="C889" s="39">
        <v>91.32</v>
      </c>
      <c r="D889" s="6" t="str">
        <f>Database!H887</f>
        <v>#N/A</v>
      </c>
    </row>
    <row r="890" ht="22.5" customHeight="1">
      <c r="A890" s="38" t="s">
        <v>2167</v>
      </c>
      <c r="B890" s="39">
        <v>139.16</v>
      </c>
      <c r="C890" s="39">
        <v>139.04</v>
      </c>
      <c r="D890" s="6" t="str">
        <f>Database!H888</f>
        <v>#N/A</v>
      </c>
    </row>
    <row r="891" ht="22.5" customHeight="1">
      <c r="A891" s="38" t="s">
        <v>2168</v>
      </c>
      <c r="B891" s="39">
        <v>175.78</v>
      </c>
      <c r="C891" s="39">
        <v>93.18</v>
      </c>
      <c r="D891" s="6" t="str">
        <f>Database!H889</f>
        <v>#N/A</v>
      </c>
    </row>
    <row r="892" ht="22.5" customHeight="1">
      <c r="A892" s="38" t="s">
        <v>2169</v>
      </c>
      <c r="B892" s="39">
        <v>233.15</v>
      </c>
      <c r="C892" s="39">
        <v>131.25</v>
      </c>
      <c r="D892" s="6" t="str">
        <f>Database!H890</f>
        <v>#N/A</v>
      </c>
    </row>
    <row r="893" ht="22.5" customHeight="1">
      <c r="A893" s="38" t="s">
        <v>2170</v>
      </c>
      <c r="B893" s="39">
        <v>156.84</v>
      </c>
      <c r="C893" s="39">
        <v>101.3</v>
      </c>
      <c r="D893" s="6" t="str">
        <f>Database!H891</f>
        <v>#N/A</v>
      </c>
    </row>
    <row r="894" ht="22.5" customHeight="1">
      <c r="A894" s="38" t="s">
        <v>2171</v>
      </c>
      <c r="B894" s="39">
        <v>296.565</v>
      </c>
      <c r="C894" s="39">
        <v>117.16</v>
      </c>
      <c r="D894" s="6" t="str">
        <f>Database!H892</f>
        <v>#N/A</v>
      </c>
    </row>
    <row r="895" ht="22.5" customHeight="1">
      <c r="A895" s="38" t="s">
        <v>2172</v>
      </c>
      <c r="B895" s="39">
        <v>136.35</v>
      </c>
      <c r="C895" s="39">
        <v>130.63</v>
      </c>
      <c r="D895" s="6" t="str">
        <f>Database!H893</f>
        <v>#N/A</v>
      </c>
    </row>
    <row r="896" ht="22.5" customHeight="1">
      <c r="A896" s="38" t="s">
        <v>2173</v>
      </c>
      <c r="B896" s="39">
        <v>208.515</v>
      </c>
      <c r="C896" s="39">
        <v>97.79</v>
      </c>
      <c r="D896" s="6" t="str">
        <f>Database!H894</f>
        <v>#N/A</v>
      </c>
    </row>
    <row r="897" ht="22.5" customHeight="1">
      <c r="A897" s="38" t="s">
        <v>2174</v>
      </c>
      <c r="B897" s="39">
        <v>277.22</v>
      </c>
      <c r="C897" s="39">
        <v>116.18</v>
      </c>
      <c r="D897" s="6" t="str">
        <f>Database!H895</f>
        <v>#N/A</v>
      </c>
    </row>
    <row r="898" ht="22.5" customHeight="1">
      <c r="A898" s="38" t="s">
        <v>2175</v>
      </c>
      <c r="B898" s="39">
        <v>185.84</v>
      </c>
      <c r="C898" s="39">
        <v>83.4</v>
      </c>
      <c r="D898" s="6" t="str">
        <f>Database!H896</f>
        <v>#N/A</v>
      </c>
    </row>
    <row r="899" ht="22.5" customHeight="1">
      <c r="A899" s="38" t="s">
        <v>2176</v>
      </c>
      <c r="B899" s="39">
        <v>310.08</v>
      </c>
      <c r="C899" s="39">
        <v>92.67</v>
      </c>
      <c r="D899" s="6" t="str">
        <f>Database!H897</f>
        <v>#N/A</v>
      </c>
    </row>
    <row r="900" ht="22.5" customHeight="1">
      <c r="A900" s="38" t="s">
        <v>2177</v>
      </c>
      <c r="B900" s="39">
        <v>188.485</v>
      </c>
      <c r="C900" s="39">
        <v>101.33</v>
      </c>
      <c r="D900" s="6" t="str">
        <f>Database!H898</f>
        <v>#N/A</v>
      </c>
    </row>
    <row r="901" ht="22.5" customHeight="1">
      <c r="A901" s="38" t="s">
        <v>2178</v>
      </c>
      <c r="B901" s="39">
        <v>322.62</v>
      </c>
      <c r="C901" s="39">
        <v>83.17</v>
      </c>
      <c r="D901" s="6" t="str">
        <f>Database!H899</f>
        <v>#N/A</v>
      </c>
    </row>
    <row r="902" ht="22.5" customHeight="1">
      <c r="A902" s="38" t="s">
        <v>2179</v>
      </c>
      <c r="B902" s="39">
        <v>200.025</v>
      </c>
      <c r="C902" s="39">
        <v>72.73</v>
      </c>
      <c r="D902" s="6" t="str">
        <f>Database!H900</f>
        <v>#N/A</v>
      </c>
    </row>
    <row r="903" ht="22.5" customHeight="1">
      <c r="A903" s="38" t="s">
        <v>2180</v>
      </c>
      <c r="B903" s="39">
        <v>220.07</v>
      </c>
      <c r="C903" s="39">
        <v>220.06</v>
      </c>
      <c r="D903" s="6" t="str">
        <f>Database!H901</f>
        <v>#N/A</v>
      </c>
    </row>
    <row r="904" ht="22.5" customHeight="1">
      <c r="A904" s="38" t="s">
        <v>2181</v>
      </c>
      <c r="B904" s="39">
        <v>178.41</v>
      </c>
      <c r="C904" s="39">
        <v>95.8</v>
      </c>
      <c r="D904" s="6" t="str">
        <f>Database!H902</f>
        <v>#N/A</v>
      </c>
    </row>
    <row r="905" ht="22.5" customHeight="1">
      <c r="A905" s="38" t="s">
        <v>2182</v>
      </c>
      <c r="B905" s="39">
        <v>192.56</v>
      </c>
      <c r="C905" s="39">
        <v>72.72</v>
      </c>
      <c r="D905" s="6" t="str">
        <f>Database!H903</f>
        <v>#N/A</v>
      </c>
    </row>
    <row r="906" ht="22.5" customHeight="1">
      <c r="A906" s="38" t="s">
        <v>2183</v>
      </c>
      <c r="B906" s="39">
        <v>328.865</v>
      </c>
      <c r="C906" s="39">
        <v>108.93</v>
      </c>
      <c r="D906" s="6" t="str">
        <f>Database!H904</f>
        <v>#N/A</v>
      </c>
    </row>
    <row r="907" ht="22.5" customHeight="1">
      <c r="A907" s="38" t="s">
        <v>2184</v>
      </c>
      <c r="B907" s="39">
        <v>193.19</v>
      </c>
      <c r="C907" s="39">
        <v>155.77</v>
      </c>
      <c r="D907" s="6" t="str">
        <f>Database!H905</f>
        <v>#N/A</v>
      </c>
    </row>
    <row r="908" ht="22.5" customHeight="1">
      <c r="A908" s="38" t="s">
        <v>2185</v>
      </c>
      <c r="B908" s="39">
        <v>234.59</v>
      </c>
      <c r="C908" s="39">
        <v>106.8</v>
      </c>
      <c r="D908" s="6" t="str">
        <f>Database!H906</f>
        <v>#N/A</v>
      </c>
    </row>
    <row r="909" ht="22.5" customHeight="1">
      <c r="A909" s="38" t="s">
        <v>2186</v>
      </c>
      <c r="B909" s="39">
        <v>187.075</v>
      </c>
      <c r="C909" s="39">
        <v>156.04</v>
      </c>
      <c r="D909" s="6" t="str">
        <f>Database!H907</f>
        <v>#N/A</v>
      </c>
    </row>
    <row r="910" ht="22.5" customHeight="1">
      <c r="A910" s="38" t="s">
        <v>2187</v>
      </c>
      <c r="B910" s="39">
        <v>309.88</v>
      </c>
      <c r="C910" s="39">
        <v>78.75</v>
      </c>
      <c r="D910" s="6" t="str">
        <f>Database!H908</f>
        <v>#N/A</v>
      </c>
    </row>
    <row r="911" ht="22.5" customHeight="1">
      <c r="A911" s="38" t="s">
        <v>2188</v>
      </c>
      <c r="B911" s="39">
        <v>238.26</v>
      </c>
      <c r="C911" s="39">
        <v>93.29</v>
      </c>
      <c r="D911" s="6" t="str">
        <f>Database!H909</f>
        <v>#N/A</v>
      </c>
    </row>
    <row r="912" ht="22.5" customHeight="1">
      <c r="A912" s="38" t="s">
        <v>2189</v>
      </c>
      <c r="B912" s="39">
        <v>164.895</v>
      </c>
      <c r="C912" s="39">
        <v>156.14</v>
      </c>
      <c r="D912" s="6" t="str">
        <f>Database!H910</f>
        <v>#N/A</v>
      </c>
    </row>
    <row r="913" ht="22.5" customHeight="1">
      <c r="A913" s="38" t="s">
        <v>2190</v>
      </c>
      <c r="B913" s="39">
        <v>147.14</v>
      </c>
      <c r="C913" s="39">
        <v>70.5</v>
      </c>
      <c r="D913" s="6" t="str">
        <f>Database!H911</f>
        <v>#N/A</v>
      </c>
    </row>
    <row r="914" ht="22.5" customHeight="1">
      <c r="A914" s="38" t="s">
        <v>2191</v>
      </c>
      <c r="B914" s="39">
        <v>310.31</v>
      </c>
      <c r="C914" s="39">
        <v>104.47</v>
      </c>
      <c r="D914" s="6" t="str">
        <f>Database!H912</f>
        <v>#N/A</v>
      </c>
    </row>
    <row r="915" ht="22.5" customHeight="1">
      <c r="A915" s="38" t="s">
        <v>2192</v>
      </c>
      <c r="B915" s="39">
        <v>285.54</v>
      </c>
      <c r="C915" s="39">
        <v>117.56</v>
      </c>
      <c r="D915" s="6" t="str">
        <f>Database!H913</f>
        <v>#N/A</v>
      </c>
    </row>
    <row r="916" ht="22.5" customHeight="1">
      <c r="A916" s="38" t="s">
        <v>2193</v>
      </c>
      <c r="B916" s="39">
        <v>323.24</v>
      </c>
      <c r="C916" s="39">
        <v>76.45</v>
      </c>
      <c r="D916" s="6" t="str">
        <f>Database!H914</f>
        <v>#N/A</v>
      </c>
    </row>
    <row r="917" ht="22.5" customHeight="1">
      <c r="A917" s="38" t="s">
        <v>2194</v>
      </c>
      <c r="B917" s="39">
        <v>316.28</v>
      </c>
      <c r="C917" s="39">
        <v>221.71</v>
      </c>
      <c r="D917" s="6" t="str">
        <f>Database!H915</f>
        <v>#N/A</v>
      </c>
    </row>
    <row r="918" ht="22.5" customHeight="1">
      <c r="A918" s="38" t="s">
        <v>2195</v>
      </c>
      <c r="B918" s="39">
        <v>171.2</v>
      </c>
      <c r="C918" s="39">
        <v>88.65</v>
      </c>
      <c r="D918" s="6" t="str">
        <f>Database!H916</f>
        <v>#N/A</v>
      </c>
    </row>
    <row r="919" ht="22.5" customHeight="1">
      <c r="A919" s="38" t="s">
        <v>2196</v>
      </c>
      <c r="B919" s="39">
        <v>268.96</v>
      </c>
      <c r="C919" s="39">
        <v>64.92</v>
      </c>
      <c r="D919" s="6" t="str">
        <f>Database!H917</f>
        <v>#N/A</v>
      </c>
    </row>
    <row r="920" ht="22.5" customHeight="1">
      <c r="A920" s="38" t="s">
        <v>2197</v>
      </c>
      <c r="B920" s="39">
        <v>166.73</v>
      </c>
      <c r="C920" s="39">
        <v>122.86</v>
      </c>
      <c r="D920" s="6" t="str">
        <f>Database!H918</f>
        <v>#N/A</v>
      </c>
    </row>
    <row r="921" ht="22.5" customHeight="1">
      <c r="A921" s="38" t="s">
        <v>2198</v>
      </c>
      <c r="B921" s="39">
        <v>147.37</v>
      </c>
      <c r="C921" s="39">
        <v>146.18</v>
      </c>
      <c r="D921" s="6" t="str">
        <f>Database!H919</f>
        <v>#N/A</v>
      </c>
    </row>
    <row r="922" ht="22.5" customHeight="1">
      <c r="A922" s="38" t="s">
        <v>2199</v>
      </c>
      <c r="B922" s="39">
        <v>261.23</v>
      </c>
      <c r="C922" s="39">
        <v>233.03</v>
      </c>
      <c r="D922" s="6" t="str">
        <f>Database!H920</f>
        <v>#N/A</v>
      </c>
    </row>
    <row r="923" ht="22.5" customHeight="1">
      <c r="A923" s="38" t="s">
        <v>2200</v>
      </c>
      <c r="B923" s="39">
        <v>374.11</v>
      </c>
      <c r="C923" s="39">
        <v>122.025</v>
      </c>
      <c r="D923" s="6" t="str">
        <f>Database!H921</f>
        <v>#N/A</v>
      </c>
    </row>
    <row r="924" ht="22.5" customHeight="1">
      <c r="A924" s="38" t="s">
        <v>2201</v>
      </c>
      <c r="B924" s="39">
        <v>242.67</v>
      </c>
      <c r="C924" s="39">
        <v>92.91</v>
      </c>
      <c r="D924" s="6" t="str">
        <f>Database!H922</f>
        <v>#N/A</v>
      </c>
    </row>
    <row r="925" ht="22.5" customHeight="1">
      <c r="A925" s="38" t="s">
        <v>2202</v>
      </c>
      <c r="B925" s="39">
        <v>233.11</v>
      </c>
      <c r="C925" s="39">
        <v>117.19</v>
      </c>
      <c r="D925" s="6" t="str">
        <f>Database!H923</f>
        <v>#N/A</v>
      </c>
    </row>
    <row r="926" ht="22.5" customHeight="1">
      <c r="A926" s="38" t="s">
        <v>2203</v>
      </c>
      <c r="B926" s="39">
        <v>233.5</v>
      </c>
      <c r="C926" s="39">
        <v>93.21</v>
      </c>
      <c r="D926" s="6" t="str">
        <f>Database!H924</f>
        <v>#N/A</v>
      </c>
    </row>
    <row r="927" ht="22.5" customHeight="1">
      <c r="A927" s="38" t="s">
        <v>2204</v>
      </c>
      <c r="B927" s="39">
        <v>232.69</v>
      </c>
      <c r="C927" s="39">
        <v>102.46</v>
      </c>
      <c r="D927" s="6" t="str">
        <f>Database!H925</f>
        <v>#N/A</v>
      </c>
    </row>
    <row r="928" ht="22.5" customHeight="1">
      <c r="A928" s="38" t="s">
        <v>2205</v>
      </c>
      <c r="B928" s="39">
        <v>139.17</v>
      </c>
      <c r="C928" s="39">
        <v>106.06</v>
      </c>
      <c r="D928" s="6" t="str">
        <f>Database!H926</f>
        <v>#N/A</v>
      </c>
    </row>
    <row r="929" ht="22.5" customHeight="1">
      <c r="A929" s="38" t="s">
        <v>2206</v>
      </c>
      <c r="B929" s="39">
        <v>161.56</v>
      </c>
      <c r="C929" s="39">
        <v>106.415</v>
      </c>
      <c r="D929" s="6" t="str">
        <f>Database!H927</f>
        <v>#N/A</v>
      </c>
    </row>
    <row r="930" ht="22.5" customHeight="1">
      <c r="A930" s="38" t="s">
        <v>2207</v>
      </c>
      <c r="B930" s="39">
        <v>228.64</v>
      </c>
      <c r="C930" s="39">
        <v>175.0</v>
      </c>
      <c r="D930" s="6" t="str">
        <f>Database!H928</f>
        <v>#N/A</v>
      </c>
    </row>
    <row r="931" ht="22.5" customHeight="1">
      <c r="A931" s="38" t="s">
        <v>2208</v>
      </c>
      <c r="B931" s="39">
        <v>245.16</v>
      </c>
      <c r="C931" s="39">
        <v>101.5</v>
      </c>
      <c r="D931" s="6" t="str">
        <f>Database!H929</f>
        <v>#N/A</v>
      </c>
    </row>
    <row r="932" ht="22.5" customHeight="1">
      <c r="A932" s="38" t="s">
        <v>2209</v>
      </c>
      <c r="B932" s="39">
        <v>141.87</v>
      </c>
      <c r="C932" s="39">
        <v>117.92</v>
      </c>
      <c r="D932" s="6" t="str">
        <f>Database!H930</f>
        <v>#N/A</v>
      </c>
    </row>
    <row r="933" ht="22.5" customHeight="1">
      <c r="A933" s="38" t="s">
        <v>2210</v>
      </c>
      <c r="B933" s="39">
        <v>207.7</v>
      </c>
      <c r="C933" s="39">
        <v>119.38</v>
      </c>
      <c r="D933" s="6" t="str">
        <f>Database!H931</f>
        <v>#N/A</v>
      </c>
    </row>
    <row r="934" ht="22.5" customHeight="1">
      <c r="A934" s="38" t="s">
        <v>2211</v>
      </c>
      <c r="B934" s="39">
        <v>156.17</v>
      </c>
      <c r="C934" s="39">
        <v>156.18</v>
      </c>
      <c r="D934" s="6" t="str">
        <f>Database!H932</f>
        <v>#N/A</v>
      </c>
    </row>
    <row r="935" ht="22.5" customHeight="1">
      <c r="A935" s="38" t="s">
        <v>2212</v>
      </c>
      <c r="B935" s="39">
        <v>218.63</v>
      </c>
      <c r="C935" s="39">
        <v>77.3</v>
      </c>
      <c r="D935" s="6" t="str">
        <f>Database!H933</f>
        <v>#N/A</v>
      </c>
    </row>
    <row r="936" ht="22.5" customHeight="1">
      <c r="A936" s="38" t="s">
        <v>2213</v>
      </c>
      <c r="B936" s="39">
        <v>319.28</v>
      </c>
      <c r="C936" s="39">
        <v>83.08</v>
      </c>
      <c r="D936" s="6" t="str">
        <f>Database!H934</f>
        <v>#N/A</v>
      </c>
    </row>
    <row r="937" ht="22.5" customHeight="1">
      <c r="A937" s="38" t="s">
        <v>2214</v>
      </c>
      <c r="B937" s="39">
        <v>216.51</v>
      </c>
      <c r="C937" s="39">
        <v>139.08</v>
      </c>
      <c r="D937" s="6" t="str">
        <f>Database!H935</f>
        <v>#N/A</v>
      </c>
    </row>
    <row r="938" ht="22.5" customHeight="1">
      <c r="A938" s="38" t="s">
        <v>2215</v>
      </c>
      <c r="B938" s="39">
        <v>212.7</v>
      </c>
      <c r="C938" s="39">
        <v>146.51</v>
      </c>
      <c r="D938" s="6" t="str">
        <f>Database!H936</f>
        <v>#N/A</v>
      </c>
    </row>
    <row r="939" ht="22.5" customHeight="1">
      <c r="A939" s="38" t="s">
        <v>2216</v>
      </c>
      <c r="B939" s="39">
        <v>329.65</v>
      </c>
      <c r="C939" s="39">
        <v>310.285</v>
      </c>
      <c r="D939" s="6" t="str">
        <f>Database!H937</f>
        <v>#N/A</v>
      </c>
    </row>
    <row r="940" ht="22.5" customHeight="1">
      <c r="A940" s="38" t="s">
        <v>2217</v>
      </c>
      <c r="B940" s="39">
        <v>224.08</v>
      </c>
      <c r="C940" s="39">
        <v>175.015</v>
      </c>
      <c r="D940" s="6" t="str">
        <f>Database!H938</f>
        <v>#N/A</v>
      </c>
    </row>
    <row r="941" ht="22.5" customHeight="1">
      <c r="A941" s="38" t="s">
        <v>2218</v>
      </c>
      <c r="B941" s="39">
        <v>251.57</v>
      </c>
      <c r="C941" s="39">
        <v>95.06</v>
      </c>
      <c r="D941" s="6" t="str">
        <f>Database!H939</f>
        <v>#N/A</v>
      </c>
    </row>
    <row r="942" ht="22.5" customHeight="1">
      <c r="A942" s="38" t="s">
        <v>2219</v>
      </c>
      <c r="B942" s="39">
        <v>216.83</v>
      </c>
      <c r="C942" s="39">
        <v>86.93</v>
      </c>
      <c r="D942" s="6" t="str">
        <f>Database!H940</f>
        <v>#N/A</v>
      </c>
    </row>
    <row r="943" ht="22.5" customHeight="1">
      <c r="A943" s="38" t="s">
        <v>2220</v>
      </c>
      <c r="B943" s="39">
        <v>465.6</v>
      </c>
      <c r="C943" s="39">
        <v>91.43</v>
      </c>
      <c r="D943" s="6" t="str">
        <f>Database!H941</f>
        <v>#N/A</v>
      </c>
    </row>
    <row r="944" ht="22.5" customHeight="1">
      <c r="A944" s="38" t="s">
        <v>2221</v>
      </c>
      <c r="B944" s="39">
        <v>216.21</v>
      </c>
      <c r="C944" s="39">
        <v>84.26</v>
      </c>
      <c r="D944" s="6" t="str">
        <f>Database!H942</f>
        <v>#N/A</v>
      </c>
    </row>
    <row r="945" ht="22.5" customHeight="1">
      <c r="A945" s="38" t="s">
        <v>2222</v>
      </c>
      <c r="B945" s="39">
        <v>368.48</v>
      </c>
      <c r="C945" s="39">
        <v>102.88</v>
      </c>
      <c r="D945" s="6" t="str">
        <f>Database!H943</f>
        <v>#N/A</v>
      </c>
    </row>
    <row r="946" ht="22.5" customHeight="1">
      <c r="A946" s="38" t="s">
        <v>2223</v>
      </c>
      <c r="B946" s="39">
        <v>261.72</v>
      </c>
      <c r="C946" s="39">
        <v>91.92</v>
      </c>
      <c r="D946" s="6" t="str">
        <f>Database!H944</f>
        <v>#N/A</v>
      </c>
    </row>
    <row r="947" ht="22.5" customHeight="1">
      <c r="A947" s="38" t="s">
        <v>2224</v>
      </c>
      <c r="B947" s="39">
        <v>206.79</v>
      </c>
      <c r="C947" s="39">
        <v>104.92</v>
      </c>
      <c r="D947" s="6" t="str">
        <f>Database!H945</f>
        <v>#N/A</v>
      </c>
    </row>
    <row r="948" ht="22.5" customHeight="1">
      <c r="A948" s="38" t="s">
        <v>2225</v>
      </c>
      <c r="B948" s="39">
        <v>293.04</v>
      </c>
      <c r="C948" s="39">
        <v>293.03</v>
      </c>
      <c r="D948" s="6" t="str">
        <f>Database!H946</f>
        <v>#N/A</v>
      </c>
    </row>
    <row r="949" ht="22.5" customHeight="1">
      <c r="A949" s="38" t="s">
        <v>2226</v>
      </c>
      <c r="B949" s="39">
        <v>196.67</v>
      </c>
      <c r="C949" s="39">
        <v>127.205</v>
      </c>
      <c r="D949" s="6" t="str">
        <f>Database!H947</f>
        <v>#N/A</v>
      </c>
    </row>
    <row r="950" ht="22.5" customHeight="1">
      <c r="A950" s="38" t="s">
        <v>2227</v>
      </c>
      <c r="B950" s="39">
        <v>413.09</v>
      </c>
      <c r="C950" s="39">
        <v>84.475</v>
      </c>
      <c r="D950" s="6" t="str">
        <f>Database!H948</f>
        <v>#N/A</v>
      </c>
    </row>
    <row r="951" ht="22.5" customHeight="1">
      <c r="A951" s="38" t="s">
        <v>2228</v>
      </c>
      <c r="B951" s="39">
        <v>284.26</v>
      </c>
      <c r="C951" s="39">
        <v>111.54</v>
      </c>
      <c r="D951" s="6" t="str">
        <f>Database!H949</f>
        <v>#N/A</v>
      </c>
    </row>
    <row r="952" ht="22.5" customHeight="1">
      <c r="A952" s="38" t="s">
        <v>2229</v>
      </c>
      <c r="B952" s="39">
        <v>223.72</v>
      </c>
      <c r="C952" s="39">
        <v>361.76</v>
      </c>
      <c r="D952" s="6" t="str">
        <f>Database!H950</f>
        <v>#N/A</v>
      </c>
    </row>
    <row r="953" ht="22.5" customHeight="1">
      <c r="A953" s="38" t="s">
        <v>2230</v>
      </c>
      <c r="B953" s="39">
        <v>195.815</v>
      </c>
      <c r="C953" s="39">
        <v>139.15</v>
      </c>
      <c r="D953" s="6" t="str">
        <f>Database!H951</f>
        <v>#N/A</v>
      </c>
    </row>
    <row r="954" ht="22.5" customHeight="1">
      <c r="A954" s="38" t="s">
        <v>2231</v>
      </c>
      <c r="B954" s="39">
        <v>174.93</v>
      </c>
      <c r="C954" s="39">
        <v>139.17</v>
      </c>
      <c r="D954" s="6" t="str">
        <f>Database!H952</f>
        <v>#N/A</v>
      </c>
    </row>
    <row r="955" ht="22.5" customHeight="1">
      <c r="A955" s="38" t="s">
        <v>2232</v>
      </c>
      <c r="B955" s="39">
        <v>202.13</v>
      </c>
      <c r="C955" s="39">
        <v>69.73</v>
      </c>
      <c r="D955" s="6" t="str">
        <f>Database!H953</f>
        <v>#N/A</v>
      </c>
    </row>
    <row r="956" ht="22.5" customHeight="1">
      <c r="A956" s="38" t="s">
        <v>2233</v>
      </c>
      <c r="B956" s="39">
        <v>280.6</v>
      </c>
      <c r="C956" s="39">
        <v>83.11</v>
      </c>
      <c r="D956" s="6" t="str">
        <f>Database!H954</f>
        <v>#N/A</v>
      </c>
    </row>
    <row r="957" ht="22.5" customHeight="1">
      <c r="A957" s="38" t="s">
        <v>2234</v>
      </c>
      <c r="B957" s="39">
        <v>184.15</v>
      </c>
      <c r="C957" s="39">
        <v>156.05</v>
      </c>
      <c r="D957" s="6" t="str">
        <f>Database!H955</f>
        <v>#N/A</v>
      </c>
    </row>
    <row r="958" ht="22.5" customHeight="1">
      <c r="A958" s="38" t="s">
        <v>2235</v>
      </c>
      <c r="B958" s="39">
        <v>273.72</v>
      </c>
      <c r="C958" s="39">
        <v>93.23</v>
      </c>
      <c r="D958" s="6" t="str">
        <f>Database!H956</f>
        <v>#N/A</v>
      </c>
    </row>
    <row r="959" ht="22.5" customHeight="1">
      <c r="A959" s="38" t="s">
        <v>2236</v>
      </c>
      <c r="B959" s="39">
        <v>381.955</v>
      </c>
      <c r="C959" s="39">
        <v>110.06</v>
      </c>
      <c r="D959" s="6" t="str">
        <f>Database!H957</f>
        <v>#N/A</v>
      </c>
    </row>
    <row r="960" ht="22.5" customHeight="1">
      <c r="A960" s="38" t="s">
        <v>2237</v>
      </c>
      <c r="B960" s="39">
        <v>328.7</v>
      </c>
      <c r="C960" s="39">
        <v>293.03</v>
      </c>
      <c r="D960" s="6" t="str">
        <f>Database!H958</f>
        <v>#N/A</v>
      </c>
    </row>
    <row r="961" ht="22.5" customHeight="1">
      <c r="A961" s="38" t="s">
        <v>2238</v>
      </c>
      <c r="B961" s="39">
        <v>175.57</v>
      </c>
      <c r="C961" s="39">
        <v>114.39</v>
      </c>
      <c r="D961" s="6" t="str">
        <f>Database!H959</f>
        <v>#N/A</v>
      </c>
    </row>
    <row r="962" ht="22.5" customHeight="1">
      <c r="A962" s="38" t="s">
        <v>2239</v>
      </c>
      <c r="B962" s="39">
        <v>354.33</v>
      </c>
      <c r="C962" s="39">
        <v>87.82</v>
      </c>
      <c r="D962" s="6" t="str">
        <f>Database!H960</f>
        <v>#N/A</v>
      </c>
    </row>
    <row r="963" ht="22.5" customHeight="1">
      <c r="A963" s="38" t="s">
        <v>2240</v>
      </c>
      <c r="B963" s="39">
        <v>184.81</v>
      </c>
      <c r="C963" s="39">
        <v>277.31</v>
      </c>
      <c r="D963" s="6" t="str">
        <f>Database!H961</f>
        <v>#N/A</v>
      </c>
    </row>
    <row r="964" ht="22.5" customHeight="1">
      <c r="A964" s="38" t="s">
        <v>2241</v>
      </c>
      <c r="B964" s="39">
        <v>201.5</v>
      </c>
      <c r="C964" s="39">
        <v>131.0</v>
      </c>
      <c r="D964" s="6" t="str">
        <f>Database!H962</f>
        <v>#N/A</v>
      </c>
    </row>
    <row r="965" ht="22.5" customHeight="1">
      <c r="A965" s="38" t="s">
        <v>2242</v>
      </c>
      <c r="B965" s="39">
        <v>185.28</v>
      </c>
      <c r="C965" s="39">
        <v>129.41</v>
      </c>
      <c r="D965" s="6" t="str">
        <f>Database!H963</f>
        <v>#N/A</v>
      </c>
    </row>
    <row r="966" ht="22.5" customHeight="1">
      <c r="A966" s="38" t="s">
        <v>2243</v>
      </c>
      <c r="B966" s="39">
        <v>219.2</v>
      </c>
      <c r="C966" s="39">
        <v>156.07</v>
      </c>
      <c r="D966" s="6" t="str">
        <f>Database!H964</f>
        <v>#N/A</v>
      </c>
    </row>
    <row r="967" ht="22.5" customHeight="1">
      <c r="A967" s="38" t="s">
        <v>2244</v>
      </c>
      <c r="B967" s="39">
        <v>390.07</v>
      </c>
      <c r="C967" s="39">
        <v>103.61</v>
      </c>
      <c r="D967" s="6" t="str">
        <f>Database!H965</f>
        <v>#N/A</v>
      </c>
    </row>
    <row r="968" ht="22.5" customHeight="1">
      <c r="A968" s="38" t="s">
        <v>2245</v>
      </c>
      <c r="B968" s="39">
        <v>413.63</v>
      </c>
      <c r="C968" s="39">
        <v>165.27</v>
      </c>
      <c r="D968" s="6" t="str">
        <f>Database!H966</f>
        <v>#N/A</v>
      </c>
    </row>
    <row r="969" ht="22.5" customHeight="1">
      <c r="A969" s="38" t="s">
        <v>2246</v>
      </c>
      <c r="B969" s="39">
        <v>180.905</v>
      </c>
      <c r="C969" s="39">
        <v>143.55</v>
      </c>
      <c r="D969" s="6" t="str">
        <f>Database!H967</f>
        <v>#N/A</v>
      </c>
    </row>
    <row r="970" ht="22.5" customHeight="1">
      <c r="A970" s="38" t="s">
        <v>2247</v>
      </c>
      <c r="B970" s="39">
        <v>168.27</v>
      </c>
      <c r="C970" s="39">
        <v>117.22</v>
      </c>
      <c r="D970" s="6" t="str">
        <f>Database!H968</f>
        <v>#N/A</v>
      </c>
    </row>
    <row r="971" ht="22.5" customHeight="1">
      <c r="A971" s="38" t="s">
        <v>2248</v>
      </c>
      <c r="B971" s="39">
        <v>226.59</v>
      </c>
      <c r="C971" s="39">
        <v>99.56</v>
      </c>
      <c r="D971" s="6" t="str">
        <f>Database!H969</f>
        <v>#N/A</v>
      </c>
    </row>
    <row r="972" ht="22.5" customHeight="1">
      <c r="A972" s="38" t="s">
        <v>2249</v>
      </c>
      <c r="B972" s="39">
        <v>168.45</v>
      </c>
      <c r="C972" s="39">
        <v>227.8</v>
      </c>
      <c r="D972" s="6" t="str">
        <f>Database!H970</f>
        <v>#N/A</v>
      </c>
    </row>
    <row r="973" ht="22.5" customHeight="1">
      <c r="A973" s="38" t="s">
        <v>2250</v>
      </c>
      <c r="B973" s="39">
        <v>156.04</v>
      </c>
      <c r="C973" s="39">
        <v>110.64</v>
      </c>
      <c r="D973" s="6" t="str">
        <f>Database!H971</f>
        <v>#N/A</v>
      </c>
    </row>
    <row r="974" ht="22.5" customHeight="1">
      <c r="A974" s="38" t="s">
        <v>2251</v>
      </c>
      <c r="B974" s="39">
        <v>171.73</v>
      </c>
      <c r="C974" s="39">
        <v>101.76</v>
      </c>
      <c r="D974" s="6" t="str">
        <f>Database!H972</f>
        <v>#N/A</v>
      </c>
    </row>
    <row r="975" ht="22.5" customHeight="1">
      <c r="A975" s="38" t="s">
        <v>2252</v>
      </c>
      <c r="B975" s="39">
        <v>161.46</v>
      </c>
      <c r="C975" s="39">
        <v>153.13</v>
      </c>
      <c r="D975" s="6" t="str">
        <f>Database!H973</f>
        <v>#N/A</v>
      </c>
    </row>
    <row r="976" ht="22.5" customHeight="1">
      <c r="A976" s="38" t="s">
        <v>2253</v>
      </c>
      <c r="B976" s="39">
        <v>156.04</v>
      </c>
      <c r="C976" s="39">
        <v>140.595</v>
      </c>
      <c r="D976" s="6" t="str">
        <f>Database!H974</f>
        <v>#N/A</v>
      </c>
    </row>
    <row r="977" ht="22.5" customHeight="1">
      <c r="A977" s="38" t="s">
        <v>2254</v>
      </c>
      <c r="B977" s="39">
        <v>156.06</v>
      </c>
      <c r="C977" s="39">
        <v>141.61</v>
      </c>
      <c r="D977" s="6" t="str">
        <f>Database!H975</f>
        <v>#N/A</v>
      </c>
    </row>
    <row r="978" ht="22.5" customHeight="1">
      <c r="A978" s="38" t="s">
        <v>2255</v>
      </c>
      <c r="B978" s="39">
        <v>159.06</v>
      </c>
      <c r="C978" s="39">
        <v>147.42</v>
      </c>
      <c r="D978" s="6" t="str">
        <f>Database!H976</f>
        <v>#N/A</v>
      </c>
    </row>
    <row r="979" ht="22.5" customHeight="1">
      <c r="A979" s="38" t="s">
        <v>2256</v>
      </c>
      <c r="B979" s="39">
        <v>162.06</v>
      </c>
      <c r="C979" s="39">
        <v>123.07</v>
      </c>
      <c r="D979" s="6" t="str">
        <f>Database!H977</f>
        <v>#N/A</v>
      </c>
    </row>
    <row r="980" ht="22.5" customHeight="1">
      <c r="A980" s="38" t="s">
        <v>2257</v>
      </c>
      <c r="B980" s="39">
        <v>242.54</v>
      </c>
      <c r="C980" s="39">
        <v>252.93</v>
      </c>
      <c r="D980" s="6" t="str">
        <f>Database!H987</f>
        <v>#N/A</v>
      </c>
    </row>
    <row r="981" ht="22.5" customHeight="1">
      <c r="A981" s="38" t="s">
        <v>2258</v>
      </c>
      <c r="B981" s="39">
        <v>271.16</v>
      </c>
      <c r="C981" s="39">
        <v>117.2</v>
      </c>
      <c r="D981" s="6" t="str">
        <f>Database!H985</f>
        <v>#N/A</v>
      </c>
    </row>
    <row r="982" ht="22.5" customHeight="1">
      <c r="A982" s="38" t="s">
        <v>2259</v>
      </c>
      <c r="B982" s="39">
        <v>155.93</v>
      </c>
      <c r="C982" s="39">
        <v>96.49</v>
      </c>
      <c r="D982" s="6" t="str">
        <f>Database!H984</f>
        <v>#N/A</v>
      </c>
    </row>
    <row r="983" ht="22.5" customHeight="1">
      <c r="A983" s="38" t="s">
        <v>2260</v>
      </c>
      <c r="B983" s="39">
        <v>178.46</v>
      </c>
      <c r="C983" s="39">
        <v>109.02</v>
      </c>
      <c r="D983" s="6" t="str">
        <f>Database!H983</f>
        <v>#N/A</v>
      </c>
    </row>
    <row r="984" ht="22.5" customHeight="1">
      <c r="A984" s="38" t="s">
        <v>2261</v>
      </c>
      <c r="B984" s="39">
        <v>167.76</v>
      </c>
      <c r="C984" s="39">
        <v>110.67</v>
      </c>
      <c r="D984" s="6" t="str">
        <f>Database!H982</f>
        <v>#N/A</v>
      </c>
    </row>
    <row r="985" ht="22.5" customHeight="1">
      <c r="A985" s="38" t="s">
        <v>2262</v>
      </c>
      <c r="B985" s="39">
        <v>165.26</v>
      </c>
      <c r="C985" s="39">
        <v>146.79</v>
      </c>
      <c r="D985" s="6" t="str">
        <f>Database!H979</f>
        <v>#N/A</v>
      </c>
    </row>
    <row r="986" ht="22.5" customHeight="1">
      <c r="A986" s="38" t="s">
        <v>2263</v>
      </c>
      <c r="B986" s="39">
        <v>203.59</v>
      </c>
      <c r="C986" s="39">
        <v>147.35</v>
      </c>
      <c r="D986" s="6" t="str">
        <f>Database!H980</f>
        <v>#N/A</v>
      </c>
    </row>
    <row r="987" ht="22.5" customHeight="1">
      <c r="A987" s="38" t="s">
        <v>2264</v>
      </c>
      <c r="B987" s="39">
        <v>212.15</v>
      </c>
      <c r="C987" s="39">
        <v>101.61</v>
      </c>
      <c r="D987" s="6" t="str">
        <f>Database!H981</f>
        <v>#N/A</v>
      </c>
    </row>
    <row r="988" ht="22.5" customHeight="1">
      <c r="A988" s="38" t="s">
        <v>2265</v>
      </c>
      <c r="B988" s="39">
        <v>162.485</v>
      </c>
      <c r="C988" s="39">
        <v>139.16</v>
      </c>
      <c r="D988" s="6" t="str">
        <f>Database!H978</f>
        <v>#N/A</v>
      </c>
    </row>
    <row r="989" ht="22.5" customHeight="1">
      <c r="A989" s="38" t="s">
        <v>2266</v>
      </c>
      <c r="B989" s="39">
        <v>413.33</v>
      </c>
      <c r="C989" s="39">
        <v>310.26</v>
      </c>
      <c r="D989" s="6" t="str">
        <f>Database!H986</f>
        <v>#N/A</v>
      </c>
    </row>
    <row r="990" ht="22.5" customHeight="1">
      <c r="A990" s="38" t="s">
        <v>2267</v>
      </c>
      <c r="B990" s="39">
        <v>328.72</v>
      </c>
      <c r="C990" s="39">
        <v>165.23</v>
      </c>
      <c r="D990" s="6" t="str">
        <f>Database!H997</f>
        <v>#N/A</v>
      </c>
    </row>
    <row r="991" ht="22.5" customHeight="1">
      <c r="A991" s="38" t="s">
        <v>2268</v>
      </c>
      <c r="B991" s="39">
        <v>316.095</v>
      </c>
      <c r="C991" s="39">
        <v>293.02</v>
      </c>
      <c r="D991" s="6" t="str">
        <f>Database!H993</f>
        <v>#N/A</v>
      </c>
    </row>
    <row r="992" ht="22.5" customHeight="1">
      <c r="A992" s="38" t="s">
        <v>2269</v>
      </c>
      <c r="B992" s="39">
        <v>233.96</v>
      </c>
      <c r="C992" s="39">
        <v>194.36</v>
      </c>
      <c r="D992" s="6" t="str">
        <f>Database!H994</f>
        <v>#N/A</v>
      </c>
    </row>
    <row r="993" ht="22.5" customHeight="1">
      <c r="A993" s="38" t="s">
        <v>2270</v>
      </c>
      <c r="B993" s="39">
        <v>245.0</v>
      </c>
      <c r="C993" s="39">
        <v>220.06</v>
      </c>
      <c r="D993" s="6" t="str">
        <f>Database!H995</f>
        <v>#N/A</v>
      </c>
    </row>
    <row r="994" ht="22.5" customHeight="1">
      <c r="A994" s="38" t="s">
        <v>2271</v>
      </c>
      <c r="B994" s="39">
        <v>225.165</v>
      </c>
      <c r="C994" s="39">
        <v>91.11</v>
      </c>
      <c r="D994" s="6" t="str">
        <f>Database!H992</f>
        <v>#N/A</v>
      </c>
    </row>
    <row r="995" ht="22.5" customHeight="1">
      <c r="A995" s="38" t="s">
        <v>2272</v>
      </c>
      <c r="B995" s="39">
        <v>239.4</v>
      </c>
      <c r="C995" s="39">
        <v>147.37</v>
      </c>
      <c r="D995" s="6" t="str">
        <f>Database!H991</f>
        <v>#N/A</v>
      </c>
    </row>
    <row r="996" ht="22.5" customHeight="1">
      <c r="A996" s="38" t="s">
        <v>2273</v>
      </c>
      <c r="B996" s="39">
        <v>218.08</v>
      </c>
      <c r="C996" s="39">
        <v>154.235</v>
      </c>
      <c r="D996" s="6" t="str">
        <f>Database!H990</f>
        <v>#N/A</v>
      </c>
    </row>
    <row r="997" ht="22.5" customHeight="1">
      <c r="A997" s="38" t="s">
        <v>2274</v>
      </c>
      <c r="B997" s="39">
        <v>220.08</v>
      </c>
      <c r="C997" s="39">
        <v>149.68</v>
      </c>
      <c r="D997" s="6" t="str">
        <f>Database!H989</f>
        <v>#N/A</v>
      </c>
    </row>
    <row r="998" ht="22.5" customHeight="1">
      <c r="A998" s="38" t="s">
        <v>2275</v>
      </c>
      <c r="B998" s="39">
        <v>156.58</v>
      </c>
      <c r="C998" s="39">
        <v>156.24</v>
      </c>
      <c r="D998" s="6" t="str">
        <f>Database!H988</f>
        <v>#N/A</v>
      </c>
    </row>
    <row r="999" ht="22.5" customHeight="1">
      <c r="A999" s="38" t="s">
        <v>2276</v>
      </c>
      <c r="B999" s="39">
        <v>261.395</v>
      </c>
      <c r="C999" s="39">
        <v>174.87</v>
      </c>
      <c r="D999" s="6" t="str">
        <f>Database!H996</f>
        <v>#N/A</v>
      </c>
    </row>
    <row r="1000" ht="22.5" customHeight="1">
      <c r="A1000" s="38" t="s">
        <v>2277</v>
      </c>
      <c r="B1000" s="39">
        <v>293.03</v>
      </c>
      <c r="C1000" s="39">
        <v>293.03</v>
      </c>
      <c r="D1000" s="6" t="str">
        <f>Database!H998</f>
        <v>#N/A</v>
      </c>
    </row>
    <row r="1001" ht="22.5" customHeight="1">
      <c r="A1001" s="38" t="s">
        <v>2278</v>
      </c>
      <c r="B1001" s="39">
        <v>168.4</v>
      </c>
      <c r="C1001" s="39">
        <v>147.37</v>
      </c>
      <c r="D1001" s="6" t="str">
        <f>Database!H999</f>
        <v>#N/A</v>
      </c>
    </row>
    <row r="1002" ht="22.5" customHeight="1">
      <c r="A1002" s="38" t="s">
        <v>2279</v>
      </c>
      <c r="B1002" s="39">
        <v>181.75</v>
      </c>
      <c r="C1002" s="39">
        <v>146.46</v>
      </c>
      <c r="D1002" s="6" t="str">
        <f>Database!H1000</f>
        <v>#N/A</v>
      </c>
    </row>
    <row r="1003" ht="22.5" customHeight="1">
      <c r="A1003" s="38" t="s">
        <v>2280</v>
      </c>
      <c r="B1003" s="39">
        <v>237.71</v>
      </c>
      <c r="C1003" s="39">
        <v>92.19</v>
      </c>
      <c r="D1003" s="6" t="str">
        <f>Database!H1001</f>
        <v>#N/A</v>
      </c>
    </row>
    <row r="1004" ht="22.5" customHeight="1">
      <c r="A1004" s="38" t="s">
        <v>2281</v>
      </c>
      <c r="B1004" s="39">
        <v>165.25</v>
      </c>
      <c r="C1004" s="39">
        <v>110.81</v>
      </c>
      <c r="D1004" s="6" t="str">
        <f>Database!H1002</f>
        <v>#N/A</v>
      </c>
    </row>
    <row r="1005" ht="22.5" customHeight="1">
      <c r="A1005" s="38" t="s">
        <v>2282</v>
      </c>
      <c r="B1005" s="39">
        <v>237.12</v>
      </c>
      <c r="C1005" s="39">
        <v>117.2</v>
      </c>
      <c r="D1005" s="6" t="str">
        <f>Database!H1003</f>
        <v>#N/A</v>
      </c>
    </row>
    <row r="1006" ht="22.5" customHeight="1">
      <c r="A1006" s="38" t="s">
        <v>2283</v>
      </c>
      <c r="B1006" s="39">
        <v>233.26</v>
      </c>
      <c r="C1006" s="39">
        <v>234.19</v>
      </c>
      <c r="D1006" s="6" t="str">
        <f>Database!H1004</f>
        <v>#N/A</v>
      </c>
    </row>
    <row r="1007" ht="22.5" customHeight="1">
      <c r="A1007" s="38" t="s">
        <v>2284</v>
      </c>
      <c r="B1007" s="39">
        <v>157.78</v>
      </c>
      <c r="C1007" s="39">
        <v>157.44</v>
      </c>
      <c r="D1007" s="6" t="str">
        <f>Database!H1005</f>
        <v>#N/A</v>
      </c>
    </row>
    <row r="1008" ht="22.5" customHeight="1">
      <c r="A1008" s="38" t="s">
        <v>2285</v>
      </c>
      <c r="B1008" s="39">
        <v>171.72</v>
      </c>
      <c r="C1008" s="39">
        <v>104.96</v>
      </c>
      <c r="D1008" s="6" t="str">
        <f>Database!H1006</f>
        <v>#N/A</v>
      </c>
    </row>
    <row r="1009" ht="22.5" customHeight="1">
      <c r="A1009" s="38" t="s">
        <v>2286</v>
      </c>
      <c r="B1009" s="39">
        <v>203.515</v>
      </c>
      <c r="C1009" s="39">
        <v>114.69</v>
      </c>
      <c r="D1009" s="6" t="str">
        <f>Database!H1007</f>
        <v>#N/A</v>
      </c>
    </row>
    <row r="1010" ht="22.5" customHeight="1">
      <c r="A1010" s="38" t="s">
        <v>2287</v>
      </c>
      <c r="B1010" s="39">
        <v>316.21</v>
      </c>
      <c r="C1010" s="39">
        <v>129.81</v>
      </c>
      <c r="D1010" s="6" t="str">
        <f>Database!H1008</f>
        <v>#N/A</v>
      </c>
    </row>
    <row r="1011" ht="22.5" customHeight="1">
      <c r="A1011" s="38" t="s">
        <v>2288</v>
      </c>
      <c r="B1011" s="39">
        <v>276.73</v>
      </c>
      <c r="C1011" s="39">
        <v>267.11</v>
      </c>
      <c r="D1011" s="6" t="str">
        <f>Database!H1009</f>
        <v>#N/A</v>
      </c>
    </row>
    <row r="1012" ht="22.5" customHeight="1">
      <c r="A1012" s="38" t="s">
        <v>2289</v>
      </c>
      <c r="B1012" s="39">
        <v>276.72</v>
      </c>
      <c r="C1012" s="39">
        <v>246.73</v>
      </c>
      <c r="D1012" s="6" t="str">
        <f>Database!H1010</f>
        <v>#N/A</v>
      </c>
    </row>
    <row r="1013" ht="22.5" customHeight="1">
      <c r="A1013" s="38" t="s">
        <v>2290</v>
      </c>
      <c r="B1013" s="39">
        <v>281.49</v>
      </c>
      <c r="C1013" s="39">
        <v>71.39</v>
      </c>
      <c r="D1013" s="6" t="str">
        <f>Database!H1011</f>
        <v>#N/A</v>
      </c>
    </row>
    <row r="1014" ht="22.5" customHeight="1">
      <c r="A1014" s="38" t="s">
        <v>2291</v>
      </c>
      <c r="B1014" s="39">
        <v>314.595</v>
      </c>
      <c r="C1014" s="39">
        <v>117.09</v>
      </c>
      <c r="D1014" s="6" t="str">
        <f>Database!H1012</f>
        <v>#N/A</v>
      </c>
    </row>
    <row r="1015" ht="22.5" customHeight="1">
      <c r="A1015" s="38" t="s">
        <v>2292</v>
      </c>
      <c r="B1015" s="39">
        <v>232.98</v>
      </c>
      <c r="C1015" s="39">
        <v>233.03</v>
      </c>
      <c r="D1015" s="6" t="str">
        <f>Database!H1013</f>
        <v>#N/A</v>
      </c>
    </row>
    <row r="1016" ht="22.5" customHeight="1">
      <c r="A1016" s="38" t="s">
        <v>2293</v>
      </c>
      <c r="B1016" s="39">
        <v>249.99</v>
      </c>
      <c r="C1016" s="39">
        <v>156.05</v>
      </c>
      <c r="D1016" s="6" t="str">
        <f>Database!H1014</f>
        <v>#N/A</v>
      </c>
    </row>
    <row r="1017" ht="22.5" customHeight="1">
      <c r="A1017" s="38" t="s">
        <v>2294</v>
      </c>
      <c r="B1017" s="39">
        <v>165.26</v>
      </c>
      <c r="C1017" s="39">
        <v>72.72</v>
      </c>
      <c r="D1017" s="6" t="str">
        <f>Database!H1015</f>
        <v>#N/A</v>
      </c>
    </row>
    <row r="1018" ht="22.5" customHeight="1">
      <c r="A1018" s="38" t="s">
        <v>2295</v>
      </c>
      <c r="B1018" s="39">
        <v>221.39</v>
      </c>
      <c r="C1018" s="39">
        <v>89.16</v>
      </c>
      <c r="D1018" s="6" t="str">
        <f>Database!H1016</f>
        <v>#N/A</v>
      </c>
    </row>
    <row r="1019" ht="22.5" customHeight="1">
      <c r="A1019" s="38" t="s">
        <v>2296</v>
      </c>
      <c r="B1019" s="39">
        <v>307.685</v>
      </c>
      <c r="C1019" s="39">
        <v>93.2</v>
      </c>
      <c r="D1019" s="6" t="str">
        <f>Database!H1017</f>
        <v>#N/A</v>
      </c>
    </row>
    <row r="1020" ht="22.5" customHeight="1">
      <c r="A1020" s="38" t="s">
        <v>2297</v>
      </c>
      <c r="B1020" s="39">
        <v>247.22</v>
      </c>
      <c r="C1020" s="39">
        <v>93.15</v>
      </c>
      <c r="D1020" s="6" t="str">
        <f>Database!H1018</f>
        <v>#N/A</v>
      </c>
    </row>
    <row r="1021" ht="22.5" customHeight="1">
      <c r="A1021" s="38" t="s">
        <v>2298</v>
      </c>
      <c r="B1021" s="39">
        <v>278.5</v>
      </c>
      <c r="C1021" s="39">
        <v>435.315</v>
      </c>
      <c r="D1021" s="6" t="str">
        <f>Database!H1019</f>
        <v>#N/A</v>
      </c>
    </row>
    <row r="1022" ht="22.5" customHeight="1">
      <c r="A1022" s="38" t="s">
        <v>2299</v>
      </c>
      <c r="B1022" s="39">
        <v>282.31</v>
      </c>
      <c r="C1022" s="39">
        <v>104.135</v>
      </c>
      <c r="D1022" s="6" t="str">
        <f>Database!H1020</f>
        <v>#N/A</v>
      </c>
    </row>
    <row r="1023" ht="22.5" customHeight="1">
      <c r="A1023" s="38" t="s">
        <v>2300</v>
      </c>
      <c r="B1023" s="39">
        <v>308.52</v>
      </c>
      <c r="C1023" s="39">
        <v>103.07</v>
      </c>
      <c r="D1023" s="6" t="str">
        <f>Database!H1021</f>
        <v>#N/A</v>
      </c>
    </row>
    <row r="1024" ht="22.5" customHeight="1">
      <c r="A1024" s="38" t="s">
        <v>2301</v>
      </c>
      <c r="B1024" s="39">
        <v>310.47</v>
      </c>
      <c r="C1024" s="39">
        <v>463.35</v>
      </c>
      <c r="D1024" s="6" t="str">
        <f>Database!H1022</f>
        <v>#N/A</v>
      </c>
    </row>
    <row r="1025" ht="22.5" customHeight="1">
      <c r="A1025" s="38" t="s">
        <v>2302</v>
      </c>
      <c r="B1025" s="39">
        <v>328.59</v>
      </c>
      <c r="C1025" s="39">
        <v>110.68</v>
      </c>
      <c r="D1025" s="6" t="str">
        <f>Database!H1023</f>
        <v>#N/A</v>
      </c>
    </row>
    <row r="1026" ht="22.5" customHeight="1">
      <c r="A1026" s="38" t="s">
        <v>2303</v>
      </c>
      <c r="B1026" s="39">
        <v>326.1</v>
      </c>
      <c r="C1026" s="39">
        <v>276.77</v>
      </c>
      <c r="D1026" s="6" t="str">
        <f>Database!H1024</f>
        <v>#N/A</v>
      </c>
    </row>
    <row r="1027" ht="22.5" customHeight="1">
      <c r="A1027" s="38" t="s">
        <v>2304</v>
      </c>
      <c r="B1027" s="39">
        <v>271.47</v>
      </c>
      <c r="C1027" s="39">
        <v>100.7</v>
      </c>
      <c r="D1027" s="6" t="str">
        <f>Database!H1025</f>
        <v>#N/A</v>
      </c>
    </row>
    <row r="1028" ht="22.5" customHeight="1">
      <c r="A1028" s="38" t="s">
        <v>2305</v>
      </c>
      <c r="B1028" s="39">
        <v>297.23</v>
      </c>
      <c r="C1028" s="39">
        <v>88.01</v>
      </c>
      <c r="D1028" s="6" t="str">
        <f>Database!H1026</f>
        <v>#N/A</v>
      </c>
    </row>
    <row r="1029" ht="22.5" customHeight="1">
      <c r="A1029" s="38" t="s">
        <v>2306</v>
      </c>
      <c r="B1029" s="39">
        <v>429.98</v>
      </c>
      <c r="C1029" s="39">
        <v>83.17</v>
      </c>
      <c r="D1029" s="6" t="str">
        <f>Database!H1027</f>
        <v>#N/A</v>
      </c>
    </row>
    <row r="1030" ht="22.5" customHeight="1">
      <c r="A1030" s="38" t="s">
        <v>2307</v>
      </c>
      <c r="B1030" s="39">
        <v>262.98</v>
      </c>
      <c r="C1030" s="39">
        <v>138.86</v>
      </c>
      <c r="D1030" s="6" t="str">
        <f>Database!H1028</f>
        <v>#N/A</v>
      </c>
    </row>
    <row r="1031" ht="22.5" customHeight="1">
      <c r="A1031" s="38" t="s">
        <v>2308</v>
      </c>
      <c r="B1031" s="39">
        <v>322.16</v>
      </c>
      <c r="C1031" s="39">
        <v>83.12</v>
      </c>
      <c r="D1031" s="6" t="str">
        <f>Database!H1029</f>
        <v>#N/A</v>
      </c>
    </row>
    <row r="1032" ht="22.5" customHeight="1">
      <c r="A1032" s="38" t="s">
        <v>2309</v>
      </c>
      <c r="B1032" s="39">
        <v>413.335</v>
      </c>
      <c r="C1032" s="39">
        <v>88.39</v>
      </c>
      <c r="D1032" s="6" t="str">
        <f>Database!H1030</f>
        <v>#N/A</v>
      </c>
    </row>
    <row r="1033" ht="22.5" customHeight="1">
      <c r="A1033" s="38" t="s">
        <v>2310</v>
      </c>
      <c r="B1033" s="39">
        <v>440.62</v>
      </c>
      <c r="C1033" s="39">
        <v>98.39</v>
      </c>
      <c r="D1033" s="6" t="str">
        <f>Database!H1031</f>
        <v>#N/A</v>
      </c>
    </row>
    <row r="1034" ht="22.5" customHeight="1">
      <c r="A1034" s="38" t="s">
        <v>2311</v>
      </c>
      <c r="B1034" s="39">
        <v>429.46</v>
      </c>
      <c r="C1034" s="39">
        <v>104.92</v>
      </c>
      <c r="D1034" s="6" t="str">
        <f>Database!H1032</f>
        <v>#N/A</v>
      </c>
    </row>
    <row r="1035" ht="22.5" customHeight="1">
      <c r="A1035" s="38" t="s">
        <v>2312</v>
      </c>
      <c r="B1035" s="39">
        <v>292.96</v>
      </c>
      <c r="C1035" s="39">
        <v>98.73</v>
      </c>
      <c r="D1035" s="6" t="str">
        <f>Database!H1033</f>
        <v>#N/A</v>
      </c>
    </row>
    <row r="1036" ht="22.5" customHeight="1">
      <c r="A1036" s="38" t="s">
        <v>2313</v>
      </c>
      <c r="B1036" s="39">
        <v>203.85</v>
      </c>
      <c r="C1036" s="39">
        <v>49.84</v>
      </c>
      <c r="D1036" s="6" t="str">
        <f>Database!H1034</f>
        <v>#N/A</v>
      </c>
    </row>
    <row r="1037" ht="22.5" customHeight="1">
      <c r="A1037" s="38" t="s">
        <v>2314</v>
      </c>
      <c r="B1037" s="39">
        <v>242.005</v>
      </c>
      <c r="C1037" s="39">
        <v>144.34</v>
      </c>
      <c r="D1037" s="6" t="str">
        <f>Database!H1035</f>
        <v>#N/A</v>
      </c>
    </row>
    <row r="1038" ht="22.5" customHeight="1">
      <c r="A1038" s="38" t="s">
        <v>2315</v>
      </c>
      <c r="B1038" s="39">
        <v>233.69</v>
      </c>
      <c r="C1038" s="39">
        <v>83.31</v>
      </c>
      <c r="D1038" s="6" t="str">
        <f>Database!H1036</f>
        <v>#N/A</v>
      </c>
    </row>
    <row r="1039" ht="22.5" customHeight="1">
      <c r="A1039" s="38" t="s">
        <v>2316</v>
      </c>
      <c r="B1039" s="39">
        <v>261.515</v>
      </c>
      <c r="C1039" s="39">
        <v>84.92</v>
      </c>
      <c r="D1039" s="6" t="str">
        <f>Database!H1037</f>
        <v>#N/A</v>
      </c>
    </row>
    <row r="1040" ht="22.5" customHeight="1">
      <c r="A1040" s="38" t="s">
        <v>2317</v>
      </c>
      <c r="B1040" s="39">
        <v>235.03</v>
      </c>
      <c r="C1040" s="39">
        <v>155.37</v>
      </c>
      <c r="D1040" s="6" t="str">
        <f>Database!H1038</f>
        <v>#N/A</v>
      </c>
    </row>
    <row r="1041" ht="22.5" customHeight="1">
      <c r="A1041" s="38" t="s">
        <v>2318</v>
      </c>
      <c r="B1041" s="39">
        <v>376.32</v>
      </c>
      <c r="C1041" s="39">
        <v>184.32</v>
      </c>
      <c r="D1041" s="6" t="str">
        <f>Database!H1039</f>
        <v>#N/A</v>
      </c>
    </row>
    <row r="1042" ht="22.5" customHeight="1">
      <c r="A1042" s="38" t="s">
        <v>2319</v>
      </c>
      <c r="B1042" s="39">
        <v>352.57</v>
      </c>
      <c r="C1042" s="39">
        <v>93.09</v>
      </c>
      <c r="D1042" s="6" t="str">
        <f>Database!H1040</f>
        <v>#N/A</v>
      </c>
    </row>
    <row r="1043" ht="22.5" customHeight="1">
      <c r="A1043" s="38" t="s">
        <v>2320</v>
      </c>
      <c r="B1043" s="39">
        <v>224.655</v>
      </c>
      <c r="C1043" s="39">
        <v>108.87</v>
      </c>
      <c r="D1043" s="6" t="str">
        <f>Database!H1041</f>
        <v>#N/A</v>
      </c>
    </row>
    <row r="1044" ht="22.5" customHeight="1">
      <c r="A1044" s="38" t="s">
        <v>2321</v>
      </c>
      <c r="B1044" s="39">
        <v>216.95</v>
      </c>
      <c r="C1044" s="39">
        <v>83.14</v>
      </c>
      <c r="D1044" s="6" t="str">
        <f>Database!H1042</f>
        <v>#N/A</v>
      </c>
    </row>
    <row r="1045" ht="22.5" customHeight="1">
      <c r="A1045" s="38" t="s">
        <v>2322</v>
      </c>
      <c r="B1045" s="39">
        <v>221.68</v>
      </c>
      <c r="C1045" s="39">
        <v>92.41</v>
      </c>
      <c r="D1045" s="6" t="str">
        <f>Database!H1043</f>
        <v>#N/A</v>
      </c>
    </row>
    <row r="1046" ht="22.5" customHeight="1">
      <c r="A1046" s="38" t="s">
        <v>2323</v>
      </c>
      <c r="B1046" s="39">
        <v>233.32</v>
      </c>
      <c r="C1046" s="39">
        <v>84.94</v>
      </c>
      <c r="D1046" s="6" t="str">
        <f>Database!H1044</f>
        <v>#N/A</v>
      </c>
    </row>
    <row r="1047" ht="22.5" customHeight="1">
      <c r="A1047" s="38" t="s">
        <v>2324</v>
      </c>
      <c r="B1047" s="39">
        <v>207.87</v>
      </c>
      <c r="C1047" s="39">
        <v>88.16</v>
      </c>
      <c r="D1047" s="6" t="str">
        <f>#REF!</f>
        <v>#REF!</v>
      </c>
    </row>
    <row r="1048" ht="22.5" customHeight="1">
      <c r="A1048" s="38" t="s">
        <v>2325</v>
      </c>
      <c r="B1048" s="39">
        <v>248.06</v>
      </c>
      <c r="C1048" s="39">
        <v>93.05</v>
      </c>
      <c r="D1048" s="6" t="str">
        <f>Database!H1045</f>
        <v>#N/A</v>
      </c>
    </row>
    <row r="1049" ht="22.5" customHeight="1">
      <c r="A1049" s="38" t="s">
        <v>2326</v>
      </c>
      <c r="B1049" s="39">
        <v>193.005</v>
      </c>
      <c r="C1049" s="39">
        <v>154.11</v>
      </c>
      <c r="D1049" s="6" t="str">
        <f>Database!H1046</f>
        <v>#N/A</v>
      </c>
    </row>
    <row r="1050" ht="22.5" customHeight="1">
      <c r="A1050" s="38" t="s">
        <v>2327</v>
      </c>
      <c r="B1050" s="39">
        <v>195.68</v>
      </c>
      <c r="C1050" s="39">
        <v>156.06</v>
      </c>
      <c r="D1050" s="6" t="str">
        <f>Database!H1047</f>
        <v>#N/A</v>
      </c>
    </row>
    <row r="1051" ht="22.5" customHeight="1">
      <c r="A1051" s="38" t="s">
        <v>2328</v>
      </c>
      <c r="B1051" s="39">
        <v>582.625</v>
      </c>
      <c r="C1051" s="39">
        <v>145.99</v>
      </c>
      <c r="D1051" s="6" t="str">
        <f>Database!H1048</f>
        <v>#N/A</v>
      </c>
    </row>
    <row r="1052" ht="22.5" customHeight="1">
      <c r="A1052" s="38" t="s">
        <v>2329</v>
      </c>
      <c r="B1052" s="39">
        <v>211.76</v>
      </c>
      <c r="C1052" s="39">
        <v>157.3</v>
      </c>
      <c r="D1052" s="6" t="str">
        <f>Database!H1049</f>
        <v>#N/A</v>
      </c>
    </row>
    <row r="1053" ht="22.5" customHeight="1">
      <c r="A1053" s="38" t="s">
        <v>2330</v>
      </c>
      <c r="B1053" s="39">
        <v>286.37</v>
      </c>
      <c r="C1053" s="39">
        <v>286.5</v>
      </c>
      <c r="D1053" s="6" t="str">
        <f>Database!H1050</f>
        <v>#N/A</v>
      </c>
    </row>
    <row r="1054" ht="22.5" customHeight="1">
      <c r="A1054" s="38" t="s">
        <v>2331</v>
      </c>
      <c r="B1054" s="39">
        <v>481.35</v>
      </c>
      <c r="C1054" s="39">
        <v>86.69</v>
      </c>
      <c r="D1054" s="6" t="str">
        <f>Database!H1051</f>
        <v>#N/A</v>
      </c>
    </row>
    <row r="1055" ht="22.5" customHeight="1">
      <c r="A1055" s="38" t="s">
        <v>2332</v>
      </c>
      <c r="B1055" s="39">
        <v>297.72</v>
      </c>
      <c r="C1055" s="39">
        <v>99.71</v>
      </c>
      <c r="D1055" s="6" t="str">
        <f>Database!H1052</f>
        <v>#N/A</v>
      </c>
    </row>
    <row r="1056" ht="22.5" customHeight="1">
      <c r="A1056" s="38" t="s">
        <v>2333</v>
      </c>
      <c r="B1056" s="39">
        <v>249.45</v>
      </c>
      <c r="C1056" s="39">
        <v>99.98</v>
      </c>
      <c r="D1056" s="6" t="str">
        <f>Database!H1053</f>
        <v>#N/A</v>
      </c>
    </row>
    <row r="1057" ht="22.5" customHeight="1">
      <c r="A1057" s="38" t="s">
        <v>2334</v>
      </c>
      <c r="B1057" s="39">
        <v>241.17</v>
      </c>
      <c r="C1057" s="39">
        <v>160.62</v>
      </c>
      <c r="D1057" s="6" t="str">
        <f>Database!H1054</f>
        <v>#N/A</v>
      </c>
    </row>
    <row r="1058" ht="22.5" customHeight="1">
      <c r="A1058" s="38" t="s">
        <v>2335</v>
      </c>
      <c r="B1058" s="39">
        <v>324.04</v>
      </c>
      <c r="C1058" s="39">
        <v>107.87</v>
      </c>
      <c r="D1058" s="6" t="str">
        <f>Database!H1055</f>
        <v>#N/A</v>
      </c>
    </row>
    <row r="1059" ht="22.5" customHeight="1">
      <c r="A1059" s="38" t="s">
        <v>2336</v>
      </c>
      <c r="B1059" s="39">
        <v>504.53</v>
      </c>
      <c r="C1059" s="39">
        <v>218.715</v>
      </c>
      <c r="D1059" s="6" t="str">
        <f>Database!H1056</f>
        <v>#N/A</v>
      </c>
    </row>
    <row r="1060" ht="22.5" customHeight="1">
      <c r="A1060" s="38" t="s">
        <v>2337</v>
      </c>
      <c r="B1060" s="39">
        <v>347.6</v>
      </c>
      <c r="C1060" s="39">
        <v>147.14</v>
      </c>
      <c r="D1060" s="6" t="str">
        <f>Database!H1057</f>
        <v>#N/A</v>
      </c>
    </row>
    <row r="1061" ht="22.5" customHeight="1">
      <c r="A1061" s="38" t="s">
        <v>2338</v>
      </c>
      <c r="B1061" s="39">
        <v>293.04</v>
      </c>
      <c r="C1061" s="39">
        <v>98.7</v>
      </c>
      <c r="D1061" s="6" t="str">
        <f>Database!H1058</f>
        <v>#N/A</v>
      </c>
    </row>
    <row r="1062" ht="22.5" customHeight="1">
      <c r="A1062" s="38" t="s">
        <v>2339</v>
      </c>
      <c r="B1062" s="39">
        <v>292.97</v>
      </c>
      <c r="C1062" s="39">
        <v>276.99</v>
      </c>
      <c r="D1062" s="6" t="str">
        <f>Database!H1059</f>
        <v>#N/A</v>
      </c>
    </row>
    <row r="1063" ht="22.5" customHeight="1">
      <c r="A1063" s="38" t="s">
        <v>2340</v>
      </c>
      <c r="B1063" s="39">
        <v>276.72</v>
      </c>
      <c r="C1063" s="39">
        <v>205.81</v>
      </c>
      <c r="D1063" s="6" t="str">
        <f>Database!H1060</f>
        <v>#N/A</v>
      </c>
    </row>
    <row r="1064" ht="22.5" customHeight="1">
      <c r="A1064" s="38" t="s">
        <v>2341</v>
      </c>
      <c r="B1064" s="39">
        <v>239.875</v>
      </c>
      <c r="C1064" s="39">
        <v>93.33</v>
      </c>
      <c r="D1064" s="6" t="str">
        <f>Database!H1061</f>
        <v>#N/A</v>
      </c>
    </row>
    <row r="1065" ht="22.5" customHeight="1">
      <c r="A1065" s="38" t="s">
        <v>2342</v>
      </c>
      <c r="B1065" s="39">
        <v>220.015</v>
      </c>
      <c r="C1065" s="39">
        <v>112.66</v>
      </c>
      <c r="D1065" s="6" t="str">
        <f>Database!H1062</f>
        <v>#N/A</v>
      </c>
    </row>
    <row r="1066" ht="22.5" customHeight="1">
      <c r="A1066" s="38" t="s">
        <v>2343</v>
      </c>
      <c r="B1066" s="39">
        <v>228.48</v>
      </c>
      <c r="C1066" s="39">
        <v>98.6</v>
      </c>
      <c r="D1066" s="6" t="str">
        <f>Database!H1063</f>
        <v>#N/A</v>
      </c>
    </row>
    <row r="1067" ht="22.5" customHeight="1">
      <c r="A1067" s="38" t="s">
        <v>2344</v>
      </c>
      <c r="B1067" s="39">
        <v>196.06</v>
      </c>
      <c r="C1067" s="39">
        <v>107.67</v>
      </c>
      <c r="D1067" s="6" t="str">
        <f>Database!H1064</f>
        <v>#N/A</v>
      </c>
    </row>
    <row r="1068" ht="22.5" customHeight="1">
      <c r="A1068" s="38" t="s">
        <v>2345</v>
      </c>
      <c r="B1068" s="39">
        <v>166.55</v>
      </c>
      <c r="C1068" s="39">
        <v>156.06</v>
      </c>
      <c r="D1068" s="6" t="str">
        <f>Database!H1065</f>
        <v>#N/A</v>
      </c>
    </row>
    <row r="1069" ht="22.5" customHeight="1">
      <c r="A1069" s="38" t="s">
        <v>2346</v>
      </c>
      <c r="B1069" s="39">
        <v>185.32</v>
      </c>
      <c r="C1069" s="39">
        <v>88.38</v>
      </c>
      <c r="D1069" s="6" t="str">
        <f>Database!H1066</f>
        <v>#N/A</v>
      </c>
    </row>
    <row r="1070" ht="22.5" customHeight="1">
      <c r="A1070" s="38" t="s">
        <v>2347</v>
      </c>
      <c r="B1070" s="39">
        <v>241.5</v>
      </c>
      <c r="C1070" s="39">
        <v>117.145</v>
      </c>
      <c r="D1070" s="6" t="str">
        <f>Database!H1067</f>
        <v>#N/A</v>
      </c>
    </row>
    <row r="1071" ht="22.5" customHeight="1">
      <c r="A1071" s="38" t="s">
        <v>2348</v>
      </c>
      <c r="B1071" s="39">
        <v>156.12</v>
      </c>
      <c r="C1071" s="39">
        <v>78.49</v>
      </c>
      <c r="D1071" s="6" t="str">
        <f>Database!H1068</f>
        <v>#N/A</v>
      </c>
    </row>
    <row r="1072" ht="22.5" customHeight="1">
      <c r="A1072" s="38" t="s">
        <v>2349</v>
      </c>
      <c r="B1072" s="39">
        <v>199.8</v>
      </c>
      <c r="C1072" s="39">
        <v>139.09</v>
      </c>
      <c r="D1072" s="6" t="str">
        <f>Database!H1069</f>
        <v>#N/A</v>
      </c>
    </row>
    <row r="1073" ht="22.5" customHeight="1">
      <c r="A1073" s="38" t="s">
        <v>2350</v>
      </c>
      <c r="B1073" s="39">
        <v>276.75</v>
      </c>
      <c r="C1073" s="39">
        <v>244.7</v>
      </c>
      <c r="D1073" s="6" t="str">
        <f>Database!H1070</f>
        <v>#N/A</v>
      </c>
    </row>
    <row r="1074" ht="22.5" customHeight="1">
      <c r="A1074" s="38" t="s">
        <v>2351</v>
      </c>
      <c r="B1074" s="39">
        <v>246.81</v>
      </c>
      <c r="C1074" s="39">
        <v>233.19</v>
      </c>
      <c r="D1074" s="6" t="str">
        <f>Database!H1071</f>
        <v>#N/A</v>
      </c>
    </row>
    <row r="1075" ht="22.5" customHeight="1">
      <c r="A1075" s="38" t="s">
        <v>2352</v>
      </c>
      <c r="B1075" s="39">
        <v>153.24</v>
      </c>
      <c r="C1075" s="39">
        <v>148.195</v>
      </c>
      <c r="D1075" s="6" t="str">
        <f>Database!H1072</f>
        <v>#N/A</v>
      </c>
    </row>
    <row r="1076" ht="22.5" customHeight="1">
      <c r="A1076" s="38" t="s">
        <v>2353</v>
      </c>
      <c r="B1076" s="39">
        <v>185.35</v>
      </c>
      <c r="C1076" s="39">
        <v>276.68</v>
      </c>
      <c r="D1076" s="6" t="str">
        <f>Database!H1073</f>
        <v>#N/A</v>
      </c>
    </row>
    <row r="1077" ht="22.5" customHeight="1">
      <c r="A1077" s="38" t="s">
        <v>2354</v>
      </c>
      <c r="B1077" s="39">
        <v>164.84</v>
      </c>
      <c r="C1077" s="39">
        <v>114.96</v>
      </c>
      <c r="D1077" s="6" t="str">
        <f>Database!H1074</f>
        <v>#N/A</v>
      </c>
    </row>
    <row r="1078" ht="22.5" customHeight="1">
      <c r="A1078" s="38" t="s">
        <v>2355</v>
      </c>
      <c r="B1078" s="39">
        <v>192.4</v>
      </c>
      <c r="C1078" s="39">
        <v>100.64</v>
      </c>
      <c r="D1078" s="6" t="str">
        <f>Database!H1075</f>
        <v>#N/A</v>
      </c>
    </row>
    <row r="1079" ht="22.5" customHeight="1">
      <c r="A1079" s="38" t="s">
        <v>2356</v>
      </c>
      <c r="B1079" s="39">
        <v>157.95</v>
      </c>
      <c r="C1079" s="39">
        <v>93.195</v>
      </c>
      <c r="D1079" s="6" t="str">
        <f>Database!H1085</f>
        <v>#N/A</v>
      </c>
    </row>
    <row r="1080" ht="22.5" customHeight="1">
      <c r="A1080" s="38" t="s">
        <v>2357</v>
      </c>
      <c r="B1080" s="39">
        <v>196.19</v>
      </c>
      <c r="C1080" s="39">
        <v>80.83</v>
      </c>
      <c r="D1080" s="6" t="str">
        <f>Database!H1083</f>
        <v>#N/A</v>
      </c>
    </row>
    <row r="1081" ht="22.5" customHeight="1">
      <c r="A1081" s="38" t="s">
        <v>2358</v>
      </c>
      <c r="B1081" s="39">
        <v>181.83</v>
      </c>
      <c r="C1081" s="39">
        <v>142.775</v>
      </c>
      <c r="D1081" s="6" t="str">
        <f>Database!H1082</f>
        <v>#N/A</v>
      </c>
    </row>
    <row r="1082" ht="22.5" customHeight="1">
      <c r="A1082" s="38" t="s">
        <v>2359</v>
      </c>
      <c r="B1082" s="39">
        <v>271.5</v>
      </c>
      <c r="C1082" s="39">
        <v>110.6</v>
      </c>
      <c r="D1082" s="6" t="str">
        <f>Database!H1081</f>
        <v>#N/A</v>
      </c>
    </row>
    <row r="1083" ht="22.5" customHeight="1">
      <c r="A1083" s="38" t="s">
        <v>2360</v>
      </c>
      <c r="B1083" s="39">
        <v>139.55</v>
      </c>
      <c r="C1083" s="39">
        <v>131.34</v>
      </c>
      <c r="D1083" s="6" t="str">
        <f>Database!H1080</f>
        <v>#N/A</v>
      </c>
    </row>
    <row r="1084" ht="22.5" customHeight="1">
      <c r="A1084" s="38" t="s">
        <v>2361</v>
      </c>
      <c r="B1084" s="39">
        <v>262.11</v>
      </c>
      <c r="C1084" s="39">
        <v>117.2</v>
      </c>
      <c r="D1084" s="6" t="str">
        <f>Database!H1079</f>
        <v>#N/A</v>
      </c>
    </row>
    <row r="1085" ht="22.5" customHeight="1">
      <c r="A1085" s="38" t="s">
        <v>2362</v>
      </c>
      <c r="B1085" s="39">
        <v>192.53</v>
      </c>
      <c r="C1085" s="39">
        <v>145.22</v>
      </c>
      <c r="D1085" s="6" t="str">
        <f>Database!H1078</f>
        <v>#N/A</v>
      </c>
    </row>
    <row r="1086" ht="22.5" customHeight="1">
      <c r="A1086" s="38" t="s">
        <v>2363</v>
      </c>
      <c r="B1086" s="39">
        <v>278.45</v>
      </c>
      <c r="C1086" s="39">
        <v>220.06</v>
      </c>
      <c r="D1086" s="6" t="str">
        <f>Database!H1077</f>
        <v>#N/A</v>
      </c>
    </row>
    <row r="1087" ht="22.5" customHeight="1">
      <c r="A1087" s="38" t="s">
        <v>2364</v>
      </c>
      <c r="B1087" s="39">
        <v>196.24</v>
      </c>
      <c r="C1087" s="39">
        <v>138.935</v>
      </c>
      <c r="D1087" s="6" t="str">
        <f>Database!H1076</f>
        <v>#N/A</v>
      </c>
    </row>
    <row r="1088" ht="22.5" customHeight="1">
      <c r="A1088" s="38" t="s">
        <v>2365</v>
      </c>
      <c r="B1088" s="39">
        <v>293.03</v>
      </c>
      <c r="C1088" s="39">
        <v>145.32</v>
      </c>
      <c r="D1088" s="6" t="str">
        <f>Database!H1084</f>
        <v>#N/A</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1" t="s">
        <v>2366</v>
      </c>
    </row>
    <row r="3">
      <c r="B3" s="42" t="s">
        <v>6</v>
      </c>
      <c r="C3" s="42" t="s">
        <v>2367</v>
      </c>
    </row>
    <row r="4">
      <c r="B4" s="41" t="s">
        <v>25</v>
      </c>
      <c r="C4" s="41">
        <v>965.0</v>
      </c>
    </row>
    <row r="5">
      <c r="B5" s="41" t="s">
        <v>114</v>
      </c>
      <c r="C5" s="41">
        <v>35.0</v>
      </c>
    </row>
    <row r="6">
      <c r="B6" s="41" t="s">
        <v>167</v>
      </c>
      <c r="C6" s="41">
        <v>35.0</v>
      </c>
    </row>
    <row r="7">
      <c r="B7" s="41" t="s">
        <v>162</v>
      </c>
      <c r="C7" s="41">
        <v>21.0</v>
      </c>
    </row>
    <row r="8">
      <c r="B8" s="41" t="s">
        <v>91</v>
      </c>
      <c r="C8" s="41">
        <v>14.0</v>
      </c>
    </row>
    <row r="10">
      <c r="B10" s="43" t="s">
        <v>2368</v>
      </c>
    </row>
    <row r="11">
      <c r="B11" s="43" t="s">
        <v>2369</v>
      </c>
    </row>
    <row r="12">
      <c r="B12" s="42" t="s">
        <v>20</v>
      </c>
      <c r="C12" s="42" t="s">
        <v>2367</v>
      </c>
    </row>
    <row r="13">
      <c r="B13" s="41" t="s">
        <v>2370</v>
      </c>
      <c r="C13" s="41">
        <v>787.0</v>
      </c>
    </row>
    <row r="14">
      <c r="B14" s="41" t="s">
        <v>58</v>
      </c>
      <c r="C14" s="41">
        <v>311.0</v>
      </c>
    </row>
    <row r="16">
      <c r="B16" s="44" t="s">
        <v>2371</v>
      </c>
    </row>
    <row r="22">
      <c r="B22" s="43" t="s">
        <v>2372</v>
      </c>
    </row>
    <row r="23">
      <c r="B23" s="42" t="s">
        <v>19</v>
      </c>
      <c r="C23" s="42" t="s">
        <v>2367</v>
      </c>
    </row>
    <row r="24">
      <c r="B24" s="41" t="s">
        <v>34</v>
      </c>
      <c r="C24" s="41">
        <v>72.0</v>
      </c>
    </row>
    <row r="25">
      <c r="B25" s="41" t="s">
        <v>37</v>
      </c>
      <c r="C25" s="41">
        <v>45.0</v>
      </c>
    </row>
    <row r="26">
      <c r="B26" s="41" t="s">
        <v>26</v>
      </c>
      <c r="C26" s="41">
        <v>42.0</v>
      </c>
    </row>
    <row r="27">
      <c r="B27" s="41" t="s">
        <v>52</v>
      </c>
      <c r="C27" s="41">
        <v>37.0</v>
      </c>
    </row>
    <row r="28">
      <c r="B28" s="41" t="s">
        <v>56</v>
      </c>
      <c r="C28" s="41">
        <v>34.0</v>
      </c>
    </row>
    <row r="29">
      <c r="B29" s="41" t="s">
        <v>157</v>
      </c>
      <c r="C29" s="41">
        <v>31.0</v>
      </c>
    </row>
    <row r="30">
      <c r="B30" s="41" t="s">
        <v>75</v>
      </c>
      <c r="C30" s="41">
        <v>30.0</v>
      </c>
    </row>
    <row r="31">
      <c r="B31" s="41" t="s">
        <v>94</v>
      </c>
      <c r="C31" s="41">
        <v>29.0</v>
      </c>
    </row>
    <row r="32">
      <c r="B32" s="41" t="s">
        <v>64</v>
      </c>
      <c r="C32" s="41">
        <v>26.0</v>
      </c>
    </row>
    <row r="33">
      <c r="B33" s="41" t="s">
        <v>153</v>
      </c>
      <c r="C33" s="41">
        <v>26.0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25"/>
    <col customWidth="1" min="2" max="2" width="17.38"/>
    <col customWidth="1" min="3" max="4" width="37.63"/>
    <col customWidth="1" min="5" max="5" width="25.63"/>
    <col customWidth="1" min="6" max="6" width="40.63"/>
    <col customWidth="1" min="7" max="7" width="13.0"/>
    <col customWidth="1" min="8" max="9" width="17.38"/>
    <col customWidth="1" min="12" max="12" width="39.13"/>
  </cols>
  <sheetData>
    <row r="1" ht="22.5" customHeight="1">
      <c r="A1" s="3" t="s">
        <v>2</v>
      </c>
      <c r="B1" s="4" t="s">
        <v>16</v>
      </c>
      <c r="C1" s="4" t="s">
        <v>2373</v>
      </c>
      <c r="D1" s="3" t="s">
        <v>18</v>
      </c>
      <c r="E1" s="3" t="s">
        <v>6</v>
      </c>
      <c r="F1" s="3" t="s">
        <v>19</v>
      </c>
      <c r="G1" s="3" t="s">
        <v>12</v>
      </c>
      <c r="H1" s="4" t="s">
        <v>2374</v>
      </c>
      <c r="I1" s="3" t="s">
        <v>10</v>
      </c>
      <c r="J1" s="3" t="s">
        <v>21</v>
      </c>
      <c r="K1" s="3" t="s">
        <v>14</v>
      </c>
      <c r="L1" s="3" t="s">
        <v>22</v>
      </c>
    </row>
    <row r="2" ht="22.5" customHeight="1">
      <c r="A2" s="5" t="s">
        <v>23</v>
      </c>
      <c r="B2" s="2"/>
      <c r="C2" s="18" t="str">
        <f t="shared" ref="C2:C1099" si="1">A2&amp;"_"&amp;COUNTIF($A$2:A2,A2)</f>
        <v>Abhogi_1</v>
      </c>
      <c r="E2" s="8" t="s">
        <v>25</v>
      </c>
      <c r="F2" s="2" t="s">
        <v>26</v>
      </c>
      <c r="H2" s="2"/>
      <c r="I2" s="2" t="s">
        <v>27</v>
      </c>
    </row>
    <row r="3" ht="22.5" customHeight="1">
      <c r="A3" s="5" t="s">
        <v>23</v>
      </c>
      <c r="B3" s="2"/>
      <c r="C3" s="18" t="str">
        <f t="shared" si="1"/>
        <v>Abhogi_2</v>
      </c>
      <c r="E3" s="8" t="s">
        <v>25</v>
      </c>
      <c r="F3" s="2" t="s">
        <v>26</v>
      </c>
      <c r="H3" s="2"/>
      <c r="I3" s="2" t="s">
        <v>27</v>
      </c>
    </row>
    <row r="4" ht="22.5" customHeight="1">
      <c r="A4" s="5" t="s">
        <v>23</v>
      </c>
      <c r="B4" s="2"/>
      <c r="C4" s="18" t="str">
        <f t="shared" si="1"/>
        <v>Abhogi_3</v>
      </c>
      <c r="E4" s="8" t="s">
        <v>25</v>
      </c>
      <c r="F4" s="2" t="s">
        <v>26</v>
      </c>
      <c r="H4" s="2"/>
      <c r="I4" s="2" t="s">
        <v>27</v>
      </c>
    </row>
    <row r="5" ht="22.5" customHeight="1">
      <c r="A5" s="5" t="s">
        <v>23</v>
      </c>
      <c r="B5" s="2"/>
      <c r="C5" s="18" t="str">
        <f t="shared" si="1"/>
        <v>Abhogi_4</v>
      </c>
      <c r="E5" s="8" t="s">
        <v>25</v>
      </c>
      <c r="F5" s="2" t="s">
        <v>30</v>
      </c>
      <c r="H5" s="2"/>
      <c r="I5" s="2" t="s">
        <v>27</v>
      </c>
    </row>
    <row r="6" ht="22.5" customHeight="1">
      <c r="A6" s="5" t="s">
        <v>23</v>
      </c>
      <c r="B6" s="2"/>
      <c r="C6" s="18" t="str">
        <f t="shared" si="1"/>
        <v>Abhogi_5</v>
      </c>
      <c r="E6" s="8" t="s">
        <v>25</v>
      </c>
      <c r="F6" s="8" t="s">
        <v>31</v>
      </c>
      <c r="H6" s="2"/>
      <c r="I6" s="2" t="s">
        <v>27</v>
      </c>
    </row>
    <row r="7" ht="22.5" customHeight="1">
      <c r="A7" s="5" t="s">
        <v>23</v>
      </c>
      <c r="B7" s="2"/>
      <c r="C7" s="18" t="str">
        <f t="shared" si="1"/>
        <v>Abhogi_6</v>
      </c>
      <c r="E7" s="8" t="s">
        <v>25</v>
      </c>
      <c r="F7" s="8" t="s">
        <v>33</v>
      </c>
      <c r="H7" s="2"/>
      <c r="I7" s="2" t="s">
        <v>27</v>
      </c>
    </row>
    <row r="8" ht="22.5" customHeight="1">
      <c r="A8" s="5" t="s">
        <v>23</v>
      </c>
      <c r="B8" s="2"/>
      <c r="C8" s="18" t="str">
        <f t="shared" si="1"/>
        <v>Abhogi_7</v>
      </c>
      <c r="E8" s="8" t="s">
        <v>25</v>
      </c>
      <c r="F8" s="8" t="s">
        <v>34</v>
      </c>
      <c r="H8" s="2"/>
      <c r="I8" s="2" t="s">
        <v>27</v>
      </c>
    </row>
    <row r="9" ht="22.5" customHeight="1">
      <c r="A9" s="5" t="s">
        <v>23</v>
      </c>
      <c r="B9" s="2"/>
      <c r="C9" s="18" t="str">
        <f t="shared" si="1"/>
        <v>Abhogi_8</v>
      </c>
      <c r="E9" s="8" t="s">
        <v>25</v>
      </c>
      <c r="F9" s="8" t="s">
        <v>35</v>
      </c>
      <c r="H9" s="2"/>
      <c r="I9" s="2" t="s">
        <v>27</v>
      </c>
    </row>
    <row r="10" ht="22.5" customHeight="1">
      <c r="A10" s="5" t="s">
        <v>23</v>
      </c>
      <c r="B10" s="2"/>
      <c r="C10" s="18" t="str">
        <f t="shared" si="1"/>
        <v>Abhogi_9</v>
      </c>
      <c r="E10" s="8" t="s">
        <v>25</v>
      </c>
      <c r="F10" s="8" t="s">
        <v>37</v>
      </c>
      <c r="H10" s="2"/>
      <c r="I10" s="2" t="s">
        <v>27</v>
      </c>
    </row>
    <row r="11" ht="22.5" customHeight="1">
      <c r="A11" s="5" t="s">
        <v>23</v>
      </c>
      <c r="B11" s="2"/>
      <c r="C11" s="18" t="str">
        <f t="shared" si="1"/>
        <v>Abhogi_10</v>
      </c>
      <c r="E11" s="8" t="s">
        <v>25</v>
      </c>
      <c r="F11" s="8" t="s">
        <v>39</v>
      </c>
      <c r="H11" s="2"/>
      <c r="I11" s="2" t="s">
        <v>27</v>
      </c>
    </row>
    <row r="12" ht="22.5" customHeight="1">
      <c r="A12" s="5" t="s">
        <v>40</v>
      </c>
      <c r="B12" s="2" t="s">
        <v>24</v>
      </c>
      <c r="C12" s="18" t="str">
        <f t="shared" si="1"/>
        <v>Adana_1</v>
      </c>
      <c r="D12" s="15" t="s">
        <v>2375</v>
      </c>
      <c r="E12" s="2" t="s">
        <v>25</v>
      </c>
      <c r="F12" s="2" t="s">
        <v>37</v>
      </c>
      <c r="H12" s="2"/>
      <c r="I12" s="2" t="s">
        <v>42</v>
      </c>
    </row>
    <row r="13" ht="22.5" customHeight="1">
      <c r="A13" s="5" t="s">
        <v>40</v>
      </c>
      <c r="B13" s="2" t="s">
        <v>43</v>
      </c>
      <c r="C13" s="45" t="str">
        <f t="shared" si="1"/>
        <v>Adana_2</v>
      </c>
      <c r="D13" s="12" t="s">
        <v>44</v>
      </c>
      <c r="E13" s="2" t="s">
        <v>25</v>
      </c>
      <c r="F13" s="2" t="s">
        <v>45</v>
      </c>
      <c r="H13" s="2"/>
      <c r="I13" s="2" t="s">
        <v>46</v>
      </c>
    </row>
    <row r="14" ht="22.5" customHeight="1">
      <c r="A14" s="5" t="s">
        <v>40</v>
      </c>
      <c r="B14" s="2" t="s">
        <v>43</v>
      </c>
      <c r="C14" s="45" t="str">
        <f t="shared" si="1"/>
        <v>Adana_3</v>
      </c>
      <c r="D14" s="12" t="s">
        <v>47</v>
      </c>
      <c r="E14" s="2" t="s">
        <v>25</v>
      </c>
      <c r="F14" s="2" t="s">
        <v>48</v>
      </c>
      <c r="H14" s="2"/>
      <c r="I14" s="2" t="s">
        <v>42</v>
      </c>
    </row>
    <row r="15" ht="22.5" customHeight="1">
      <c r="A15" s="5" t="s">
        <v>40</v>
      </c>
      <c r="B15" s="2" t="s">
        <v>24</v>
      </c>
      <c r="C15" s="45" t="str">
        <f t="shared" si="1"/>
        <v>Adana_4</v>
      </c>
      <c r="D15" s="12" t="s">
        <v>49</v>
      </c>
      <c r="E15" s="2" t="s">
        <v>25</v>
      </c>
      <c r="F15" s="2" t="s">
        <v>50</v>
      </c>
    </row>
    <row r="16" ht="22.5" customHeight="1">
      <c r="A16" s="5" t="s">
        <v>40</v>
      </c>
      <c r="B16" s="2" t="s">
        <v>43</v>
      </c>
      <c r="C16" s="45" t="str">
        <f t="shared" si="1"/>
        <v>Adana_5</v>
      </c>
      <c r="D16" s="12" t="s">
        <v>51</v>
      </c>
      <c r="E16" s="2" t="s">
        <v>25</v>
      </c>
      <c r="F16" s="2" t="s">
        <v>52</v>
      </c>
    </row>
    <row r="17" ht="22.5" customHeight="1">
      <c r="A17" s="5" t="s">
        <v>40</v>
      </c>
      <c r="B17" s="2" t="s">
        <v>24</v>
      </c>
      <c r="C17" s="45" t="str">
        <f t="shared" si="1"/>
        <v>Adana_6</v>
      </c>
      <c r="D17" s="12" t="s">
        <v>53</v>
      </c>
      <c r="E17" s="2" t="s">
        <v>25</v>
      </c>
      <c r="F17" s="8" t="s">
        <v>54</v>
      </c>
    </row>
    <row r="18" ht="22.5" customHeight="1">
      <c r="A18" s="5" t="s">
        <v>40</v>
      </c>
      <c r="B18" s="2" t="s">
        <v>2376</v>
      </c>
      <c r="C18" s="45" t="str">
        <f t="shared" si="1"/>
        <v>Adana_7</v>
      </c>
      <c r="D18" s="12" t="s">
        <v>55</v>
      </c>
      <c r="E18" s="2" t="s">
        <v>25</v>
      </c>
      <c r="F18" s="2" t="s">
        <v>56</v>
      </c>
    </row>
    <row r="19" ht="22.5" customHeight="1">
      <c r="A19" s="5" t="s">
        <v>40</v>
      </c>
      <c r="B19" s="2" t="s">
        <v>24</v>
      </c>
      <c r="C19" s="45" t="str">
        <f t="shared" si="1"/>
        <v>Adana_8</v>
      </c>
      <c r="D19" s="12" t="s">
        <v>57</v>
      </c>
      <c r="E19" s="2" t="s">
        <v>25</v>
      </c>
      <c r="F19" s="2" t="s">
        <v>37</v>
      </c>
    </row>
    <row r="20" ht="22.5" customHeight="1">
      <c r="A20" s="5" t="s">
        <v>40</v>
      </c>
      <c r="B20" s="2" t="s">
        <v>58</v>
      </c>
      <c r="C20" s="45" t="str">
        <f t="shared" si="1"/>
        <v>Adana_9</v>
      </c>
      <c r="D20" s="12" t="s">
        <v>59</v>
      </c>
      <c r="E20" s="2" t="s">
        <v>25</v>
      </c>
      <c r="F20" s="2" t="s">
        <v>60</v>
      </c>
      <c r="L20" s="2" t="s">
        <v>61</v>
      </c>
    </row>
    <row r="21" ht="22.5" customHeight="1">
      <c r="A21" s="5" t="s">
        <v>40</v>
      </c>
      <c r="B21" s="2" t="s">
        <v>62</v>
      </c>
      <c r="C21" s="45" t="str">
        <f t="shared" si="1"/>
        <v>Adana_10</v>
      </c>
      <c r="D21" s="12" t="s">
        <v>63</v>
      </c>
      <c r="E21" s="2" t="s">
        <v>25</v>
      </c>
      <c r="F21" s="2" t="s">
        <v>64</v>
      </c>
    </row>
    <row r="22" ht="22.5" customHeight="1">
      <c r="A22" s="5" t="s">
        <v>65</v>
      </c>
      <c r="B22" s="2"/>
      <c r="C22" s="18" t="str">
        <f t="shared" si="1"/>
        <v>Ahir Bhairav_1</v>
      </c>
      <c r="E22" s="8" t="s">
        <v>25</v>
      </c>
      <c r="F22" s="8" t="s">
        <v>66</v>
      </c>
      <c r="H22" s="2"/>
      <c r="I22" s="2" t="s">
        <v>27</v>
      </c>
    </row>
    <row r="23" ht="22.5" customHeight="1">
      <c r="A23" s="5" t="s">
        <v>65</v>
      </c>
      <c r="B23" s="2"/>
      <c r="C23" s="18" t="str">
        <f t="shared" si="1"/>
        <v>Ahir Bhairav_2</v>
      </c>
      <c r="E23" s="8" t="s">
        <v>25</v>
      </c>
      <c r="F23" s="8" t="s">
        <v>68</v>
      </c>
      <c r="H23" s="2"/>
      <c r="I23" s="2" t="s">
        <v>27</v>
      </c>
    </row>
    <row r="24" ht="22.5" customHeight="1">
      <c r="A24" s="5" t="s">
        <v>65</v>
      </c>
      <c r="B24" s="2"/>
      <c r="C24" s="18" t="str">
        <f t="shared" si="1"/>
        <v>Ahir Bhairav_3</v>
      </c>
      <c r="E24" s="8" t="s">
        <v>25</v>
      </c>
      <c r="F24" s="8" t="s">
        <v>69</v>
      </c>
      <c r="H24" s="2"/>
      <c r="I24" s="2" t="s">
        <v>27</v>
      </c>
    </row>
    <row r="25" ht="22.5" customHeight="1">
      <c r="A25" s="5" t="s">
        <v>65</v>
      </c>
      <c r="B25" s="2"/>
      <c r="C25" s="18" t="str">
        <f t="shared" si="1"/>
        <v>Ahir Bhairav_4</v>
      </c>
      <c r="E25" s="8" t="s">
        <v>25</v>
      </c>
      <c r="F25" s="8" t="s">
        <v>56</v>
      </c>
      <c r="H25" s="2"/>
      <c r="I25" s="2" t="s">
        <v>27</v>
      </c>
    </row>
    <row r="26" ht="22.5" customHeight="1">
      <c r="A26" s="5" t="s">
        <v>65</v>
      </c>
      <c r="B26" s="2"/>
      <c r="C26" s="18" t="str">
        <f t="shared" si="1"/>
        <v>Ahir Bhairav_5</v>
      </c>
      <c r="E26" s="8" t="s">
        <v>25</v>
      </c>
      <c r="F26" s="8" t="s">
        <v>56</v>
      </c>
      <c r="H26" s="2"/>
      <c r="I26" s="2" t="s">
        <v>27</v>
      </c>
    </row>
    <row r="27" ht="22.5" customHeight="1">
      <c r="A27" s="5" t="s">
        <v>65</v>
      </c>
      <c r="B27" s="2"/>
      <c r="C27" s="18" t="str">
        <f t="shared" si="1"/>
        <v>Ahir Bhairav_6</v>
      </c>
      <c r="E27" s="8" t="s">
        <v>25</v>
      </c>
      <c r="F27" s="8" t="s">
        <v>34</v>
      </c>
      <c r="H27" s="2"/>
      <c r="I27" s="2" t="s">
        <v>27</v>
      </c>
    </row>
    <row r="28" ht="22.5" customHeight="1">
      <c r="A28" s="5" t="s">
        <v>65</v>
      </c>
      <c r="B28" s="2"/>
      <c r="C28" s="18" t="str">
        <f t="shared" si="1"/>
        <v>Ahir Bhairav_7</v>
      </c>
      <c r="E28" s="8" t="s">
        <v>25</v>
      </c>
      <c r="F28" s="8" t="s">
        <v>68</v>
      </c>
      <c r="H28" s="2"/>
      <c r="I28" s="2" t="s">
        <v>27</v>
      </c>
    </row>
    <row r="29" ht="22.5" customHeight="1">
      <c r="A29" s="5" t="s">
        <v>65</v>
      </c>
      <c r="B29" s="2"/>
      <c r="C29" s="18" t="str">
        <f t="shared" si="1"/>
        <v>Ahir Bhairav_8</v>
      </c>
      <c r="E29" s="8" t="s">
        <v>25</v>
      </c>
      <c r="F29" s="8" t="s">
        <v>70</v>
      </c>
      <c r="H29" s="2"/>
      <c r="I29" s="2" t="s">
        <v>27</v>
      </c>
    </row>
    <row r="30" ht="22.5" customHeight="1">
      <c r="A30" s="5" t="s">
        <v>65</v>
      </c>
      <c r="B30" s="2"/>
      <c r="C30" s="18" t="str">
        <f t="shared" si="1"/>
        <v>Ahir Bhairav_9</v>
      </c>
      <c r="E30" s="8" t="s">
        <v>25</v>
      </c>
      <c r="F30" s="8" t="s">
        <v>71</v>
      </c>
      <c r="H30" s="2"/>
      <c r="I30" s="2" t="s">
        <v>27</v>
      </c>
    </row>
    <row r="31" ht="22.5" customHeight="1">
      <c r="A31" s="5" t="s">
        <v>65</v>
      </c>
      <c r="B31" s="2"/>
      <c r="C31" s="18" t="str">
        <f t="shared" si="1"/>
        <v>Ahir Bhairav_10</v>
      </c>
      <c r="E31" s="8" t="s">
        <v>25</v>
      </c>
      <c r="F31" s="8" t="s">
        <v>37</v>
      </c>
      <c r="H31" s="2"/>
      <c r="I31" s="2" t="s">
        <v>27</v>
      </c>
    </row>
    <row r="32" ht="22.5" customHeight="1">
      <c r="A32" s="5" t="s">
        <v>72</v>
      </c>
      <c r="B32" s="2"/>
      <c r="C32" s="18" t="str">
        <f t="shared" si="1"/>
        <v>Alhaiya Bilawal_1</v>
      </c>
      <c r="E32" s="8" t="s">
        <v>25</v>
      </c>
      <c r="F32" s="8" t="s">
        <v>73</v>
      </c>
      <c r="H32" s="2"/>
      <c r="I32" s="2" t="s">
        <v>27</v>
      </c>
    </row>
    <row r="33" ht="22.5" customHeight="1">
      <c r="A33" s="5" t="s">
        <v>72</v>
      </c>
      <c r="B33" s="2"/>
      <c r="C33" s="18" t="str">
        <f t="shared" si="1"/>
        <v>Alhaiya Bilawal_2</v>
      </c>
      <c r="E33" s="8" t="s">
        <v>25</v>
      </c>
      <c r="F33" s="8" t="s">
        <v>73</v>
      </c>
      <c r="H33" s="2"/>
      <c r="I33" s="2" t="s">
        <v>27</v>
      </c>
    </row>
    <row r="34" ht="22.5" customHeight="1">
      <c r="A34" s="5" t="s">
        <v>72</v>
      </c>
      <c r="B34" s="2"/>
      <c r="C34" s="18" t="str">
        <f t="shared" si="1"/>
        <v>Alhaiya Bilawal_3</v>
      </c>
      <c r="E34" s="8" t="s">
        <v>25</v>
      </c>
      <c r="F34" s="8" t="s">
        <v>74</v>
      </c>
      <c r="H34" s="2"/>
      <c r="I34" s="2" t="s">
        <v>27</v>
      </c>
    </row>
    <row r="35" ht="22.5" customHeight="1">
      <c r="A35" s="5" t="s">
        <v>72</v>
      </c>
      <c r="B35" s="2"/>
      <c r="C35" s="18" t="str">
        <f t="shared" si="1"/>
        <v>Alhaiya Bilawal_4</v>
      </c>
      <c r="E35" s="8" t="s">
        <v>25</v>
      </c>
      <c r="F35" s="8" t="s">
        <v>75</v>
      </c>
      <c r="H35" s="2"/>
      <c r="I35" s="2" t="s">
        <v>27</v>
      </c>
    </row>
    <row r="36" ht="22.5" customHeight="1">
      <c r="A36" s="5" t="s">
        <v>72</v>
      </c>
      <c r="B36" s="2"/>
      <c r="C36" s="18" t="str">
        <f t="shared" si="1"/>
        <v>Alhaiya Bilawal_5</v>
      </c>
      <c r="E36" s="8" t="s">
        <v>25</v>
      </c>
      <c r="F36" s="8" t="s">
        <v>75</v>
      </c>
      <c r="H36" s="2"/>
      <c r="I36" s="2" t="s">
        <v>27</v>
      </c>
    </row>
    <row r="37" ht="22.5" customHeight="1">
      <c r="A37" s="5" t="s">
        <v>72</v>
      </c>
      <c r="B37" s="2"/>
      <c r="C37" s="18" t="str">
        <f t="shared" si="1"/>
        <v>Alhaiya Bilawal_6</v>
      </c>
      <c r="E37" s="8" t="s">
        <v>25</v>
      </c>
      <c r="F37" s="8" t="s">
        <v>76</v>
      </c>
      <c r="H37" s="2"/>
      <c r="I37" s="2" t="s">
        <v>27</v>
      </c>
    </row>
    <row r="38" ht="22.5" customHeight="1">
      <c r="A38" s="5" t="s">
        <v>72</v>
      </c>
      <c r="B38" s="2"/>
      <c r="C38" s="18" t="str">
        <f t="shared" si="1"/>
        <v>Alhaiya Bilawal_7</v>
      </c>
      <c r="E38" s="8" t="s">
        <v>25</v>
      </c>
      <c r="F38" s="8" t="s">
        <v>56</v>
      </c>
      <c r="H38" s="2"/>
      <c r="I38" s="2" t="s">
        <v>27</v>
      </c>
    </row>
    <row r="39" ht="22.5" customHeight="1">
      <c r="A39" s="5" t="s">
        <v>72</v>
      </c>
      <c r="B39" s="2"/>
      <c r="C39" s="18" t="str">
        <f t="shared" si="1"/>
        <v>Alhaiya Bilawal_8</v>
      </c>
      <c r="E39" s="8" t="s">
        <v>25</v>
      </c>
      <c r="F39" s="8" t="s">
        <v>56</v>
      </c>
      <c r="H39" s="2"/>
      <c r="I39" s="2" t="s">
        <v>27</v>
      </c>
    </row>
    <row r="40" ht="22.5" customHeight="1">
      <c r="A40" s="5" t="s">
        <v>72</v>
      </c>
      <c r="B40" s="2"/>
      <c r="C40" s="18" t="str">
        <f t="shared" si="1"/>
        <v>Alhaiya Bilawal_9</v>
      </c>
      <c r="E40" s="8" t="s">
        <v>25</v>
      </c>
      <c r="F40" s="8" t="s">
        <v>68</v>
      </c>
      <c r="H40" s="2"/>
      <c r="I40" s="2" t="s">
        <v>27</v>
      </c>
    </row>
    <row r="41" ht="22.5" customHeight="1">
      <c r="A41" s="5" t="s">
        <v>72</v>
      </c>
      <c r="B41" s="2"/>
      <c r="C41" s="18" t="str">
        <f t="shared" si="1"/>
        <v>Alhaiya Bilawal_10</v>
      </c>
      <c r="E41" s="8" t="s">
        <v>25</v>
      </c>
      <c r="F41" s="8" t="s">
        <v>77</v>
      </c>
      <c r="H41" s="2"/>
      <c r="I41" s="2" t="s">
        <v>27</v>
      </c>
    </row>
    <row r="42" ht="22.5" customHeight="1">
      <c r="A42" s="5" t="s">
        <v>78</v>
      </c>
      <c r="B42" s="2" t="s">
        <v>43</v>
      </c>
      <c r="C42" s="45" t="str">
        <f t="shared" si="1"/>
        <v>Asavari (komal re)_1</v>
      </c>
      <c r="D42" s="12" t="s">
        <v>79</v>
      </c>
      <c r="E42" s="2" t="s">
        <v>25</v>
      </c>
      <c r="F42" s="2" t="s">
        <v>52</v>
      </c>
      <c r="H42" s="2"/>
      <c r="I42" s="2" t="s">
        <v>80</v>
      </c>
    </row>
    <row r="43" ht="22.5" customHeight="1">
      <c r="A43" s="5" t="s">
        <v>78</v>
      </c>
      <c r="B43" s="2" t="s">
        <v>43</v>
      </c>
      <c r="C43" s="46" t="str">
        <f t="shared" si="1"/>
        <v>Asavari (komal re)_2</v>
      </c>
      <c r="D43" s="13" t="s">
        <v>81</v>
      </c>
      <c r="E43" s="2" t="s">
        <v>25</v>
      </c>
      <c r="F43" s="2" t="s">
        <v>70</v>
      </c>
    </row>
    <row r="44" ht="22.5" customHeight="1">
      <c r="A44" s="5" t="s">
        <v>78</v>
      </c>
      <c r="B44" s="2" t="s">
        <v>43</v>
      </c>
      <c r="C44" s="46" t="str">
        <f t="shared" si="1"/>
        <v>Asavari (komal re)_3</v>
      </c>
      <c r="D44" s="13" t="s">
        <v>82</v>
      </c>
      <c r="E44" s="2" t="s">
        <v>25</v>
      </c>
      <c r="F44" s="2" t="s">
        <v>83</v>
      </c>
    </row>
    <row r="45" ht="22.5" customHeight="1">
      <c r="A45" s="5" t="s">
        <v>78</v>
      </c>
      <c r="B45" s="2" t="s">
        <v>2377</v>
      </c>
      <c r="C45" s="46" t="str">
        <f t="shared" si="1"/>
        <v>Asavari (komal re)_4</v>
      </c>
      <c r="D45" s="13" t="s">
        <v>84</v>
      </c>
      <c r="E45" s="2" t="s">
        <v>25</v>
      </c>
      <c r="F45" s="8" t="s">
        <v>85</v>
      </c>
      <c r="L45" s="2" t="s">
        <v>86</v>
      </c>
    </row>
    <row r="46" ht="22.5" customHeight="1">
      <c r="A46" s="5" t="s">
        <v>78</v>
      </c>
      <c r="B46" s="2" t="s">
        <v>36</v>
      </c>
      <c r="C46" s="46" t="str">
        <f t="shared" si="1"/>
        <v>Asavari (komal re)_5</v>
      </c>
      <c r="D46" s="13" t="s">
        <v>87</v>
      </c>
      <c r="E46" s="2" t="s">
        <v>25</v>
      </c>
      <c r="F46" s="2" t="s">
        <v>69</v>
      </c>
    </row>
    <row r="47" ht="22.5" customHeight="1">
      <c r="A47" s="5" t="s">
        <v>78</v>
      </c>
      <c r="B47" s="2" t="s">
        <v>24</v>
      </c>
      <c r="C47" s="46" t="str">
        <f t="shared" si="1"/>
        <v>Asavari (komal re)_6</v>
      </c>
      <c r="D47" s="13" t="s">
        <v>88</v>
      </c>
      <c r="E47" s="2" t="s">
        <v>25</v>
      </c>
      <c r="F47" s="2" t="s">
        <v>69</v>
      </c>
    </row>
    <row r="48" ht="22.5" customHeight="1">
      <c r="A48" s="5" t="s">
        <v>78</v>
      </c>
      <c r="B48" s="2" t="s">
        <v>89</v>
      </c>
      <c r="C48" s="18" t="str">
        <f t="shared" si="1"/>
        <v>Asavari (komal re)_7</v>
      </c>
      <c r="D48" s="15" t="s">
        <v>90</v>
      </c>
      <c r="E48" s="2" t="s">
        <v>91</v>
      </c>
      <c r="F48" s="2" t="s">
        <v>92</v>
      </c>
    </row>
    <row r="49" ht="22.5" customHeight="1">
      <c r="A49" s="5" t="s">
        <v>78</v>
      </c>
      <c r="B49" s="2" t="s">
        <v>43</v>
      </c>
      <c r="C49" s="46" t="str">
        <f t="shared" si="1"/>
        <v>Asavari (komal re)_8</v>
      </c>
      <c r="D49" s="13" t="s">
        <v>93</v>
      </c>
      <c r="E49" s="2" t="s">
        <v>25</v>
      </c>
      <c r="F49" s="2" t="s">
        <v>94</v>
      </c>
    </row>
    <row r="50" ht="22.5" customHeight="1">
      <c r="A50" s="5" t="s">
        <v>78</v>
      </c>
      <c r="B50" s="2" t="s">
        <v>2378</v>
      </c>
      <c r="C50" s="18" t="str">
        <f t="shared" si="1"/>
        <v>Asavari (komal re)_9</v>
      </c>
      <c r="D50" s="15" t="s">
        <v>95</v>
      </c>
      <c r="E50" s="2" t="s">
        <v>25</v>
      </c>
      <c r="F50" s="2" t="s">
        <v>96</v>
      </c>
    </row>
    <row r="51" ht="22.5" customHeight="1">
      <c r="A51" s="5" t="s">
        <v>78</v>
      </c>
      <c r="B51" s="2" t="s">
        <v>28</v>
      </c>
      <c r="C51" s="46" t="str">
        <f t="shared" si="1"/>
        <v>Asavari (komal re)_10</v>
      </c>
      <c r="D51" s="13" t="s">
        <v>97</v>
      </c>
      <c r="E51" s="2" t="s">
        <v>25</v>
      </c>
      <c r="F51" s="2" t="s">
        <v>98</v>
      </c>
    </row>
    <row r="52" ht="22.5" customHeight="1">
      <c r="A52" s="5" t="s">
        <v>99</v>
      </c>
      <c r="B52" s="2"/>
      <c r="C52" s="18" t="str">
        <f t="shared" si="1"/>
        <v>Bageshri_1</v>
      </c>
      <c r="E52" s="8" t="s">
        <v>25</v>
      </c>
      <c r="F52" s="8" t="s">
        <v>31</v>
      </c>
      <c r="H52" s="2"/>
      <c r="I52" s="2" t="s">
        <v>27</v>
      </c>
    </row>
    <row r="53" ht="22.5" customHeight="1">
      <c r="A53" s="5" t="s">
        <v>99</v>
      </c>
      <c r="B53" s="2"/>
      <c r="C53" s="18" t="str">
        <f t="shared" si="1"/>
        <v>Bageshri_2</v>
      </c>
      <c r="E53" s="8" t="s">
        <v>25</v>
      </c>
      <c r="F53" s="8" t="s">
        <v>100</v>
      </c>
      <c r="H53" s="2"/>
      <c r="I53" s="2" t="s">
        <v>27</v>
      </c>
    </row>
    <row r="54" ht="22.5" customHeight="1">
      <c r="A54" s="5" t="s">
        <v>99</v>
      </c>
      <c r="B54" s="2"/>
      <c r="C54" s="18" t="str">
        <f t="shared" si="1"/>
        <v>Bageshri_3</v>
      </c>
      <c r="E54" s="8" t="s">
        <v>25</v>
      </c>
      <c r="F54" s="8" t="s">
        <v>101</v>
      </c>
      <c r="H54" s="2"/>
      <c r="I54" s="2" t="s">
        <v>27</v>
      </c>
    </row>
    <row r="55" ht="22.5" customHeight="1">
      <c r="A55" s="5" t="s">
        <v>99</v>
      </c>
      <c r="B55" s="2"/>
      <c r="C55" s="18" t="str">
        <f t="shared" si="1"/>
        <v>Bageshri_4</v>
      </c>
      <c r="E55" s="8" t="s">
        <v>25</v>
      </c>
      <c r="F55" s="8" t="s">
        <v>69</v>
      </c>
      <c r="H55" s="2"/>
      <c r="I55" s="2" t="s">
        <v>27</v>
      </c>
    </row>
    <row r="56" ht="22.5" customHeight="1">
      <c r="A56" s="5" t="s">
        <v>99</v>
      </c>
      <c r="B56" s="2"/>
      <c r="C56" s="18" t="str">
        <f t="shared" si="1"/>
        <v>Bageshri_5</v>
      </c>
      <c r="E56" s="8" t="s">
        <v>25</v>
      </c>
      <c r="F56" s="8" t="s">
        <v>64</v>
      </c>
      <c r="H56" s="2"/>
      <c r="I56" s="2" t="s">
        <v>27</v>
      </c>
    </row>
    <row r="57" ht="22.5" customHeight="1">
      <c r="A57" s="5" t="s">
        <v>99</v>
      </c>
      <c r="B57" s="2"/>
      <c r="C57" s="18" t="str">
        <f t="shared" si="1"/>
        <v>Bageshri_6</v>
      </c>
      <c r="E57" s="8" t="s">
        <v>25</v>
      </c>
      <c r="F57" s="8" t="s">
        <v>30</v>
      </c>
      <c r="H57" s="2"/>
      <c r="I57" s="2" t="s">
        <v>27</v>
      </c>
    </row>
    <row r="58" ht="22.5" customHeight="1">
      <c r="A58" s="5" t="s">
        <v>99</v>
      </c>
      <c r="B58" s="2"/>
      <c r="C58" s="18" t="str">
        <f t="shared" si="1"/>
        <v>Bageshri_7</v>
      </c>
      <c r="E58" s="8" t="s">
        <v>25</v>
      </c>
      <c r="F58" s="8" t="s">
        <v>34</v>
      </c>
      <c r="H58" s="2"/>
      <c r="I58" s="2" t="s">
        <v>27</v>
      </c>
    </row>
    <row r="59" ht="22.5" customHeight="1">
      <c r="A59" s="5" t="s">
        <v>99</v>
      </c>
      <c r="B59" s="2"/>
      <c r="C59" s="18" t="str">
        <f t="shared" si="1"/>
        <v>Bageshri_8</v>
      </c>
      <c r="E59" s="8" t="s">
        <v>25</v>
      </c>
      <c r="F59" s="8" t="s">
        <v>102</v>
      </c>
      <c r="H59" s="2"/>
      <c r="I59" s="2" t="s">
        <v>27</v>
      </c>
    </row>
    <row r="60" ht="22.5" customHeight="1">
      <c r="A60" s="5" t="s">
        <v>99</v>
      </c>
      <c r="B60" s="2"/>
      <c r="C60" s="18" t="str">
        <f t="shared" si="1"/>
        <v>Bageshri_9</v>
      </c>
      <c r="E60" s="8" t="s">
        <v>25</v>
      </c>
      <c r="F60" s="8" t="s">
        <v>103</v>
      </c>
      <c r="H60" s="2"/>
      <c r="I60" s="2" t="s">
        <v>27</v>
      </c>
    </row>
    <row r="61" ht="22.5" customHeight="1">
      <c r="A61" s="5" t="s">
        <v>99</v>
      </c>
      <c r="B61" s="2"/>
      <c r="C61" s="18" t="str">
        <f t="shared" si="1"/>
        <v>Bageshri_10</v>
      </c>
      <c r="E61" s="8" t="s">
        <v>25</v>
      </c>
      <c r="F61" s="8" t="s">
        <v>37</v>
      </c>
      <c r="H61" s="2"/>
      <c r="I61" s="2" t="s">
        <v>27</v>
      </c>
    </row>
    <row r="62" ht="22.5" customHeight="1">
      <c r="A62" s="5" t="s">
        <v>104</v>
      </c>
      <c r="B62" s="2" t="s">
        <v>43</v>
      </c>
      <c r="C62" s="46" t="str">
        <f t="shared" si="1"/>
        <v>Bahar_1</v>
      </c>
      <c r="D62" s="13" t="s">
        <v>105</v>
      </c>
      <c r="E62" s="2" t="s">
        <v>25</v>
      </c>
      <c r="F62" s="2" t="s">
        <v>34</v>
      </c>
    </row>
    <row r="63" ht="22.5" customHeight="1">
      <c r="A63" s="5" t="s">
        <v>104</v>
      </c>
      <c r="B63" s="2" t="s">
        <v>43</v>
      </c>
      <c r="C63" s="46" t="str">
        <f t="shared" si="1"/>
        <v>Bahar_2</v>
      </c>
      <c r="D63" s="13" t="s">
        <v>106</v>
      </c>
      <c r="E63" s="2" t="s">
        <v>25</v>
      </c>
      <c r="F63" s="2" t="s">
        <v>107</v>
      </c>
    </row>
    <row r="64" ht="22.5" customHeight="1">
      <c r="A64" s="5" t="s">
        <v>104</v>
      </c>
      <c r="B64" s="2" t="s">
        <v>43</v>
      </c>
      <c r="C64" s="46" t="str">
        <f t="shared" si="1"/>
        <v>Bahar_3</v>
      </c>
      <c r="D64" s="13" t="s">
        <v>108</v>
      </c>
      <c r="E64" s="2" t="s">
        <v>25</v>
      </c>
      <c r="F64" s="2" t="s">
        <v>52</v>
      </c>
    </row>
    <row r="65" ht="22.5" customHeight="1">
      <c r="A65" s="5" t="s">
        <v>104</v>
      </c>
      <c r="B65" s="2" t="s">
        <v>43</v>
      </c>
      <c r="C65" s="46" t="str">
        <f t="shared" si="1"/>
        <v>Bahar_4</v>
      </c>
      <c r="D65" s="13" t="s">
        <v>109</v>
      </c>
      <c r="E65" s="2" t="s">
        <v>25</v>
      </c>
      <c r="F65" s="2" t="s">
        <v>110</v>
      </c>
    </row>
    <row r="66" ht="22.5" customHeight="1">
      <c r="A66" s="5" t="s">
        <v>104</v>
      </c>
      <c r="B66" s="2" t="s">
        <v>43</v>
      </c>
      <c r="C66" s="45" t="str">
        <f t="shared" si="1"/>
        <v>Bahar_5</v>
      </c>
      <c r="D66" s="12" t="s">
        <v>111</v>
      </c>
      <c r="E66" s="2" t="s">
        <v>25</v>
      </c>
      <c r="F66" s="8" t="s">
        <v>112</v>
      </c>
    </row>
    <row r="67" ht="22.5" customHeight="1">
      <c r="A67" s="5" t="s">
        <v>104</v>
      </c>
      <c r="B67" s="2" t="s">
        <v>24</v>
      </c>
      <c r="C67" s="47" t="str">
        <f t="shared" si="1"/>
        <v>Bahar_6</v>
      </c>
      <c r="D67" s="17" t="s">
        <v>2379</v>
      </c>
      <c r="E67" s="2" t="s">
        <v>114</v>
      </c>
      <c r="F67" s="2" t="s">
        <v>115</v>
      </c>
    </row>
    <row r="68" ht="22.5" customHeight="1">
      <c r="A68" s="5" t="s">
        <v>104</v>
      </c>
      <c r="B68" s="2" t="s">
        <v>58</v>
      </c>
      <c r="C68" s="46" t="str">
        <f t="shared" si="1"/>
        <v>Bahar_7</v>
      </c>
      <c r="D68" s="13" t="s">
        <v>116</v>
      </c>
      <c r="E68" s="2" t="s">
        <v>25</v>
      </c>
      <c r="F68" s="2" t="s">
        <v>68</v>
      </c>
    </row>
    <row r="69" ht="22.5" customHeight="1">
      <c r="A69" s="5" t="s">
        <v>104</v>
      </c>
      <c r="B69" s="2" t="s">
        <v>24</v>
      </c>
      <c r="C69" s="46" t="str">
        <f t="shared" si="1"/>
        <v>Bahar_8</v>
      </c>
      <c r="D69" s="13" t="s">
        <v>117</v>
      </c>
      <c r="E69" s="2" t="s">
        <v>25</v>
      </c>
      <c r="F69" s="2" t="s">
        <v>35</v>
      </c>
    </row>
    <row r="70" ht="22.5" customHeight="1">
      <c r="A70" s="5" t="s">
        <v>104</v>
      </c>
      <c r="B70" s="2" t="s">
        <v>24</v>
      </c>
      <c r="C70" s="46" t="str">
        <f t="shared" si="1"/>
        <v>Bahar_9</v>
      </c>
      <c r="D70" s="13" t="s">
        <v>118</v>
      </c>
      <c r="E70" s="2" t="s">
        <v>25</v>
      </c>
      <c r="F70" s="2" t="s">
        <v>26</v>
      </c>
    </row>
    <row r="71" ht="22.5" customHeight="1">
      <c r="A71" s="5" t="s">
        <v>104</v>
      </c>
      <c r="B71" s="2" t="s">
        <v>43</v>
      </c>
      <c r="C71" s="46" t="str">
        <f t="shared" si="1"/>
        <v>Bahar_10</v>
      </c>
      <c r="D71" s="13" t="s">
        <v>119</v>
      </c>
      <c r="E71" s="2" t="s">
        <v>25</v>
      </c>
      <c r="F71" s="2" t="s">
        <v>120</v>
      </c>
    </row>
    <row r="72" ht="22.5" customHeight="1">
      <c r="A72" s="5" t="s">
        <v>121</v>
      </c>
      <c r="B72" s="2"/>
      <c r="C72" s="18" t="str">
        <f t="shared" si="1"/>
        <v>Bairagi_1</v>
      </c>
      <c r="E72" s="8" t="s">
        <v>25</v>
      </c>
      <c r="F72" s="8" t="s">
        <v>69</v>
      </c>
      <c r="H72" s="2"/>
      <c r="I72" s="2" t="s">
        <v>27</v>
      </c>
    </row>
    <row r="73" ht="22.5" customHeight="1">
      <c r="A73" s="5" t="s">
        <v>121</v>
      </c>
      <c r="B73" s="2"/>
      <c r="C73" s="18" t="str">
        <f t="shared" si="1"/>
        <v>Bairagi_2</v>
      </c>
      <c r="E73" s="8" t="s">
        <v>25</v>
      </c>
      <c r="F73" s="8" t="s">
        <v>64</v>
      </c>
      <c r="H73" s="2"/>
      <c r="I73" s="2" t="s">
        <v>27</v>
      </c>
    </row>
    <row r="74" ht="22.5" customHeight="1">
      <c r="A74" s="5" t="s">
        <v>121</v>
      </c>
      <c r="B74" s="2"/>
      <c r="C74" s="18" t="str">
        <f t="shared" si="1"/>
        <v>Bairagi_3</v>
      </c>
      <c r="E74" s="8" t="s">
        <v>25</v>
      </c>
      <c r="F74" s="8" t="s">
        <v>34</v>
      </c>
      <c r="H74" s="2"/>
      <c r="I74" s="2" t="s">
        <v>27</v>
      </c>
    </row>
    <row r="75" ht="22.5" customHeight="1">
      <c r="A75" s="5" t="s">
        <v>121</v>
      </c>
      <c r="B75" s="2"/>
      <c r="C75" s="18" t="str">
        <f t="shared" si="1"/>
        <v>Bairagi_4</v>
      </c>
      <c r="E75" s="8" t="s">
        <v>25</v>
      </c>
      <c r="F75" s="8" t="s">
        <v>122</v>
      </c>
      <c r="H75" s="2"/>
      <c r="I75" s="2" t="s">
        <v>27</v>
      </c>
    </row>
    <row r="76" ht="22.5" customHeight="1">
      <c r="A76" s="5" t="s">
        <v>121</v>
      </c>
      <c r="B76" s="2"/>
      <c r="C76" s="18" t="str">
        <f t="shared" si="1"/>
        <v>Bairagi_5</v>
      </c>
      <c r="E76" s="8" t="s">
        <v>25</v>
      </c>
      <c r="F76" s="8" t="s">
        <v>123</v>
      </c>
      <c r="H76" s="2"/>
      <c r="I76" s="2" t="s">
        <v>27</v>
      </c>
    </row>
    <row r="77" ht="22.5" customHeight="1">
      <c r="A77" s="5" t="s">
        <v>121</v>
      </c>
      <c r="B77" s="2"/>
      <c r="C77" s="18" t="str">
        <f t="shared" si="1"/>
        <v>Bairagi_6</v>
      </c>
      <c r="E77" s="8" t="s">
        <v>25</v>
      </c>
      <c r="F77" s="8" t="s">
        <v>77</v>
      </c>
      <c r="H77" s="2"/>
      <c r="I77" s="2" t="s">
        <v>27</v>
      </c>
    </row>
    <row r="78" ht="22.5" customHeight="1">
      <c r="A78" s="5" t="s">
        <v>121</v>
      </c>
      <c r="B78" s="2"/>
      <c r="C78" s="18" t="str">
        <f t="shared" si="1"/>
        <v>Bairagi_7</v>
      </c>
      <c r="E78" s="8" t="s">
        <v>25</v>
      </c>
      <c r="F78" s="8" t="s">
        <v>77</v>
      </c>
      <c r="H78" s="2"/>
      <c r="I78" s="2" t="s">
        <v>27</v>
      </c>
    </row>
    <row r="79" ht="22.5" customHeight="1">
      <c r="A79" s="5" t="s">
        <v>121</v>
      </c>
      <c r="B79" s="2"/>
      <c r="C79" s="18" t="str">
        <f t="shared" si="1"/>
        <v>Bairagi_8</v>
      </c>
      <c r="E79" s="8" t="s">
        <v>25</v>
      </c>
      <c r="F79" s="8" t="s">
        <v>37</v>
      </c>
      <c r="H79" s="2"/>
      <c r="I79" s="2" t="s">
        <v>27</v>
      </c>
    </row>
    <row r="80" ht="22.5" customHeight="1">
      <c r="A80" s="5" t="s">
        <v>121</v>
      </c>
      <c r="B80" s="2"/>
      <c r="C80" s="18" t="str">
        <f t="shared" si="1"/>
        <v>Bairagi_9</v>
      </c>
      <c r="E80" s="8" t="s">
        <v>25</v>
      </c>
      <c r="F80" s="8" t="s">
        <v>37</v>
      </c>
      <c r="H80" s="2"/>
      <c r="I80" s="2" t="s">
        <v>27</v>
      </c>
    </row>
    <row r="81" ht="22.5" customHeight="1">
      <c r="A81" s="5" t="s">
        <v>121</v>
      </c>
      <c r="B81" s="2"/>
      <c r="C81" s="18" t="str">
        <f t="shared" si="1"/>
        <v>Bairagi_10</v>
      </c>
      <c r="E81" s="8" t="s">
        <v>25</v>
      </c>
      <c r="F81" s="8" t="s">
        <v>37</v>
      </c>
      <c r="H81" s="2"/>
      <c r="I81" s="2" t="s">
        <v>27</v>
      </c>
    </row>
    <row r="82" ht="22.5" customHeight="1">
      <c r="A82" s="5" t="s">
        <v>124</v>
      </c>
      <c r="B82" s="2" t="s">
        <v>38</v>
      </c>
      <c r="C82" s="45" t="str">
        <f t="shared" si="1"/>
        <v>Bairagi Todi_1</v>
      </c>
      <c r="D82" s="12" t="s">
        <v>125</v>
      </c>
      <c r="E82" s="2" t="s">
        <v>25</v>
      </c>
      <c r="F82" s="2" t="s">
        <v>126</v>
      </c>
    </row>
    <row r="83" ht="22.5" customHeight="1">
      <c r="A83" s="5" t="s">
        <v>124</v>
      </c>
      <c r="B83" s="2" t="s">
        <v>127</v>
      </c>
      <c r="C83" s="45" t="str">
        <f t="shared" si="1"/>
        <v>Bairagi Todi_2</v>
      </c>
      <c r="D83" s="12" t="s">
        <v>128</v>
      </c>
      <c r="E83" s="2" t="s">
        <v>25</v>
      </c>
      <c r="F83" s="2" t="s">
        <v>129</v>
      </c>
    </row>
    <row r="84" ht="22.5" customHeight="1">
      <c r="A84" s="5" t="s">
        <v>124</v>
      </c>
      <c r="B84" s="2" t="s">
        <v>43</v>
      </c>
      <c r="C84" s="18" t="str">
        <f t="shared" si="1"/>
        <v>Bairagi Todi_3</v>
      </c>
      <c r="D84" s="15" t="s">
        <v>130</v>
      </c>
      <c r="E84" s="2" t="s">
        <v>91</v>
      </c>
      <c r="F84" s="2" t="s">
        <v>131</v>
      </c>
      <c r="L84" s="2" t="s">
        <v>132</v>
      </c>
    </row>
    <row r="85" ht="22.5" customHeight="1">
      <c r="A85" s="5" t="s">
        <v>124</v>
      </c>
      <c r="B85" s="2" t="s">
        <v>38</v>
      </c>
      <c r="C85" s="46" t="str">
        <f t="shared" si="1"/>
        <v>Bairagi Todi_4</v>
      </c>
      <c r="D85" s="13" t="s">
        <v>133</v>
      </c>
      <c r="E85" s="2" t="s">
        <v>25</v>
      </c>
      <c r="F85" s="2" t="s">
        <v>134</v>
      </c>
    </row>
    <row r="86" ht="22.5" customHeight="1">
      <c r="A86" s="5" t="s">
        <v>124</v>
      </c>
      <c r="B86" s="2" t="s">
        <v>32</v>
      </c>
      <c r="C86" s="46" t="str">
        <f t="shared" si="1"/>
        <v>Bairagi Todi_5</v>
      </c>
      <c r="D86" s="13" t="s">
        <v>135</v>
      </c>
      <c r="E86" s="2" t="s">
        <v>25</v>
      </c>
      <c r="F86" s="8" t="s">
        <v>136</v>
      </c>
    </row>
    <row r="87" ht="22.5" customHeight="1">
      <c r="A87" s="5" t="s">
        <v>124</v>
      </c>
      <c r="B87" s="2" t="s">
        <v>89</v>
      </c>
      <c r="C87" s="46" t="str">
        <f t="shared" si="1"/>
        <v>Bairagi Todi_6</v>
      </c>
      <c r="D87" s="13" t="s">
        <v>137</v>
      </c>
      <c r="E87" s="2" t="s">
        <v>25</v>
      </c>
      <c r="F87" s="2" t="s">
        <v>138</v>
      </c>
    </row>
    <row r="88" ht="22.5" customHeight="1">
      <c r="A88" s="5" t="s">
        <v>124</v>
      </c>
      <c r="B88" s="2" t="s">
        <v>38</v>
      </c>
      <c r="C88" s="18" t="str">
        <f t="shared" si="1"/>
        <v>Bairagi Todi_7</v>
      </c>
      <c r="D88" s="15" t="s">
        <v>139</v>
      </c>
      <c r="E88" s="2" t="s">
        <v>25</v>
      </c>
      <c r="F88" s="2" t="s">
        <v>140</v>
      </c>
    </row>
    <row r="89" ht="22.5" customHeight="1">
      <c r="A89" s="5" t="s">
        <v>141</v>
      </c>
      <c r="B89" s="2"/>
      <c r="C89" s="18" t="str">
        <f t="shared" si="1"/>
        <v>Basant_1</v>
      </c>
      <c r="D89" s="18"/>
      <c r="E89" s="8" t="s">
        <v>25</v>
      </c>
      <c r="F89" s="8" t="s">
        <v>26</v>
      </c>
      <c r="H89" s="2"/>
      <c r="I89" s="2" t="s">
        <v>27</v>
      </c>
    </row>
    <row r="90" ht="22.5" customHeight="1">
      <c r="A90" s="5" t="s">
        <v>141</v>
      </c>
      <c r="B90" s="2"/>
      <c r="C90" s="18" t="str">
        <f t="shared" si="1"/>
        <v>Basant_2</v>
      </c>
      <c r="D90" s="18"/>
      <c r="E90" s="8" t="s">
        <v>25</v>
      </c>
      <c r="F90" s="8" t="s">
        <v>142</v>
      </c>
      <c r="H90" s="2"/>
      <c r="I90" s="2" t="s">
        <v>27</v>
      </c>
    </row>
    <row r="91" ht="22.5" customHeight="1">
      <c r="A91" s="5" t="s">
        <v>141</v>
      </c>
      <c r="B91" s="2"/>
      <c r="C91" s="18" t="str">
        <f t="shared" si="1"/>
        <v>Basant_3</v>
      </c>
      <c r="D91" s="18"/>
      <c r="E91" s="8" t="s">
        <v>25</v>
      </c>
      <c r="F91" s="8" t="s">
        <v>74</v>
      </c>
      <c r="H91" s="2"/>
      <c r="I91" s="2" t="s">
        <v>27</v>
      </c>
    </row>
    <row r="92" ht="22.5" customHeight="1">
      <c r="A92" s="5" t="s">
        <v>141</v>
      </c>
      <c r="B92" s="2"/>
      <c r="C92" s="18" t="str">
        <f t="shared" si="1"/>
        <v>Basant_4</v>
      </c>
      <c r="D92" s="18"/>
      <c r="E92" s="8" t="s">
        <v>25</v>
      </c>
      <c r="F92" s="8" t="s">
        <v>143</v>
      </c>
      <c r="H92" s="2"/>
      <c r="I92" s="2" t="s">
        <v>27</v>
      </c>
    </row>
    <row r="93" ht="22.5" customHeight="1">
      <c r="A93" s="5" t="s">
        <v>141</v>
      </c>
      <c r="B93" s="2"/>
      <c r="C93" s="18" t="str">
        <f t="shared" si="1"/>
        <v>Basant_5</v>
      </c>
      <c r="D93" s="18"/>
      <c r="E93" s="8" t="s">
        <v>25</v>
      </c>
      <c r="F93" s="8" t="s">
        <v>144</v>
      </c>
      <c r="H93" s="2"/>
      <c r="I93" s="2" t="s">
        <v>27</v>
      </c>
    </row>
    <row r="94" ht="22.5" customHeight="1">
      <c r="A94" s="5" t="s">
        <v>141</v>
      </c>
      <c r="B94" s="2"/>
      <c r="C94" s="18" t="str">
        <f t="shared" si="1"/>
        <v>Basant_6</v>
      </c>
      <c r="D94" s="18"/>
      <c r="E94" s="8" t="s">
        <v>25</v>
      </c>
      <c r="F94" s="8" t="s">
        <v>64</v>
      </c>
      <c r="H94" s="2"/>
      <c r="I94" s="2" t="s">
        <v>27</v>
      </c>
    </row>
    <row r="95" ht="22.5" customHeight="1">
      <c r="A95" s="5" t="s">
        <v>141</v>
      </c>
      <c r="B95" s="2"/>
      <c r="C95" s="18" t="str">
        <f t="shared" si="1"/>
        <v>Basant_7</v>
      </c>
      <c r="D95" s="18"/>
      <c r="E95" s="8" t="s">
        <v>25</v>
      </c>
      <c r="F95" s="8" t="s">
        <v>64</v>
      </c>
      <c r="H95" s="2"/>
      <c r="I95" s="2" t="s">
        <v>27</v>
      </c>
    </row>
    <row r="96" ht="22.5" customHeight="1">
      <c r="A96" s="5" t="s">
        <v>141</v>
      </c>
      <c r="B96" s="2"/>
      <c r="C96" s="18" t="str">
        <f t="shared" si="1"/>
        <v>Basant_8</v>
      </c>
      <c r="D96" s="18"/>
      <c r="E96" s="8" t="s">
        <v>25</v>
      </c>
      <c r="F96" s="8" t="s">
        <v>56</v>
      </c>
      <c r="H96" s="2"/>
      <c r="I96" s="2" t="s">
        <v>27</v>
      </c>
    </row>
    <row r="97" ht="22.5" customHeight="1">
      <c r="A97" s="5" t="s">
        <v>141</v>
      </c>
      <c r="B97" s="2"/>
      <c r="C97" s="18" t="str">
        <f t="shared" si="1"/>
        <v>Basant_9</v>
      </c>
      <c r="D97" s="18"/>
      <c r="E97" s="8" t="s">
        <v>25</v>
      </c>
      <c r="F97" s="8" t="s">
        <v>34</v>
      </c>
      <c r="H97" s="2"/>
      <c r="I97" s="2" t="s">
        <v>27</v>
      </c>
    </row>
    <row r="98" ht="22.5" customHeight="1">
      <c r="A98" s="5" t="s">
        <v>141</v>
      </c>
      <c r="B98" s="2"/>
      <c r="C98" s="18" t="str">
        <f t="shared" si="1"/>
        <v>Basant_10</v>
      </c>
      <c r="D98" s="18"/>
      <c r="E98" s="8" t="s">
        <v>25</v>
      </c>
      <c r="F98" s="8" t="s">
        <v>77</v>
      </c>
      <c r="H98" s="2"/>
      <c r="I98" s="2" t="s">
        <v>27</v>
      </c>
    </row>
    <row r="99" ht="22.5" customHeight="1">
      <c r="A99" s="5" t="s">
        <v>145</v>
      </c>
      <c r="B99" s="2" t="s">
        <v>24</v>
      </c>
      <c r="C99" s="45" t="str">
        <f t="shared" si="1"/>
        <v>Basant Mukhari_1</v>
      </c>
      <c r="D99" s="12" t="s">
        <v>146</v>
      </c>
      <c r="E99" s="2" t="s">
        <v>25</v>
      </c>
      <c r="F99" s="2" t="s">
        <v>56</v>
      </c>
      <c r="H99" s="2"/>
      <c r="I99" s="2" t="s">
        <v>147</v>
      </c>
    </row>
    <row r="100" ht="22.5" customHeight="1">
      <c r="A100" s="5" t="s">
        <v>145</v>
      </c>
      <c r="B100" s="2" t="s">
        <v>43</v>
      </c>
      <c r="C100" s="45" t="str">
        <f t="shared" si="1"/>
        <v>Basant Mukhari_2</v>
      </c>
      <c r="D100" s="12" t="s">
        <v>148</v>
      </c>
      <c r="E100" s="2" t="s">
        <v>25</v>
      </c>
      <c r="F100" s="2" t="s">
        <v>94</v>
      </c>
      <c r="H100" s="2"/>
      <c r="I100" s="2" t="s">
        <v>42</v>
      </c>
    </row>
    <row r="101" ht="22.5" customHeight="1">
      <c r="A101" s="5" t="s">
        <v>145</v>
      </c>
      <c r="B101" s="2" t="s">
        <v>28</v>
      </c>
      <c r="C101" s="45" t="str">
        <f t="shared" si="1"/>
        <v>Basant Mukhari_3</v>
      </c>
      <c r="D101" s="12" t="s">
        <v>149</v>
      </c>
      <c r="E101" s="2" t="s">
        <v>25</v>
      </c>
      <c r="F101" s="2" t="s">
        <v>150</v>
      </c>
      <c r="H101" s="2"/>
      <c r="I101" s="2" t="s">
        <v>80</v>
      </c>
      <c r="L101" s="2" t="s">
        <v>151</v>
      </c>
    </row>
    <row r="102" ht="22.5" customHeight="1">
      <c r="A102" s="5" t="s">
        <v>145</v>
      </c>
      <c r="B102" s="2" t="s">
        <v>38</v>
      </c>
      <c r="C102" s="45" t="str">
        <f t="shared" si="1"/>
        <v>Basant Mukhari_4</v>
      </c>
      <c r="D102" s="12" t="s">
        <v>152</v>
      </c>
      <c r="E102" s="2" t="s">
        <v>25</v>
      </c>
      <c r="F102" s="2" t="s">
        <v>153</v>
      </c>
      <c r="H102" s="2"/>
      <c r="I102" s="2" t="s">
        <v>154</v>
      </c>
    </row>
    <row r="103" ht="22.5" customHeight="1">
      <c r="A103" s="5" t="s">
        <v>145</v>
      </c>
      <c r="B103" s="2" t="s">
        <v>43</v>
      </c>
      <c r="C103" s="45" t="str">
        <f t="shared" si="1"/>
        <v>Basant Mukhari_5</v>
      </c>
      <c r="D103" s="12" t="s">
        <v>155</v>
      </c>
      <c r="E103" s="2" t="s">
        <v>25</v>
      </c>
      <c r="F103" s="2" t="s">
        <v>69</v>
      </c>
    </row>
    <row r="104" ht="22.5" customHeight="1">
      <c r="A104" s="5" t="s">
        <v>145</v>
      </c>
      <c r="B104" s="2" t="s">
        <v>38</v>
      </c>
      <c r="C104" s="18" t="str">
        <f t="shared" si="1"/>
        <v>Basant Mukhari_6</v>
      </c>
      <c r="D104" s="15" t="s">
        <v>156</v>
      </c>
      <c r="E104" s="2" t="s">
        <v>25</v>
      </c>
      <c r="F104" s="2" t="s">
        <v>157</v>
      </c>
    </row>
    <row r="105" ht="22.5" customHeight="1">
      <c r="A105" s="5" t="s">
        <v>145</v>
      </c>
      <c r="B105" s="2" t="s">
        <v>32</v>
      </c>
      <c r="C105" s="18" t="str">
        <f t="shared" si="1"/>
        <v>Basant Mukhari_7</v>
      </c>
      <c r="D105" s="15" t="s">
        <v>158</v>
      </c>
      <c r="E105" s="2" t="s">
        <v>25</v>
      </c>
      <c r="F105" s="2" t="s">
        <v>37</v>
      </c>
    </row>
    <row r="106" ht="22.5" customHeight="1">
      <c r="A106" s="5" t="s">
        <v>145</v>
      </c>
      <c r="B106" s="2" t="s">
        <v>43</v>
      </c>
      <c r="C106" s="45" t="str">
        <f t="shared" si="1"/>
        <v>Basant Mukhari_8</v>
      </c>
      <c r="D106" s="12" t="s">
        <v>159</v>
      </c>
      <c r="E106" s="2" t="s">
        <v>25</v>
      </c>
      <c r="F106" s="8" t="s">
        <v>160</v>
      </c>
    </row>
    <row r="107" ht="22.5" customHeight="1">
      <c r="A107" s="5" t="s">
        <v>145</v>
      </c>
      <c r="B107" s="2" t="s">
        <v>36</v>
      </c>
      <c r="C107" s="45" t="str">
        <f t="shared" si="1"/>
        <v>Basant Mukhari_9</v>
      </c>
      <c r="D107" s="12" t="s">
        <v>161</v>
      </c>
      <c r="E107" s="2" t="s">
        <v>162</v>
      </c>
      <c r="F107" s="2" t="s">
        <v>163</v>
      </c>
    </row>
    <row r="108" ht="22.5" customHeight="1">
      <c r="A108" s="5" t="s">
        <v>164</v>
      </c>
      <c r="B108" s="2"/>
      <c r="C108" s="18" t="str">
        <f t="shared" si="1"/>
        <v>Bhairav_1</v>
      </c>
      <c r="E108" s="8" t="s">
        <v>25</v>
      </c>
      <c r="F108" s="8" t="s">
        <v>142</v>
      </c>
      <c r="H108" s="2"/>
      <c r="I108" s="2" t="s">
        <v>27</v>
      </c>
    </row>
    <row r="109" ht="22.5" customHeight="1">
      <c r="A109" s="5" t="s">
        <v>164</v>
      </c>
      <c r="B109" s="2"/>
      <c r="C109" s="18" t="str">
        <f t="shared" si="1"/>
        <v>Bhairav_2</v>
      </c>
      <c r="E109" s="8" t="s">
        <v>25</v>
      </c>
      <c r="F109" s="8" t="s">
        <v>76</v>
      </c>
      <c r="H109" s="2"/>
      <c r="I109" s="2" t="s">
        <v>27</v>
      </c>
    </row>
    <row r="110" ht="22.5" customHeight="1">
      <c r="A110" s="5" t="s">
        <v>164</v>
      </c>
      <c r="B110" s="2"/>
      <c r="C110" s="18" t="str">
        <f t="shared" si="1"/>
        <v>Bhairav_3</v>
      </c>
      <c r="E110" s="8" t="s">
        <v>25</v>
      </c>
      <c r="F110" s="8" t="s">
        <v>76</v>
      </c>
      <c r="H110" s="2"/>
      <c r="I110" s="2" t="s">
        <v>27</v>
      </c>
    </row>
    <row r="111" ht="22.5" customHeight="1">
      <c r="A111" s="5" t="s">
        <v>164</v>
      </c>
      <c r="B111" s="2"/>
      <c r="C111" s="18" t="str">
        <f t="shared" si="1"/>
        <v>Bhairav_4</v>
      </c>
      <c r="E111" s="8" t="s">
        <v>25</v>
      </c>
      <c r="F111" s="8" t="s">
        <v>76</v>
      </c>
      <c r="H111" s="2"/>
      <c r="I111" s="2" t="s">
        <v>27</v>
      </c>
    </row>
    <row r="112" ht="22.5" customHeight="1">
      <c r="A112" s="5" t="s">
        <v>164</v>
      </c>
      <c r="B112" s="2"/>
      <c r="C112" s="18" t="str">
        <f t="shared" si="1"/>
        <v>Bhairav_5</v>
      </c>
      <c r="E112" s="8" t="s">
        <v>25</v>
      </c>
      <c r="F112" s="8" t="s">
        <v>76</v>
      </c>
      <c r="H112" s="2"/>
      <c r="I112" s="2" t="s">
        <v>27</v>
      </c>
    </row>
    <row r="113" ht="22.5" customHeight="1">
      <c r="A113" s="5" t="s">
        <v>164</v>
      </c>
      <c r="B113" s="2"/>
      <c r="C113" s="18" t="str">
        <f t="shared" si="1"/>
        <v>Bhairav_6</v>
      </c>
      <c r="E113" s="8" t="s">
        <v>25</v>
      </c>
      <c r="F113" s="8" t="s">
        <v>34</v>
      </c>
      <c r="H113" s="2"/>
      <c r="I113" s="2" t="s">
        <v>27</v>
      </c>
    </row>
    <row r="114" ht="22.5" customHeight="1">
      <c r="A114" s="5" t="s">
        <v>164</v>
      </c>
      <c r="B114" s="2"/>
      <c r="C114" s="18" t="str">
        <f t="shared" si="1"/>
        <v>Bhairav_7</v>
      </c>
      <c r="E114" s="8" t="s">
        <v>25</v>
      </c>
      <c r="F114" s="8" t="s">
        <v>34</v>
      </c>
      <c r="H114" s="2"/>
      <c r="I114" s="2" t="s">
        <v>27</v>
      </c>
    </row>
    <row r="115" ht="22.5" customHeight="1">
      <c r="A115" s="5" t="s">
        <v>164</v>
      </c>
      <c r="B115" s="2"/>
      <c r="C115" s="18" t="str">
        <f t="shared" si="1"/>
        <v>Bhairav_8</v>
      </c>
      <c r="E115" s="8" t="s">
        <v>25</v>
      </c>
      <c r="F115" s="8" t="s">
        <v>68</v>
      </c>
      <c r="H115" s="2"/>
      <c r="I115" s="2" t="s">
        <v>27</v>
      </c>
    </row>
    <row r="116" ht="22.5" customHeight="1">
      <c r="A116" s="5" t="s">
        <v>164</v>
      </c>
      <c r="B116" s="2"/>
      <c r="C116" s="18" t="str">
        <f t="shared" si="1"/>
        <v>Bhairav_9</v>
      </c>
      <c r="E116" s="8" t="s">
        <v>25</v>
      </c>
      <c r="F116" s="8" t="s">
        <v>68</v>
      </c>
      <c r="H116" s="2"/>
      <c r="I116" s="2" t="s">
        <v>27</v>
      </c>
    </row>
    <row r="117" ht="22.5" customHeight="1">
      <c r="A117" s="5" t="s">
        <v>164</v>
      </c>
      <c r="B117" s="2"/>
      <c r="C117" s="18" t="str">
        <f t="shared" si="1"/>
        <v>Bhairav_10</v>
      </c>
      <c r="E117" s="8" t="s">
        <v>25</v>
      </c>
      <c r="F117" s="8" t="s">
        <v>35</v>
      </c>
      <c r="H117" s="2"/>
      <c r="I117" s="2" t="s">
        <v>27</v>
      </c>
    </row>
    <row r="118" ht="22.5" customHeight="1">
      <c r="A118" s="5" t="s">
        <v>165</v>
      </c>
      <c r="B118" s="2" t="s">
        <v>28</v>
      </c>
      <c r="C118" s="46" t="str">
        <f t="shared" si="1"/>
        <v>Bhairavi_1</v>
      </c>
      <c r="D118" s="13" t="s">
        <v>166</v>
      </c>
      <c r="E118" s="2" t="s">
        <v>167</v>
      </c>
      <c r="F118" s="2" t="s">
        <v>168</v>
      </c>
    </row>
    <row r="119" ht="22.5" customHeight="1">
      <c r="A119" s="5" t="s">
        <v>165</v>
      </c>
      <c r="B119" s="2" t="s">
        <v>32</v>
      </c>
      <c r="C119" s="18" t="str">
        <f t="shared" si="1"/>
        <v>Bhairavi_2</v>
      </c>
      <c r="D119" s="15" t="s">
        <v>169</v>
      </c>
      <c r="E119" s="2" t="s">
        <v>114</v>
      </c>
      <c r="F119" s="2" t="s">
        <v>170</v>
      </c>
      <c r="H119" s="2"/>
      <c r="I119" s="2" t="s">
        <v>171</v>
      </c>
    </row>
    <row r="120" ht="22.5" customHeight="1">
      <c r="A120" s="5" t="s">
        <v>165</v>
      </c>
      <c r="B120" s="2" t="s">
        <v>43</v>
      </c>
      <c r="C120" s="47" t="str">
        <f t="shared" si="1"/>
        <v>Bhairavi_3</v>
      </c>
      <c r="D120" s="17" t="s">
        <v>172</v>
      </c>
      <c r="E120" s="2" t="s">
        <v>25</v>
      </c>
      <c r="F120" s="2" t="s">
        <v>52</v>
      </c>
    </row>
    <row r="121" ht="22.5" customHeight="1">
      <c r="A121" s="5" t="s">
        <v>165</v>
      </c>
      <c r="B121" s="2" t="s">
        <v>38</v>
      </c>
      <c r="C121" s="46" t="str">
        <f t="shared" si="1"/>
        <v>Bhairavi_4</v>
      </c>
      <c r="D121" s="13" t="s">
        <v>173</v>
      </c>
      <c r="E121" s="2" t="s">
        <v>25</v>
      </c>
      <c r="F121" s="2" t="s">
        <v>134</v>
      </c>
    </row>
    <row r="122" ht="22.5" customHeight="1">
      <c r="A122" s="5" t="s">
        <v>165</v>
      </c>
      <c r="B122" s="2" t="s">
        <v>32</v>
      </c>
      <c r="C122" s="46" t="str">
        <f t="shared" si="1"/>
        <v>Bhairavi_5</v>
      </c>
      <c r="D122" s="13" t="s">
        <v>174</v>
      </c>
      <c r="E122" s="2" t="s">
        <v>25</v>
      </c>
      <c r="F122" s="2" t="s">
        <v>34</v>
      </c>
    </row>
    <row r="123" ht="22.5" customHeight="1">
      <c r="A123" s="5" t="s">
        <v>165</v>
      </c>
      <c r="B123" s="2" t="s">
        <v>43</v>
      </c>
      <c r="C123" s="46" t="str">
        <f t="shared" si="1"/>
        <v>Bhairavi_6</v>
      </c>
      <c r="D123" s="13" t="s">
        <v>175</v>
      </c>
      <c r="E123" s="2" t="s">
        <v>25</v>
      </c>
      <c r="F123" s="2" t="s">
        <v>26</v>
      </c>
    </row>
    <row r="124" ht="22.5" customHeight="1">
      <c r="A124" s="5" t="s">
        <v>165</v>
      </c>
      <c r="B124" s="2" t="s">
        <v>32</v>
      </c>
      <c r="C124" s="46" t="str">
        <f t="shared" si="1"/>
        <v>Bhairavi_7</v>
      </c>
      <c r="D124" s="13" t="s">
        <v>176</v>
      </c>
      <c r="E124" s="2" t="s">
        <v>177</v>
      </c>
      <c r="F124" s="2" t="s">
        <v>178</v>
      </c>
    </row>
    <row r="125" ht="22.5" customHeight="1">
      <c r="A125" s="5" t="s">
        <v>165</v>
      </c>
      <c r="B125" s="2" t="s">
        <v>24</v>
      </c>
      <c r="C125" s="18" t="str">
        <f t="shared" si="1"/>
        <v>Bhairavi_8</v>
      </c>
      <c r="D125" s="15" t="s">
        <v>2380</v>
      </c>
      <c r="E125" s="2" t="s">
        <v>114</v>
      </c>
      <c r="F125" s="2" t="s">
        <v>180</v>
      </c>
    </row>
    <row r="126" ht="22.5" customHeight="1">
      <c r="A126" s="5" t="s">
        <v>165</v>
      </c>
      <c r="B126" s="2" t="s">
        <v>62</v>
      </c>
      <c r="C126" s="45" t="str">
        <f t="shared" si="1"/>
        <v>Bhairavi_9</v>
      </c>
      <c r="D126" s="12" t="s">
        <v>2381</v>
      </c>
      <c r="E126" s="2" t="s">
        <v>162</v>
      </c>
      <c r="F126" s="2" t="s">
        <v>182</v>
      </c>
    </row>
    <row r="127" ht="22.5" customHeight="1">
      <c r="A127" s="5" t="s">
        <v>165</v>
      </c>
      <c r="B127" s="2" t="s">
        <v>32</v>
      </c>
      <c r="C127" s="45" t="str">
        <f t="shared" si="1"/>
        <v>Bhairavi_10</v>
      </c>
      <c r="D127" s="12" t="s">
        <v>183</v>
      </c>
      <c r="E127" s="2" t="s">
        <v>25</v>
      </c>
      <c r="F127" s="2" t="s">
        <v>34</v>
      </c>
    </row>
    <row r="128" ht="22.5" customHeight="1">
      <c r="A128" s="5" t="s">
        <v>184</v>
      </c>
      <c r="B128" s="2" t="s">
        <v>28</v>
      </c>
      <c r="C128" s="46" t="str">
        <f t="shared" si="1"/>
        <v>Bhatiyar_1</v>
      </c>
      <c r="D128" s="13" t="s">
        <v>185</v>
      </c>
      <c r="E128" s="2" t="s">
        <v>25</v>
      </c>
      <c r="F128" s="2" t="s">
        <v>52</v>
      </c>
    </row>
    <row r="129" ht="22.5" customHeight="1">
      <c r="A129" s="5" t="s">
        <v>184</v>
      </c>
      <c r="B129" s="2" t="s">
        <v>32</v>
      </c>
      <c r="C129" s="46" t="str">
        <f t="shared" si="1"/>
        <v>Bhatiyar_2</v>
      </c>
      <c r="D129" s="13" t="s">
        <v>186</v>
      </c>
      <c r="E129" s="2" t="s">
        <v>25</v>
      </c>
      <c r="F129" s="2" t="s">
        <v>34</v>
      </c>
    </row>
    <row r="130" ht="22.5" customHeight="1">
      <c r="A130" s="5" t="s">
        <v>184</v>
      </c>
      <c r="B130" s="2" t="s">
        <v>24</v>
      </c>
      <c r="C130" s="45" t="str">
        <f t="shared" si="1"/>
        <v>Bhatiyar_3</v>
      </c>
      <c r="D130" s="12" t="s">
        <v>187</v>
      </c>
      <c r="E130" s="2" t="s">
        <v>25</v>
      </c>
      <c r="F130" s="2" t="s">
        <v>56</v>
      </c>
    </row>
    <row r="131" ht="22.5" customHeight="1">
      <c r="A131" s="5" t="s">
        <v>184</v>
      </c>
      <c r="B131" s="2" t="s">
        <v>32</v>
      </c>
      <c r="C131" s="18" t="str">
        <f t="shared" si="1"/>
        <v>Bhatiyar_4</v>
      </c>
      <c r="D131" s="15" t="s">
        <v>188</v>
      </c>
      <c r="E131" s="2" t="s">
        <v>25</v>
      </c>
      <c r="F131" s="2" t="s">
        <v>37</v>
      </c>
    </row>
    <row r="132" ht="22.5" customHeight="1">
      <c r="A132" s="5" t="s">
        <v>184</v>
      </c>
      <c r="B132" s="2" t="s">
        <v>38</v>
      </c>
      <c r="C132" s="46" t="str">
        <f t="shared" si="1"/>
        <v>Bhatiyar_5</v>
      </c>
      <c r="D132" s="13" t="s">
        <v>189</v>
      </c>
      <c r="E132" s="2" t="s">
        <v>25</v>
      </c>
      <c r="F132" s="2" t="s">
        <v>157</v>
      </c>
    </row>
    <row r="133" ht="22.5" customHeight="1">
      <c r="A133" s="5" t="s">
        <v>184</v>
      </c>
      <c r="B133" s="2" t="s">
        <v>43</v>
      </c>
      <c r="C133" s="46" t="str">
        <f t="shared" si="1"/>
        <v>Bhatiyar_6</v>
      </c>
      <c r="D133" s="13" t="s">
        <v>190</v>
      </c>
      <c r="E133" s="2" t="s">
        <v>25</v>
      </c>
      <c r="F133" s="2" t="s">
        <v>94</v>
      </c>
    </row>
    <row r="134" ht="22.5" customHeight="1">
      <c r="A134" s="5" t="s">
        <v>184</v>
      </c>
      <c r="B134" s="2" t="s">
        <v>24</v>
      </c>
      <c r="C134" s="18" t="str">
        <f t="shared" si="1"/>
        <v>Bhatiyar_7</v>
      </c>
      <c r="D134" s="15" t="s">
        <v>2382</v>
      </c>
      <c r="E134" s="2" t="s">
        <v>25</v>
      </c>
      <c r="F134" s="2" t="s">
        <v>69</v>
      </c>
    </row>
    <row r="135" ht="22.5" customHeight="1">
      <c r="A135" s="5" t="s">
        <v>184</v>
      </c>
      <c r="B135" s="2" t="s">
        <v>43</v>
      </c>
      <c r="C135" s="46" t="str">
        <f t="shared" si="1"/>
        <v>Bhatiyar_8</v>
      </c>
      <c r="D135" s="13" t="s">
        <v>192</v>
      </c>
      <c r="E135" s="2" t="s">
        <v>25</v>
      </c>
      <c r="F135" s="8" t="s">
        <v>193</v>
      </c>
    </row>
    <row r="136" ht="22.5" customHeight="1">
      <c r="A136" s="5" t="s">
        <v>184</v>
      </c>
      <c r="B136" s="2" t="s">
        <v>38</v>
      </c>
      <c r="C136" s="45" t="str">
        <f t="shared" si="1"/>
        <v>Bhatiyar_9</v>
      </c>
      <c r="D136" s="12" t="s">
        <v>194</v>
      </c>
      <c r="E136" s="2" t="s">
        <v>25</v>
      </c>
      <c r="F136" s="2" t="s">
        <v>153</v>
      </c>
      <c r="H136" s="2"/>
      <c r="I136" s="2" t="s">
        <v>154</v>
      </c>
    </row>
    <row r="137" ht="22.5" customHeight="1">
      <c r="A137" s="5" t="s">
        <v>184</v>
      </c>
      <c r="B137" s="2" t="s">
        <v>24</v>
      </c>
      <c r="C137" s="45" t="str">
        <f t="shared" si="1"/>
        <v>Bhatiyar_10</v>
      </c>
      <c r="D137" s="12" t="s">
        <v>195</v>
      </c>
      <c r="E137" s="2" t="s">
        <v>25</v>
      </c>
      <c r="F137" s="2" t="s">
        <v>30</v>
      </c>
    </row>
    <row r="138" ht="22.5" customHeight="1">
      <c r="A138" s="5" t="s">
        <v>196</v>
      </c>
      <c r="B138" s="2" t="s">
        <v>29</v>
      </c>
      <c r="C138" s="45" t="str">
        <f t="shared" si="1"/>
        <v>Bheem_1</v>
      </c>
      <c r="D138" s="12" t="s">
        <v>197</v>
      </c>
      <c r="E138" s="2" t="s">
        <v>25</v>
      </c>
      <c r="F138" s="2" t="s">
        <v>198</v>
      </c>
    </row>
    <row r="139" ht="22.5" customHeight="1">
      <c r="A139" s="5" t="s">
        <v>196</v>
      </c>
      <c r="B139" s="2" t="s">
        <v>2383</v>
      </c>
      <c r="C139" s="45" t="str">
        <f t="shared" si="1"/>
        <v>Bheem_2</v>
      </c>
      <c r="D139" s="12" t="s">
        <v>199</v>
      </c>
      <c r="E139" s="2" t="s">
        <v>25</v>
      </c>
      <c r="F139" s="2" t="s">
        <v>64</v>
      </c>
      <c r="G139" s="2"/>
      <c r="J139" s="2" t="s">
        <v>200</v>
      </c>
      <c r="K139" s="2"/>
    </row>
    <row r="140" ht="22.5" customHeight="1">
      <c r="A140" s="5" t="s">
        <v>196</v>
      </c>
      <c r="B140" s="2" t="s">
        <v>28</v>
      </c>
      <c r="C140" s="18" t="str">
        <f t="shared" si="1"/>
        <v>Bheem_3</v>
      </c>
      <c r="D140" s="15" t="s">
        <v>201</v>
      </c>
      <c r="E140" s="2" t="s">
        <v>25</v>
      </c>
      <c r="F140" s="2" t="s">
        <v>202</v>
      </c>
    </row>
    <row r="141" ht="22.5" customHeight="1">
      <c r="A141" s="5" t="s">
        <v>203</v>
      </c>
      <c r="B141" s="2" t="s">
        <v>38</v>
      </c>
      <c r="C141" s="18" t="str">
        <f t="shared" si="1"/>
        <v>Bhimpalasi_1</v>
      </c>
      <c r="D141" s="15" t="s">
        <v>204</v>
      </c>
      <c r="E141" s="2" t="s">
        <v>25</v>
      </c>
      <c r="F141" s="2" t="s">
        <v>157</v>
      </c>
      <c r="H141" s="2"/>
      <c r="I141" s="2" t="s">
        <v>171</v>
      </c>
    </row>
    <row r="142" ht="22.5" customHeight="1">
      <c r="A142" s="5" t="s">
        <v>203</v>
      </c>
      <c r="B142" s="2" t="s">
        <v>127</v>
      </c>
      <c r="C142" s="45" t="str">
        <f t="shared" si="1"/>
        <v>Bhimpalasi_2</v>
      </c>
      <c r="D142" s="12" t="s">
        <v>205</v>
      </c>
      <c r="E142" s="2" t="s">
        <v>25</v>
      </c>
      <c r="F142" s="2" t="s">
        <v>206</v>
      </c>
      <c r="H142" s="2"/>
      <c r="I142" s="2" t="s">
        <v>80</v>
      </c>
    </row>
    <row r="143" ht="22.5" customHeight="1">
      <c r="A143" s="5" t="s">
        <v>203</v>
      </c>
      <c r="B143" s="2" t="s">
        <v>43</v>
      </c>
      <c r="C143" s="45" t="str">
        <f t="shared" si="1"/>
        <v>Bhimpalasi_3</v>
      </c>
      <c r="D143" s="12" t="s">
        <v>207</v>
      </c>
      <c r="E143" s="2" t="s">
        <v>25</v>
      </c>
      <c r="F143" s="2" t="s">
        <v>83</v>
      </c>
      <c r="H143" s="2"/>
      <c r="I143" s="2" t="s">
        <v>80</v>
      </c>
    </row>
    <row r="144" ht="22.5" customHeight="1">
      <c r="A144" s="5" t="s">
        <v>203</v>
      </c>
      <c r="B144" s="2" t="s">
        <v>32</v>
      </c>
      <c r="C144" s="45" t="str">
        <f t="shared" si="1"/>
        <v>Bhimpalasi_4</v>
      </c>
      <c r="D144" s="12" t="s">
        <v>208</v>
      </c>
      <c r="E144" s="2" t="s">
        <v>114</v>
      </c>
      <c r="F144" s="2" t="s">
        <v>170</v>
      </c>
    </row>
    <row r="145" ht="22.5" customHeight="1">
      <c r="A145" s="5" t="s">
        <v>203</v>
      </c>
      <c r="B145" s="2" t="s">
        <v>32</v>
      </c>
      <c r="C145" s="45" t="str">
        <f t="shared" si="1"/>
        <v>Bhimpalasi_5</v>
      </c>
      <c r="D145" s="12" t="s">
        <v>209</v>
      </c>
      <c r="E145" s="2" t="s">
        <v>25</v>
      </c>
      <c r="F145" s="2" t="s">
        <v>34</v>
      </c>
    </row>
    <row r="146" ht="22.5" customHeight="1">
      <c r="A146" s="5" t="s">
        <v>203</v>
      </c>
      <c r="B146" s="2" t="s">
        <v>32</v>
      </c>
      <c r="C146" s="45" t="str">
        <f t="shared" si="1"/>
        <v>Bhimpalasi_6</v>
      </c>
      <c r="D146" s="12" t="s">
        <v>210</v>
      </c>
      <c r="E146" s="2" t="s">
        <v>114</v>
      </c>
      <c r="F146" s="2" t="s">
        <v>211</v>
      </c>
      <c r="H146" s="2"/>
      <c r="I146" s="2" t="s">
        <v>212</v>
      </c>
    </row>
    <row r="147" ht="22.5" customHeight="1">
      <c r="A147" s="5" t="s">
        <v>203</v>
      </c>
      <c r="B147" s="2" t="s">
        <v>43</v>
      </c>
      <c r="C147" s="45" t="str">
        <f t="shared" si="1"/>
        <v>Bhimpalasi_7</v>
      </c>
      <c r="D147" s="12" t="s">
        <v>213</v>
      </c>
      <c r="E147" s="2" t="s">
        <v>25</v>
      </c>
      <c r="F147" s="2" t="s">
        <v>52</v>
      </c>
      <c r="H147" s="2"/>
      <c r="I147" s="2" t="s">
        <v>214</v>
      </c>
    </row>
    <row r="148" ht="22.5" customHeight="1">
      <c r="A148" s="5" t="s">
        <v>203</v>
      </c>
      <c r="B148" s="2" t="s">
        <v>24</v>
      </c>
      <c r="C148" s="18" t="str">
        <f t="shared" si="1"/>
        <v>Bhimpalasi_8</v>
      </c>
      <c r="D148" s="15" t="s">
        <v>215</v>
      </c>
      <c r="E148" s="2" t="s">
        <v>25</v>
      </c>
      <c r="F148" s="2" t="s">
        <v>56</v>
      </c>
    </row>
    <row r="149" ht="22.5" customHeight="1">
      <c r="A149" s="5" t="s">
        <v>203</v>
      </c>
      <c r="B149" s="2" t="s">
        <v>24</v>
      </c>
      <c r="C149" s="45" t="str">
        <f t="shared" si="1"/>
        <v>Bhimpalasi_9</v>
      </c>
      <c r="D149" s="12" t="s">
        <v>216</v>
      </c>
      <c r="E149" s="2" t="s">
        <v>25</v>
      </c>
      <c r="F149" s="2" t="s">
        <v>26</v>
      </c>
    </row>
    <row r="150" ht="22.5" customHeight="1">
      <c r="A150" s="5" t="s">
        <v>217</v>
      </c>
      <c r="B150" s="2" t="s">
        <v>62</v>
      </c>
      <c r="C150" s="45" t="str">
        <f t="shared" si="1"/>
        <v>Bhupali Todi_1</v>
      </c>
      <c r="D150" s="12" t="s">
        <v>218</v>
      </c>
      <c r="E150" s="2" t="s">
        <v>25</v>
      </c>
      <c r="F150" s="2" t="s">
        <v>153</v>
      </c>
      <c r="H150" s="2"/>
      <c r="I150" s="2" t="s">
        <v>154</v>
      </c>
    </row>
    <row r="151" ht="22.5" customHeight="1">
      <c r="A151" s="5" t="s">
        <v>217</v>
      </c>
      <c r="B151" s="2" t="s">
        <v>28</v>
      </c>
      <c r="C151" s="45" t="str">
        <f t="shared" si="1"/>
        <v>Bhupali Todi_2</v>
      </c>
      <c r="D151" s="12" t="s">
        <v>219</v>
      </c>
      <c r="E151" s="2" t="s">
        <v>25</v>
      </c>
      <c r="F151" s="2" t="s">
        <v>220</v>
      </c>
    </row>
    <row r="152" ht="22.5" customHeight="1">
      <c r="A152" s="5" t="s">
        <v>217</v>
      </c>
      <c r="B152" s="2" t="s">
        <v>43</v>
      </c>
      <c r="C152" s="45" t="str">
        <f t="shared" si="1"/>
        <v>Bhupali Todi_3</v>
      </c>
      <c r="D152" s="12" t="s">
        <v>221</v>
      </c>
      <c r="E152" s="2" t="s">
        <v>25</v>
      </c>
      <c r="F152" s="2" t="s">
        <v>222</v>
      </c>
    </row>
    <row r="153" ht="22.5" customHeight="1">
      <c r="A153" s="5" t="s">
        <v>217</v>
      </c>
      <c r="B153" s="2" t="s">
        <v>24</v>
      </c>
      <c r="C153" s="45" t="str">
        <f t="shared" si="1"/>
        <v>Bhupali Todi_4</v>
      </c>
      <c r="D153" s="12" t="s">
        <v>223</v>
      </c>
      <c r="E153" s="2" t="s">
        <v>25</v>
      </c>
      <c r="F153" s="2" t="s">
        <v>50</v>
      </c>
    </row>
    <row r="154" ht="22.5" customHeight="1">
      <c r="A154" s="5" t="s">
        <v>217</v>
      </c>
      <c r="B154" s="2" t="s">
        <v>32</v>
      </c>
      <c r="C154" s="45" t="str">
        <f t="shared" si="1"/>
        <v>Bhupali Todi_5</v>
      </c>
      <c r="D154" s="12" t="s">
        <v>224</v>
      </c>
      <c r="E154" s="2" t="s">
        <v>225</v>
      </c>
      <c r="F154" s="2" t="s">
        <v>226</v>
      </c>
      <c r="G154" s="19">
        <v>0.018055555555555554</v>
      </c>
      <c r="H154" s="2"/>
      <c r="I154" s="2" t="s">
        <v>171</v>
      </c>
    </row>
    <row r="155" ht="22.5" customHeight="1">
      <c r="A155" s="5" t="s">
        <v>217</v>
      </c>
      <c r="B155" s="2" t="s">
        <v>24</v>
      </c>
      <c r="C155" s="45" t="str">
        <f t="shared" si="1"/>
        <v>Bhupali Todi_6</v>
      </c>
      <c r="D155" s="12" t="s">
        <v>227</v>
      </c>
      <c r="E155" s="2" t="s">
        <v>25</v>
      </c>
      <c r="F155" s="2" t="s">
        <v>77</v>
      </c>
    </row>
    <row r="156" ht="22.5" customHeight="1">
      <c r="A156" s="5" t="s">
        <v>217</v>
      </c>
      <c r="B156" s="2" t="s">
        <v>32</v>
      </c>
      <c r="C156" s="45" t="str">
        <f t="shared" si="1"/>
        <v>Bhupali Todi_7</v>
      </c>
      <c r="D156" s="12" t="s">
        <v>228</v>
      </c>
      <c r="E156" s="2" t="s">
        <v>25</v>
      </c>
      <c r="F156" s="2" t="s">
        <v>101</v>
      </c>
    </row>
    <row r="157" ht="22.5" customHeight="1">
      <c r="A157" s="5" t="s">
        <v>217</v>
      </c>
      <c r="B157" s="2" t="s">
        <v>38</v>
      </c>
      <c r="C157" s="45" t="str">
        <f t="shared" si="1"/>
        <v>Bhupali Todi_8</v>
      </c>
      <c r="D157" s="12" t="s">
        <v>229</v>
      </c>
      <c r="E157" s="2" t="s">
        <v>25</v>
      </c>
      <c r="F157" s="2" t="s">
        <v>129</v>
      </c>
    </row>
    <row r="158" ht="22.5" customHeight="1">
      <c r="A158" s="5" t="s">
        <v>217</v>
      </c>
      <c r="B158" s="2" t="s">
        <v>32</v>
      </c>
      <c r="C158" s="45" t="str">
        <f t="shared" si="1"/>
        <v>Bhupali Todi_9</v>
      </c>
      <c r="D158" s="12" t="s">
        <v>230</v>
      </c>
      <c r="E158" s="2" t="s">
        <v>114</v>
      </c>
      <c r="F158" s="2" t="s">
        <v>231</v>
      </c>
      <c r="G158" s="19">
        <v>0.041666666666666664</v>
      </c>
    </row>
    <row r="159" ht="22.5" customHeight="1">
      <c r="A159" s="5" t="s">
        <v>232</v>
      </c>
      <c r="B159" s="2"/>
      <c r="C159" s="18" t="str">
        <f t="shared" si="1"/>
        <v>Bhupali_1</v>
      </c>
      <c r="E159" s="8" t="s">
        <v>25</v>
      </c>
      <c r="F159" s="8" t="s">
        <v>112</v>
      </c>
      <c r="H159" s="2"/>
      <c r="I159" s="2" t="s">
        <v>27</v>
      </c>
    </row>
    <row r="160" ht="22.5" customHeight="1">
      <c r="A160" s="5" t="s">
        <v>232</v>
      </c>
      <c r="B160" s="2"/>
      <c r="C160" s="18" t="str">
        <f t="shared" si="1"/>
        <v>Bhupali_2</v>
      </c>
      <c r="E160" s="8" t="s">
        <v>25</v>
      </c>
      <c r="F160" s="8" t="s">
        <v>233</v>
      </c>
      <c r="H160" s="2"/>
      <c r="I160" s="2" t="s">
        <v>27</v>
      </c>
    </row>
    <row r="161" ht="22.5" customHeight="1">
      <c r="A161" s="5" t="s">
        <v>232</v>
      </c>
      <c r="B161" s="2"/>
      <c r="C161" s="18" t="str">
        <f t="shared" si="1"/>
        <v>Bhupali_3</v>
      </c>
      <c r="E161" s="8" t="s">
        <v>25</v>
      </c>
      <c r="F161" s="8" t="s">
        <v>75</v>
      </c>
      <c r="H161" s="2"/>
      <c r="I161" s="2" t="s">
        <v>27</v>
      </c>
    </row>
    <row r="162" ht="22.5" customHeight="1">
      <c r="A162" s="5" t="s">
        <v>232</v>
      </c>
      <c r="B162" s="2"/>
      <c r="C162" s="18" t="str">
        <f t="shared" si="1"/>
        <v>Bhupali_4</v>
      </c>
      <c r="E162" s="8" t="s">
        <v>25</v>
      </c>
      <c r="F162" s="8" t="s">
        <v>75</v>
      </c>
      <c r="H162" s="2"/>
      <c r="I162" s="2" t="s">
        <v>27</v>
      </c>
    </row>
    <row r="163" ht="22.5" customHeight="1">
      <c r="A163" s="5" t="s">
        <v>232</v>
      </c>
      <c r="B163" s="2"/>
      <c r="C163" s="18" t="str">
        <f t="shared" si="1"/>
        <v>Bhupali_5</v>
      </c>
      <c r="E163" s="8" t="s">
        <v>25</v>
      </c>
      <c r="F163" s="8" t="s">
        <v>75</v>
      </c>
      <c r="H163" s="2"/>
      <c r="I163" s="2" t="s">
        <v>27</v>
      </c>
    </row>
    <row r="164" ht="22.5" customHeight="1">
      <c r="A164" s="5" t="s">
        <v>232</v>
      </c>
      <c r="B164" s="2"/>
      <c r="C164" s="18" t="str">
        <f t="shared" si="1"/>
        <v>Bhupali_6</v>
      </c>
      <c r="E164" s="8" t="s">
        <v>25</v>
      </c>
      <c r="F164" s="8" t="s">
        <v>75</v>
      </c>
      <c r="H164" s="2"/>
      <c r="I164" s="2" t="s">
        <v>27</v>
      </c>
    </row>
    <row r="165" ht="22.5" customHeight="1">
      <c r="A165" s="5" t="s">
        <v>232</v>
      </c>
      <c r="B165" s="2"/>
      <c r="C165" s="18" t="str">
        <f t="shared" si="1"/>
        <v>Bhupali_7</v>
      </c>
      <c r="E165" s="8" t="s">
        <v>25</v>
      </c>
      <c r="F165" s="8" t="s">
        <v>34</v>
      </c>
      <c r="H165" s="2"/>
      <c r="I165" s="2" t="s">
        <v>27</v>
      </c>
    </row>
    <row r="166" ht="22.5" customHeight="1">
      <c r="A166" s="5" t="s">
        <v>232</v>
      </c>
      <c r="B166" s="2"/>
      <c r="C166" s="18" t="str">
        <f t="shared" si="1"/>
        <v>Bhupali_8</v>
      </c>
      <c r="E166" s="8" t="s">
        <v>25</v>
      </c>
      <c r="F166" s="8" t="s">
        <v>76</v>
      </c>
      <c r="H166" s="2"/>
      <c r="I166" s="2" t="s">
        <v>27</v>
      </c>
    </row>
    <row r="167" ht="22.5" customHeight="1">
      <c r="A167" s="5" t="s">
        <v>232</v>
      </c>
      <c r="B167" s="2"/>
      <c r="C167" s="18" t="str">
        <f t="shared" si="1"/>
        <v>Bhupali_9</v>
      </c>
      <c r="E167" s="8" t="s">
        <v>25</v>
      </c>
      <c r="F167" s="8" t="s">
        <v>68</v>
      </c>
      <c r="H167" s="2"/>
      <c r="I167" s="2" t="s">
        <v>27</v>
      </c>
    </row>
    <row r="168" ht="22.5" customHeight="1">
      <c r="A168" s="5" t="s">
        <v>232</v>
      </c>
      <c r="B168" s="2"/>
      <c r="C168" s="18" t="str">
        <f t="shared" si="1"/>
        <v>Bhupali_10</v>
      </c>
      <c r="E168" s="8" t="s">
        <v>25</v>
      </c>
      <c r="F168" s="8" t="s">
        <v>70</v>
      </c>
      <c r="H168" s="2"/>
      <c r="I168" s="2" t="s">
        <v>27</v>
      </c>
    </row>
    <row r="169" ht="22.5" customHeight="1">
      <c r="A169" s="5" t="s">
        <v>234</v>
      </c>
      <c r="B169" s="2" t="s">
        <v>24</v>
      </c>
      <c r="C169" s="45" t="str">
        <f t="shared" si="1"/>
        <v>Bibhas_1</v>
      </c>
      <c r="D169" s="12" t="s">
        <v>235</v>
      </c>
      <c r="E169" s="2" t="s">
        <v>236</v>
      </c>
      <c r="F169" s="2" t="s">
        <v>237</v>
      </c>
    </row>
    <row r="170" ht="22.5" customHeight="1">
      <c r="A170" s="5" t="s">
        <v>234</v>
      </c>
      <c r="B170" s="2" t="s">
        <v>43</v>
      </c>
      <c r="C170" s="45" t="str">
        <f t="shared" si="1"/>
        <v>Bibhas_2</v>
      </c>
      <c r="D170" s="12" t="s">
        <v>238</v>
      </c>
      <c r="E170" s="2" t="s">
        <v>25</v>
      </c>
      <c r="F170" s="2" t="s">
        <v>239</v>
      </c>
    </row>
    <row r="171" ht="22.5" customHeight="1">
      <c r="A171" s="5" t="s">
        <v>234</v>
      </c>
      <c r="B171" s="2" t="s">
        <v>38</v>
      </c>
      <c r="C171" s="45" t="str">
        <f t="shared" si="1"/>
        <v>Bibhas_3</v>
      </c>
      <c r="D171" s="12" t="s">
        <v>240</v>
      </c>
      <c r="E171" s="2" t="s">
        <v>25</v>
      </c>
      <c r="F171" s="2" t="s">
        <v>134</v>
      </c>
    </row>
    <row r="172" ht="22.5" customHeight="1">
      <c r="A172" s="5" t="s">
        <v>234</v>
      </c>
      <c r="B172" s="2" t="s">
        <v>38</v>
      </c>
      <c r="C172" s="45" t="str">
        <f t="shared" si="1"/>
        <v>Bibhas_4</v>
      </c>
      <c r="D172" s="12" t="s">
        <v>241</v>
      </c>
      <c r="E172" s="2" t="s">
        <v>25</v>
      </c>
      <c r="F172" s="2" t="s">
        <v>75</v>
      </c>
    </row>
    <row r="173" ht="22.5" customHeight="1">
      <c r="A173" s="5" t="s">
        <v>234</v>
      </c>
      <c r="B173" s="2" t="s">
        <v>58</v>
      </c>
      <c r="C173" s="45" t="str">
        <f t="shared" si="1"/>
        <v>Bibhas_5</v>
      </c>
      <c r="D173" s="12" t="s">
        <v>242</v>
      </c>
      <c r="E173" s="2" t="s">
        <v>25</v>
      </c>
      <c r="F173" s="2" t="s">
        <v>112</v>
      </c>
    </row>
    <row r="174" ht="22.5" customHeight="1">
      <c r="A174" s="5" t="s">
        <v>234</v>
      </c>
      <c r="B174" s="2" t="s">
        <v>58</v>
      </c>
      <c r="C174" s="45" t="str">
        <f t="shared" si="1"/>
        <v>Bibhas_6</v>
      </c>
      <c r="D174" s="12" t="s">
        <v>243</v>
      </c>
      <c r="E174" s="2" t="s">
        <v>25</v>
      </c>
      <c r="F174" s="2" t="s">
        <v>244</v>
      </c>
    </row>
    <row r="175" ht="22.5" customHeight="1">
      <c r="A175" s="5" t="s">
        <v>234</v>
      </c>
      <c r="B175" s="2" t="s">
        <v>43</v>
      </c>
      <c r="C175" s="45" t="str">
        <f t="shared" si="1"/>
        <v>Bibhas_7</v>
      </c>
      <c r="D175" s="12" t="s">
        <v>245</v>
      </c>
      <c r="E175" s="2" t="s">
        <v>25</v>
      </c>
      <c r="F175" s="2" t="s">
        <v>193</v>
      </c>
    </row>
    <row r="176" ht="22.5" customHeight="1">
      <c r="A176" s="5" t="s">
        <v>234</v>
      </c>
      <c r="B176" s="2" t="s">
        <v>43</v>
      </c>
      <c r="C176" s="45" t="str">
        <f t="shared" si="1"/>
        <v>Bibhas_8</v>
      </c>
      <c r="D176" s="12" t="s">
        <v>246</v>
      </c>
      <c r="E176" s="2" t="s">
        <v>25</v>
      </c>
      <c r="F176" s="2" t="s">
        <v>94</v>
      </c>
    </row>
    <row r="177" ht="22.5" customHeight="1">
      <c r="A177" s="5" t="s">
        <v>234</v>
      </c>
      <c r="B177" s="2" t="s">
        <v>127</v>
      </c>
      <c r="C177" s="45" t="str">
        <f t="shared" si="1"/>
        <v>Bibhas_9</v>
      </c>
      <c r="D177" s="12" t="s">
        <v>247</v>
      </c>
      <c r="E177" s="2" t="s">
        <v>25</v>
      </c>
      <c r="F177" s="2" t="s">
        <v>248</v>
      </c>
    </row>
    <row r="178" ht="22.5" customHeight="1">
      <c r="A178" s="5" t="s">
        <v>249</v>
      </c>
      <c r="B178" s="2"/>
      <c r="C178" s="18" t="str">
        <f t="shared" si="1"/>
        <v>Bihag_1</v>
      </c>
      <c r="E178" s="8" t="s">
        <v>25</v>
      </c>
      <c r="F178" s="8" t="s">
        <v>98</v>
      </c>
      <c r="H178" s="2"/>
      <c r="I178" s="2" t="s">
        <v>27</v>
      </c>
    </row>
    <row r="179" ht="22.5" customHeight="1">
      <c r="A179" s="5" t="s">
        <v>249</v>
      </c>
      <c r="B179" s="2"/>
      <c r="C179" s="18" t="str">
        <f t="shared" si="1"/>
        <v>Bihag_2</v>
      </c>
      <c r="E179" s="8" t="s">
        <v>25</v>
      </c>
      <c r="F179" s="8" t="s">
        <v>98</v>
      </c>
      <c r="H179" s="2"/>
      <c r="I179" s="2" t="s">
        <v>27</v>
      </c>
    </row>
    <row r="180" ht="22.5" customHeight="1">
      <c r="A180" s="5" t="s">
        <v>249</v>
      </c>
      <c r="B180" s="2"/>
      <c r="C180" s="18" t="str">
        <f t="shared" si="1"/>
        <v>Bihag_3</v>
      </c>
      <c r="E180" s="8" t="s">
        <v>25</v>
      </c>
      <c r="F180" s="8" t="s">
        <v>76</v>
      </c>
      <c r="H180" s="2"/>
      <c r="I180" s="2" t="s">
        <v>27</v>
      </c>
    </row>
    <row r="181" ht="22.5" customHeight="1">
      <c r="A181" s="5" t="s">
        <v>249</v>
      </c>
      <c r="B181" s="2"/>
      <c r="C181" s="18" t="str">
        <f t="shared" si="1"/>
        <v>Bihag_4</v>
      </c>
      <c r="E181" s="8" t="s">
        <v>25</v>
      </c>
      <c r="F181" s="8" t="s">
        <v>76</v>
      </c>
      <c r="H181" s="2"/>
      <c r="I181" s="2" t="s">
        <v>27</v>
      </c>
    </row>
    <row r="182" ht="22.5" customHeight="1">
      <c r="A182" s="5" t="s">
        <v>249</v>
      </c>
      <c r="B182" s="2"/>
      <c r="C182" s="18" t="str">
        <f t="shared" si="1"/>
        <v>Bihag_5</v>
      </c>
      <c r="E182" s="8" t="s">
        <v>25</v>
      </c>
      <c r="F182" s="8" t="s">
        <v>76</v>
      </c>
      <c r="H182" s="2"/>
      <c r="I182" s="2" t="s">
        <v>27</v>
      </c>
    </row>
    <row r="183" ht="22.5" customHeight="1">
      <c r="A183" s="5" t="s">
        <v>249</v>
      </c>
      <c r="B183" s="2"/>
      <c r="C183" s="18" t="str">
        <f t="shared" si="1"/>
        <v>Bihag_6</v>
      </c>
      <c r="E183" s="8" t="s">
        <v>25</v>
      </c>
      <c r="F183" s="8" t="s">
        <v>76</v>
      </c>
      <c r="H183" s="2"/>
      <c r="I183" s="2" t="s">
        <v>27</v>
      </c>
    </row>
    <row r="184" ht="22.5" customHeight="1">
      <c r="A184" s="5" t="s">
        <v>249</v>
      </c>
      <c r="B184" s="2"/>
      <c r="C184" s="18" t="str">
        <f t="shared" si="1"/>
        <v>Bihag_7</v>
      </c>
      <c r="E184" s="8" t="s">
        <v>25</v>
      </c>
      <c r="F184" s="8" t="s">
        <v>76</v>
      </c>
      <c r="H184" s="2"/>
      <c r="I184" s="2" t="s">
        <v>27</v>
      </c>
    </row>
    <row r="185" ht="22.5" customHeight="1">
      <c r="A185" s="5" t="s">
        <v>249</v>
      </c>
      <c r="B185" s="2"/>
      <c r="C185" s="18" t="str">
        <f t="shared" si="1"/>
        <v>Bihag_8</v>
      </c>
      <c r="E185" s="8" t="s">
        <v>25</v>
      </c>
      <c r="F185" s="8" t="s">
        <v>250</v>
      </c>
      <c r="H185" s="2"/>
      <c r="I185" s="2" t="s">
        <v>27</v>
      </c>
    </row>
    <row r="186" ht="22.5" customHeight="1">
      <c r="A186" s="5" t="s">
        <v>249</v>
      </c>
      <c r="B186" s="2"/>
      <c r="C186" s="18" t="str">
        <f t="shared" si="1"/>
        <v>Bihag_9</v>
      </c>
      <c r="E186" s="8" t="s">
        <v>25</v>
      </c>
      <c r="F186" s="8" t="s">
        <v>251</v>
      </c>
      <c r="H186" s="2"/>
      <c r="I186" s="2" t="s">
        <v>27</v>
      </c>
    </row>
    <row r="187" ht="22.5" customHeight="1">
      <c r="A187" s="5" t="s">
        <v>249</v>
      </c>
      <c r="B187" s="2"/>
      <c r="C187" s="18" t="str">
        <f t="shared" si="1"/>
        <v>Bihag_10</v>
      </c>
      <c r="E187" s="8" t="s">
        <v>25</v>
      </c>
      <c r="F187" s="8" t="s">
        <v>70</v>
      </c>
      <c r="H187" s="2"/>
      <c r="I187" s="2" t="s">
        <v>27</v>
      </c>
    </row>
    <row r="188" ht="22.5" customHeight="1">
      <c r="A188" s="5" t="s">
        <v>252</v>
      </c>
      <c r="B188" s="2" t="s">
        <v>43</v>
      </c>
      <c r="C188" s="45" t="str">
        <f t="shared" si="1"/>
        <v>Bihagda_1</v>
      </c>
      <c r="D188" s="12" t="s">
        <v>253</v>
      </c>
      <c r="E188" s="2" t="s">
        <v>25</v>
      </c>
      <c r="F188" s="2" t="s">
        <v>193</v>
      </c>
    </row>
    <row r="189" ht="22.5" customHeight="1">
      <c r="A189" s="5" t="s">
        <v>252</v>
      </c>
      <c r="B189" s="2" t="s">
        <v>38</v>
      </c>
      <c r="C189" s="45" t="str">
        <f t="shared" si="1"/>
        <v>Bihagda_2</v>
      </c>
      <c r="D189" s="12" t="s">
        <v>254</v>
      </c>
      <c r="E189" s="2" t="s">
        <v>25</v>
      </c>
      <c r="F189" s="2" t="s">
        <v>134</v>
      </c>
    </row>
    <row r="190" ht="22.5" customHeight="1">
      <c r="A190" s="5" t="s">
        <v>252</v>
      </c>
      <c r="B190" s="2" t="s">
        <v>38</v>
      </c>
      <c r="C190" s="45" t="str">
        <f t="shared" si="1"/>
        <v>Bihagda_3</v>
      </c>
      <c r="D190" s="12" t="s">
        <v>255</v>
      </c>
      <c r="E190" s="2" t="s">
        <v>25</v>
      </c>
      <c r="F190" s="2" t="s">
        <v>256</v>
      </c>
    </row>
    <row r="191" ht="22.5" customHeight="1">
      <c r="A191" s="5" t="s">
        <v>252</v>
      </c>
      <c r="B191" s="2" t="s">
        <v>67</v>
      </c>
      <c r="C191" s="45" t="str">
        <f t="shared" si="1"/>
        <v>Bihagda_4</v>
      </c>
      <c r="D191" s="12" t="s">
        <v>257</v>
      </c>
      <c r="E191" s="2" t="s">
        <v>25</v>
      </c>
      <c r="F191" s="2" t="s">
        <v>68</v>
      </c>
    </row>
    <row r="192" ht="22.5" customHeight="1">
      <c r="A192" s="5" t="s">
        <v>252</v>
      </c>
      <c r="B192" s="2" t="s">
        <v>43</v>
      </c>
      <c r="C192" s="45" t="str">
        <f t="shared" si="1"/>
        <v>Bihagda_5</v>
      </c>
      <c r="D192" s="12" t="s">
        <v>258</v>
      </c>
      <c r="E192" s="2" t="s">
        <v>25</v>
      </c>
      <c r="F192" s="2" t="s">
        <v>83</v>
      </c>
    </row>
    <row r="193" ht="22.5" customHeight="1">
      <c r="A193" s="5" t="s">
        <v>252</v>
      </c>
      <c r="B193" s="2" t="s">
        <v>24</v>
      </c>
      <c r="C193" s="45" t="str">
        <f t="shared" si="1"/>
        <v>Bihagda_6</v>
      </c>
      <c r="D193" s="12" t="s">
        <v>259</v>
      </c>
      <c r="E193" s="2" t="s">
        <v>114</v>
      </c>
      <c r="F193" s="2" t="s">
        <v>115</v>
      </c>
    </row>
    <row r="194" ht="22.5" customHeight="1">
      <c r="A194" s="5" t="s">
        <v>252</v>
      </c>
      <c r="B194" s="2" t="s">
        <v>36</v>
      </c>
      <c r="C194" s="45" t="str">
        <f t="shared" si="1"/>
        <v>Bihagda_7</v>
      </c>
      <c r="D194" s="12" t="s">
        <v>260</v>
      </c>
      <c r="E194" s="2" t="s">
        <v>25</v>
      </c>
      <c r="F194" s="2" t="s">
        <v>75</v>
      </c>
    </row>
    <row r="195" ht="22.5" customHeight="1">
      <c r="A195" s="5" t="s">
        <v>252</v>
      </c>
      <c r="B195" s="2" t="s">
        <v>43</v>
      </c>
      <c r="C195" s="45" t="str">
        <f t="shared" si="1"/>
        <v>Bihagda_8</v>
      </c>
      <c r="D195" s="12" t="s">
        <v>261</v>
      </c>
      <c r="E195" s="2" t="s">
        <v>25</v>
      </c>
      <c r="F195" s="2" t="s">
        <v>262</v>
      </c>
    </row>
    <row r="196" ht="22.5" customHeight="1">
      <c r="A196" s="5" t="s">
        <v>252</v>
      </c>
      <c r="B196" s="2" t="s">
        <v>43</v>
      </c>
      <c r="C196" s="45" t="str">
        <f t="shared" si="1"/>
        <v>Bihagda_9</v>
      </c>
      <c r="D196" s="12" t="s">
        <v>263</v>
      </c>
      <c r="E196" s="2" t="s">
        <v>25</v>
      </c>
      <c r="F196" s="2" t="s">
        <v>264</v>
      </c>
    </row>
    <row r="197" ht="22.5" customHeight="1">
      <c r="A197" s="5" t="s">
        <v>265</v>
      </c>
      <c r="B197" s="2" t="s">
        <v>28</v>
      </c>
      <c r="C197" s="45" t="str">
        <f t="shared" si="1"/>
        <v>Bihari_1</v>
      </c>
      <c r="D197" s="12" t="s">
        <v>266</v>
      </c>
      <c r="E197" s="2" t="s">
        <v>25</v>
      </c>
      <c r="F197" s="2" t="s">
        <v>193</v>
      </c>
    </row>
    <row r="198" ht="22.5" customHeight="1">
      <c r="A198" s="5" t="s">
        <v>265</v>
      </c>
      <c r="B198" s="2" t="s">
        <v>29</v>
      </c>
      <c r="C198" s="45" t="str">
        <f t="shared" si="1"/>
        <v>Bihari_2</v>
      </c>
      <c r="D198" s="12" t="s">
        <v>267</v>
      </c>
      <c r="E198" s="2" t="s">
        <v>25</v>
      </c>
      <c r="F198" s="2" t="s">
        <v>268</v>
      </c>
    </row>
    <row r="199" ht="22.5" customHeight="1">
      <c r="A199" s="5" t="s">
        <v>265</v>
      </c>
      <c r="B199" s="2" t="s">
        <v>38</v>
      </c>
      <c r="C199" s="45" t="str">
        <f t="shared" si="1"/>
        <v>Bihari_3</v>
      </c>
      <c r="D199" s="12" t="s">
        <v>269</v>
      </c>
      <c r="E199" s="2" t="s">
        <v>25</v>
      </c>
      <c r="F199" s="2" t="s">
        <v>134</v>
      </c>
    </row>
    <row r="200" ht="22.5" customHeight="1">
      <c r="A200" s="5" t="s">
        <v>265</v>
      </c>
      <c r="B200" s="2" t="s">
        <v>62</v>
      </c>
      <c r="C200" s="45" t="str">
        <f t="shared" si="1"/>
        <v>Bihari_4</v>
      </c>
      <c r="D200" s="12" t="s">
        <v>270</v>
      </c>
      <c r="E200" s="2" t="s">
        <v>162</v>
      </c>
      <c r="F200" s="2" t="s">
        <v>271</v>
      </c>
      <c r="L200" s="2" t="s">
        <v>61</v>
      </c>
    </row>
    <row r="201" ht="22.5" customHeight="1">
      <c r="A201" s="5" t="s">
        <v>265</v>
      </c>
      <c r="B201" s="2" t="s">
        <v>32</v>
      </c>
      <c r="C201" s="45" t="str">
        <f t="shared" si="1"/>
        <v>Bihari_5</v>
      </c>
      <c r="D201" s="12" t="s">
        <v>272</v>
      </c>
      <c r="E201" s="2" t="s">
        <v>25</v>
      </c>
      <c r="F201" s="2" t="s">
        <v>273</v>
      </c>
    </row>
    <row r="202" ht="22.5" customHeight="1">
      <c r="A202" s="5" t="s">
        <v>265</v>
      </c>
      <c r="B202" s="2" t="s">
        <v>127</v>
      </c>
      <c r="C202" s="45" t="str">
        <f t="shared" si="1"/>
        <v>Bihari_6</v>
      </c>
      <c r="D202" s="12" t="s">
        <v>274</v>
      </c>
      <c r="E202" s="2" t="s">
        <v>25</v>
      </c>
      <c r="F202" s="2" t="s">
        <v>248</v>
      </c>
      <c r="G202" s="19">
        <v>0.02638888888888889</v>
      </c>
    </row>
    <row r="203" ht="22.5" customHeight="1">
      <c r="A203" s="5" t="s">
        <v>265</v>
      </c>
      <c r="B203" s="2" t="s">
        <v>43</v>
      </c>
      <c r="C203" s="45" t="str">
        <f t="shared" si="1"/>
        <v>Bihari_7</v>
      </c>
      <c r="D203" s="12" t="s">
        <v>275</v>
      </c>
      <c r="E203" s="2" t="s">
        <v>25</v>
      </c>
      <c r="F203" s="2" t="s">
        <v>276</v>
      </c>
      <c r="G203" s="19">
        <v>0.0763888888888889</v>
      </c>
    </row>
    <row r="204" ht="22.5" customHeight="1">
      <c r="A204" s="5" t="s">
        <v>265</v>
      </c>
      <c r="B204" s="2" t="s">
        <v>62</v>
      </c>
      <c r="C204" s="45" t="str">
        <f t="shared" si="1"/>
        <v>Bihari_8</v>
      </c>
      <c r="D204" s="12" t="s">
        <v>277</v>
      </c>
      <c r="E204" s="2" t="s">
        <v>25</v>
      </c>
      <c r="F204" s="2" t="s">
        <v>75</v>
      </c>
    </row>
    <row r="205" ht="22.5" customHeight="1">
      <c r="A205" s="5" t="s">
        <v>278</v>
      </c>
      <c r="B205" s="2"/>
      <c r="C205" s="18" t="str">
        <f t="shared" si="1"/>
        <v>Bilaskhani Todi_1</v>
      </c>
      <c r="E205" s="8" t="s">
        <v>25</v>
      </c>
      <c r="F205" s="8" t="s">
        <v>74</v>
      </c>
      <c r="H205" s="2"/>
      <c r="I205" s="2" t="s">
        <v>27</v>
      </c>
    </row>
    <row r="206" ht="22.5" customHeight="1">
      <c r="A206" s="5" t="s">
        <v>278</v>
      </c>
      <c r="B206" s="2"/>
      <c r="C206" s="18" t="str">
        <f t="shared" si="1"/>
        <v>Bilaskhani Todi_2</v>
      </c>
      <c r="E206" s="8" t="s">
        <v>25</v>
      </c>
      <c r="F206" s="8" t="s">
        <v>69</v>
      </c>
      <c r="H206" s="2"/>
      <c r="I206" s="2" t="s">
        <v>27</v>
      </c>
    </row>
    <row r="207" ht="22.5" customHeight="1">
      <c r="A207" s="5" t="s">
        <v>278</v>
      </c>
      <c r="B207" s="2"/>
      <c r="C207" s="18" t="str">
        <f t="shared" si="1"/>
        <v>Bilaskhani Todi_3</v>
      </c>
      <c r="E207" s="8" t="s">
        <v>25</v>
      </c>
      <c r="F207" s="8" t="s">
        <v>56</v>
      </c>
      <c r="H207" s="2"/>
      <c r="I207" s="2" t="s">
        <v>27</v>
      </c>
    </row>
    <row r="208" ht="22.5" customHeight="1">
      <c r="A208" s="5" t="s">
        <v>278</v>
      </c>
      <c r="B208" s="2"/>
      <c r="C208" s="18" t="str">
        <f t="shared" si="1"/>
        <v>Bilaskhani Todi_4</v>
      </c>
      <c r="E208" s="8" t="s">
        <v>25</v>
      </c>
      <c r="F208" s="8" t="s">
        <v>34</v>
      </c>
      <c r="H208" s="2"/>
      <c r="I208" s="2" t="s">
        <v>27</v>
      </c>
    </row>
    <row r="209" ht="22.5" customHeight="1">
      <c r="A209" s="5" t="s">
        <v>278</v>
      </c>
      <c r="B209" s="2"/>
      <c r="C209" s="18" t="str">
        <f t="shared" si="1"/>
        <v>Bilaskhani Todi_5</v>
      </c>
      <c r="E209" s="8" t="s">
        <v>25</v>
      </c>
      <c r="F209" s="8" t="s">
        <v>102</v>
      </c>
      <c r="H209" s="2"/>
      <c r="I209" s="2" t="s">
        <v>27</v>
      </c>
    </row>
    <row r="210" ht="22.5" customHeight="1">
      <c r="A210" s="5" t="s">
        <v>278</v>
      </c>
      <c r="B210" s="2"/>
      <c r="C210" s="18" t="str">
        <f t="shared" si="1"/>
        <v>Bilaskhani Todi_6</v>
      </c>
      <c r="E210" s="8" t="s">
        <v>25</v>
      </c>
      <c r="F210" s="8" t="s">
        <v>157</v>
      </c>
      <c r="H210" s="2"/>
      <c r="I210" s="2" t="s">
        <v>27</v>
      </c>
    </row>
    <row r="211" ht="22.5" customHeight="1">
      <c r="A211" s="5" t="s">
        <v>278</v>
      </c>
      <c r="B211" s="2"/>
      <c r="C211" s="18" t="str">
        <f t="shared" si="1"/>
        <v>Bilaskhani Todi_7</v>
      </c>
      <c r="E211" s="8" t="s">
        <v>25</v>
      </c>
      <c r="F211" s="8" t="s">
        <v>248</v>
      </c>
      <c r="H211" s="2"/>
      <c r="I211" s="2" t="s">
        <v>27</v>
      </c>
    </row>
    <row r="212" ht="22.5" customHeight="1">
      <c r="A212" s="5" t="s">
        <v>278</v>
      </c>
      <c r="B212" s="2"/>
      <c r="C212" s="18" t="str">
        <f t="shared" si="1"/>
        <v>Bilaskhani Todi_8</v>
      </c>
      <c r="E212" s="8" t="s">
        <v>25</v>
      </c>
      <c r="F212" s="8" t="s">
        <v>37</v>
      </c>
      <c r="H212" s="2"/>
      <c r="I212" s="2" t="s">
        <v>27</v>
      </c>
    </row>
    <row r="213" ht="22.5" customHeight="1">
      <c r="A213" s="5" t="s">
        <v>278</v>
      </c>
      <c r="B213" s="2"/>
      <c r="C213" s="18" t="str">
        <f t="shared" si="1"/>
        <v>Bilaskhani Todi_9</v>
      </c>
      <c r="E213" s="8" t="s">
        <v>25</v>
      </c>
      <c r="F213" s="8" t="s">
        <v>37</v>
      </c>
      <c r="H213" s="2"/>
      <c r="I213" s="2" t="s">
        <v>27</v>
      </c>
    </row>
    <row r="214" ht="22.5" customHeight="1">
      <c r="A214" s="5" t="s">
        <v>278</v>
      </c>
      <c r="B214" s="2"/>
      <c r="C214" s="18" t="str">
        <f t="shared" si="1"/>
        <v>Bilaskhani Todi_10</v>
      </c>
      <c r="E214" s="8" t="s">
        <v>25</v>
      </c>
      <c r="F214" s="8" t="s">
        <v>39</v>
      </c>
      <c r="H214" s="2"/>
      <c r="I214" s="2" t="s">
        <v>27</v>
      </c>
    </row>
    <row r="215" ht="22.5" customHeight="1">
      <c r="A215" s="5" t="s">
        <v>279</v>
      </c>
      <c r="B215" s="2" t="s">
        <v>24</v>
      </c>
      <c r="C215" s="18" t="str">
        <f t="shared" si="1"/>
        <v>Bilawal_1</v>
      </c>
      <c r="D215" s="15" t="s">
        <v>280</v>
      </c>
      <c r="E215" s="2" t="s">
        <v>25</v>
      </c>
      <c r="F215" s="2" t="s">
        <v>37</v>
      </c>
    </row>
    <row r="216" ht="22.5" customHeight="1">
      <c r="A216" s="5" t="s">
        <v>279</v>
      </c>
      <c r="B216" s="2" t="s">
        <v>24</v>
      </c>
      <c r="C216" s="46" t="str">
        <f t="shared" si="1"/>
        <v>Bilawal_2</v>
      </c>
      <c r="D216" s="13" t="s">
        <v>281</v>
      </c>
      <c r="E216" s="2" t="s">
        <v>25</v>
      </c>
      <c r="F216" s="2" t="s">
        <v>26</v>
      </c>
    </row>
    <row r="217" ht="22.5" customHeight="1">
      <c r="A217" s="5" t="s">
        <v>279</v>
      </c>
      <c r="B217" s="2" t="s">
        <v>32</v>
      </c>
      <c r="C217" s="46" t="str">
        <f t="shared" si="1"/>
        <v>Bilawal_3</v>
      </c>
      <c r="D217" s="13" t="s">
        <v>282</v>
      </c>
      <c r="E217" s="2" t="s">
        <v>283</v>
      </c>
      <c r="F217" s="2" t="s">
        <v>284</v>
      </c>
    </row>
    <row r="218" ht="22.5" customHeight="1">
      <c r="A218" s="5" t="s">
        <v>279</v>
      </c>
      <c r="B218" s="2" t="s">
        <v>28</v>
      </c>
      <c r="C218" s="46" t="str">
        <f t="shared" si="1"/>
        <v>Bilawal_4</v>
      </c>
      <c r="D218" s="13" t="s">
        <v>285</v>
      </c>
      <c r="E218" s="2" t="s">
        <v>25</v>
      </c>
      <c r="F218" s="2" t="s">
        <v>286</v>
      </c>
    </row>
    <row r="219" ht="22.5" customHeight="1">
      <c r="A219" s="5" t="s">
        <v>279</v>
      </c>
      <c r="B219" s="2" t="s">
        <v>28</v>
      </c>
      <c r="C219" s="46" t="str">
        <f t="shared" si="1"/>
        <v>Bilawal_5</v>
      </c>
      <c r="D219" s="13" t="s">
        <v>287</v>
      </c>
      <c r="E219" s="2" t="s">
        <v>167</v>
      </c>
      <c r="F219" s="2" t="s">
        <v>288</v>
      </c>
    </row>
    <row r="220" ht="22.5" customHeight="1">
      <c r="A220" s="5" t="s">
        <v>279</v>
      </c>
      <c r="B220" s="2" t="s">
        <v>38</v>
      </c>
      <c r="C220" s="45" t="str">
        <f t="shared" si="1"/>
        <v>Bilawal_6</v>
      </c>
      <c r="D220" s="12" t="s">
        <v>289</v>
      </c>
      <c r="E220" s="2" t="s">
        <v>25</v>
      </c>
      <c r="F220" s="2" t="s">
        <v>107</v>
      </c>
    </row>
    <row r="221" ht="22.5" customHeight="1">
      <c r="A221" s="5" t="s">
        <v>290</v>
      </c>
      <c r="B221" s="2" t="s">
        <v>43</v>
      </c>
      <c r="C221" s="18" t="str">
        <f t="shared" si="1"/>
        <v>Champakali_1</v>
      </c>
      <c r="D221" s="15" t="s">
        <v>291</v>
      </c>
      <c r="E221" s="2" t="s">
        <v>25</v>
      </c>
      <c r="F221" s="2" t="s">
        <v>94</v>
      </c>
      <c r="H221" s="2"/>
      <c r="I221" s="2" t="s">
        <v>42</v>
      </c>
    </row>
    <row r="222" ht="22.5" customHeight="1">
      <c r="A222" s="5" t="s">
        <v>290</v>
      </c>
      <c r="B222" s="2" t="s">
        <v>43</v>
      </c>
      <c r="C222" s="18" t="str">
        <f t="shared" si="1"/>
        <v>Champakali_2</v>
      </c>
      <c r="D222" s="15" t="s">
        <v>292</v>
      </c>
      <c r="E222" s="2" t="s">
        <v>91</v>
      </c>
      <c r="F222" s="2" t="s">
        <v>293</v>
      </c>
    </row>
    <row r="223" ht="22.5" customHeight="1">
      <c r="A223" s="5" t="s">
        <v>290</v>
      </c>
      <c r="B223" s="2" t="s">
        <v>43</v>
      </c>
      <c r="C223" s="46" t="str">
        <f t="shared" si="1"/>
        <v>Champakali_3</v>
      </c>
      <c r="D223" s="13" t="s">
        <v>294</v>
      </c>
      <c r="E223" s="2" t="s">
        <v>162</v>
      </c>
      <c r="F223" s="2" t="s">
        <v>295</v>
      </c>
    </row>
    <row r="224" ht="22.5" customHeight="1">
      <c r="A224" s="5" t="s">
        <v>290</v>
      </c>
      <c r="B224" s="2" t="s">
        <v>32</v>
      </c>
      <c r="C224" s="45" t="str">
        <f t="shared" si="1"/>
        <v>Champakali_4</v>
      </c>
      <c r="D224" s="12" t="s">
        <v>2384</v>
      </c>
      <c r="E224" s="2" t="s">
        <v>25</v>
      </c>
      <c r="F224" s="2" t="s">
        <v>297</v>
      </c>
    </row>
    <row r="225" ht="22.5" customHeight="1">
      <c r="A225" s="5" t="s">
        <v>290</v>
      </c>
      <c r="B225" s="2" t="s">
        <v>32</v>
      </c>
      <c r="C225" s="45" t="str">
        <f t="shared" si="1"/>
        <v>Champakali_5</v>
      </c>
      <c r="D225" s="12" t="s">
        <v>298</v>
      </c>
      <c r="E225" s="2" t="s">
        <v>91</v>
      </c>
      <c r="F225" s="2" t="s">
        <v>299</v>
      </c>
    </row>
    <row r="226" ht="22.5" customHeight="1">
      <c r="A226" s="5" t="s">
        <v>290</v>
      </c>
      <c r="B226" s="2" t="s">
        <v>32</v>
      </c>
      <c r="C226" s="45" t="str">
        <f t="shared" si="1"/>
        <v>Champakali_6</v>
      </c>
      <c r="D226" s="12" t="s">
        <v>300</v>
      </c>
      <c r="E226" s="2" t="s">
        <v>25</v>
      </c>
      <c r="F226" s="2" t="s">
        <v>301</v>
      </c>
      <c r="H226" s="2"/>
      <c r="I226" s="2" t="s">
        <v>302</v>
      </c>
    </row>
    <row r="227" ht="22.5" customHeight="1">
      <c r="A227" s="5" t="s">
        <v>290</v>
      </c>
      <c r="B227" s="2" t="s">
        <v>38</v>
      </c>
      <c r="C227" s="45" t="str">
        <f t="shared" si="1"/>
        <v>Champakali_7</v>
      </c>
      <c r="D227" s="12" t="s">
        <v>303</v>
      </c>
      <c r="E227" s="2" t="s">
        <v>25</v>
      </c>
      <c r="F227" s="2" t="s">
        <v>134</v>
      </c>
    </row>
    <row r="228" ht="22.5" customHeight="1">
      <c r="A228" s="5" t="s">
        <v>290</v>
      </c>
      <c r="B228" s="2" t="s">
        <v>32</v>
      </c>
      <c r="C228" s="45" t="str">
        <f t="shared" si="1"/>
        <v>Champakali_8</v>
      </c>
      <c r="D228" s="12" t="s">
        <v>2385</v>
      </c>
      <c r="E228" s="2" t="s">
        <v>25</v>
      </c>
      <c r="F228" s="2" t="s">
        <v>31</v>
      </c>
    </row>
    <row r="229" ht="22.5" customHeight="1">
      <c r="A229" s="5" t="s">
        <v>290</v>
      </c>
      <c r="B229" s="2" t="s">
        <v>38</v>
      </c>
      <c r="C229" s="45" t="str">
        <f t="shared" si="1"/>
        <v>Champakali_9</v>
      </c>
      <c r="D229" s="12" t="s">
        <v>305</v>
      </c>
      <c r="E229" s="2" t="s">
        <v>25</v>
      </c>
      <c r="F229" s="2" t="s">
        <v>134</v>
      </c>
    </row>
    <row r="230" ht="22.5" customHeight="1">
      <c r="A230" s="5" t="s">
        <v>290</v>
      </c>
      <c r="B230" s="2" t="s">
        <v>32</v>
      </c>
      <c r="C230" s="45" t="str">
        <f t="shared" si="1"/>
        <v>Champakali_10</v>
      </c>
      <c r="D230" s="12" t="s">
        <v>306</v>
      </c>
      <c r="E230" s="2" t="s">
        <v>307</v>
      </c>
      <c r="F230" s="2" t="s">
        <v>308</v>
      </c>
    </row>
    <row r="231" ht="22.5" customHeight="1">
      <c r="A231" s="5" t="s">
        <v>309</v>
      </c>
      <c r="B231" s="21" t="s">
        <v>127</v>
      </c>
      <c r="C231" s="45" t="str">
        <f t="shared" si="1"/>
        <v>Chandrakauns_1</v>
      </c>
      <c r="D231" s="12" t="s">
        <v>310</v>
      </c>
      <c r="E231" s="2" t="s">
        <v>25</v>
      </c>
      <c r="F231" s="2" t="s">
        <v>311</v>
      </c>
      <c r="H231" s="2"/>
      <c r="I231" s="2" t="s">
        <v>171</v>
      </c>
    </row>
    <row r="232" ht="22.5" customHeight="1">
      <c r="A232" s="5" t="s">
        <v>309</v>
      </c>
      <c r="B232" s="2" t="s">
        <v>127</v>
      </c>
      <c r="C232" s="45" t="str">
        <f t="shared" si="1"/>
        <v>Chandrakauns_2</v>
      </c>
      <c r="D232" s="12" t="s">
        <v>312</v>
      </c>
      <c r="E232" s="2" t="s">
        <v>313</v>
      </c>
      <c r="F232" s="2" t="s">
        <v>314</v>
      </c>
      <c r="H232" s="2"/>
      <c r="I232" s="2" t="s">
        <v>171</v>
      </c>
    </row>
    <row r="233" ht="22.5" customHeight="1">
      <c r="A233" s="5" t="s">
        <v>309</v>
      </c>
      <c r="B233" s="21" t="s">
        <v>24</v>
      </c>
      <c r="C233" s="46" t="str">
        <f t="shared" si="1"/>
        <v>Chandrakauns_3</v>
      </c>
      <c r="D233" s="13" t="s">
        <v>315</v>
      </c>
      <c r="E233" s="2" t="s">
        <v>114</v>
      </c>
      <c r="F233" s="2" t="s">
        <v>180</v>
      </c>
      <c r="H233" s="2"/>
      <c r="I233" s="2" t="s">
        <v>171</v>
      </c>
    </row>
    <row r="234" ht="22.5" customHeight="1">
      <c r="A234" s="5" t="s">
        <v>309</v>
      </c>
      <c r="B234" s="2" t="s">
        <v>24</v>
      </c>
      <c r="C234" s="45" t="str">
        <f t="shared" si="1"/>
        <v>Chandrakauns_4</v>
      </c>
      <c r="D234" s="12" t="s">
        <v>316</v>
      </c>
      <c r="E234" s="2" t="s">
        <v>25</v>
      </c>
      <c r="F234" s="2" t="s">
        <v>30</v>
      </c>
    </row>
    <row r="235" ht="22.5" customHeight="1">
      <c r="A235" s="5" t="s">
        <v>309</v>
      </c>
      <c r="B235" s="2" t="s">
        <v>32</v>
      </c>
      <c r="C235" s="45" t="str">
        <f t="shared" si="1"/>
        <v>Chandrakauns_5</v>
      </c>
      <c r="D235" s="12" t="s">
        <v>317</v>
      </c>
      <c r="E235" s="2" t="s">
        <v>25</v>
      </c>
      <c r="F235" s="2" t="s">
        <v>34</v>
      </c>
    </row>
    <row r="236" ht="22.5" customHeight="1">
      <c r="A236" s="5" t="s">
        <v>309</v>
      </c>
      <c r="B236" s="2" t="s">
        <v>67</v>
      </c>
      <c r="C236" s="45" t="str">
        <f t="shared" si="1"/>
        <v>Chandrakauns_6</v>
      </c>
      <c r="D236" s="12" t="s">
        <v>318</v>
      </c>
      <c r="E236" s="2" t="s">
        <v>25</v>
      </c>
      <c r="F236" s="2" t="s">
        <v>68</v>
      </c>
    </row>
    <row r="237" ht="22.5" customHeight="1">
      <c r="A237" s="5" t="s">
        <v>309</v>
      </c>
      <c r="B237" s="2" t="s">
        <v>58</v>
      </c>
      <c r="C237" s="46" t="str">
        <f t="shared" si="1"/>
        <v>Chandrakauns_7</v>
      </c>
      <c r="D237" s="13" t="s">
        <v>319</v>
      </c>
      <c r="E237" s="2" t="s">
        <v>167</v>
      </c>
      <c r="F237" s="2" t="s">
        <v>168</v>
      </c>
      <c r="L237" s="2" t="s">
        <v>320</v>
      </c>
    </row>
    <row r="238" ht="22.5" customHeight="1">
      <c r="A238" s="5" t="s">
        <v>309</v>
      </c>
      <c r="B238" s="2" t="s">
        <v>38</v>
      </c>
      <c r="C238" s="46" t="str">
        <f t="shared" si="1"/>
        <v>Chandrakauns_8</v>
      </c>
      <c r="D238" s="13" t="s">
        <v>321</v>
      </c>
      <c r="E238" s="2" t="s">
        <v>25</v>
      </c>
      <c r="F238" s="2" t="s">
        <v>134</v>
      </c>
    </row>
    <row r="239" ht="22.5" customHeight="1">
      <c r="A239" s="5" t="s">
        <v>309</v>
      </c>
      <c r="B239" s="2" t="s">
        <v>62</v>
      </c>
      <c r="C239" s="45" t="str">
        <f t="shared" si="1"/>
        <v>Chandrakauns_9</v>
      </c>
      <c r="D239" s="12" t="s">
        <v>322</v>
      </c>
      <c r="E239" s="2" t="s">
        <v>25</v>
      </c>
      <c r="F239" s="2" t="s">
        <v>153</v>
      </c>
      <c r="H239" s="2"/>
      <c r="I239" s="2" t="s">
        <v>154</v>
      </c>
    </row>
    <row r="240" ht="22.5" customHeight="1">
      <c r="A240" s="5" t="s">
        <v>309</v>
      </c>
      <c r="B240" s="2" t="s">
        <v>32</v>
      </c>
      <c r="C240" s="46" t="str">
        <f t="shared" si="1"/>
        <v>Chandrakauns_10</v>
      </c>
      <c r="D240" s="13" t="s">
        <v>323</v>
      </c>
      <c r="E240" s="2" t="s">
        <v>324</v>
      </c>
      <c r="F240" s="2" t="s">
        <v>325</v>
      </c>
    </row>
    <row r="241" ht="22.5" customHeight="1">
      <c r="A241" s="5" t="s">
        <v>309</v>
      </c>
      <c r="B241" s="2" t="s">
        <v>2378</v>
      </c>
      <c r="C241" s="46" t="str">
        <f t="shared" si="1"/>
        <v>Chandrakauns_11</v>
      </c>
      <c r="D241" s="13" t="s">
        <v>326</v>
      </c>
      <c r="E241" s="2" t="s">
        <v>25</v>
      </c>
      <c r="F241" s="2" t="s">
        <v>101</v>
      </c>
    </row>
    <row r="242" ht="22.5" customHeight="1">
      <c r="A242" s="5" t="s">
        <v>309</v>
      </c>
      <c r="B242" s="2" t="s">
        <v>58</v>
      </c>
      <c r="C242" s="47" t="str">
        <f t="shared" si="1"/>
        <v>Chandrakauns_12</v>
      </c>
      <c r="D242" s="17" t="s">
        <v>327</v>
      </c>
      <c r="E242" s="2" t="s">
        <v>328</v>
      </c>
      <c r="F242" s="2" t="s">
        <v>131</v>
      </c>
    </row>
    <row r="243" ht="22.5" customHeight="1">
      <c r="A243" s="5" t="s">
        <v>309</v>
      </c>
      <c r="B243" s="2" t="s">
        <v>62</v>
      </c>
      <c r="C243" s="45" t="str">
        <f t="shared" si="1"/>
        <v>Chandrakauns_13</v>
      </c>
      <c r="D243" s="12" t="s">
        <v>329</v>
      </c>
      <c r="E243" s="2" t="s">
        <v>25</v>
      </c>
      <c r="F243" s="2" t="s">
        <v>330</v>
      </c>
    </row>
    <row r="244" ht="22.5" customHeight="1">
      <c r="A244" s="5" t="s">
        <v>309</v>
      </c>
      <c r="B244" s="2" t="s">
        <v>89</v>
      </c>
      <c r="C244" s="46" t="str">
        <f t="shared" si="1"/>
        <v>Chandrakauns_14</v>
      </c>
      <c r="D244" s="13" t="s">
        <v>331</v>
      </c>
      <c r="E244" s="2" t="s">
        <v>313</v>
      </c>
      <c r="F244" s="2" t="s">
        <v>332</v>
      </c>
    </row>
    <row r="245" ht="22.5" customHeight="1">
      <c r="A245" s="5" t="s">
        <v>309</v>
      </c>
      <c r="B245" s="2" t="s">
        <v>32</v>
      </c>
      <c r="C245" s="46" t="str">
        <f t="shared" si="1"/>
        <v>Chandrakauns_15</v>
      </c>
      <c r="D245" s="13" t="s">
        <v>333</v>
      </c>
      <c r="E245" s="2" t="s">
        <v>25</v>
      </c>
      <c r="F245" s="2" t="s">
        <v>334</v>
      </c>
    </row>
    <row r="246" ht="22.5" customHeight="1">
      <c r="A246" s="5" t="s">
        <v>335</v>
      </c>
      <c r="B246" s="2" t="s">
        <v>38</v>
      </c>
      <c r="C246" s="46" t="str">
        <f t="shared" si="1"/>
        <v>Chandranandan_1</v>
      </c>
      <c r="D246" s="13" t="s">
        <v>336</v>
      </c>
      <c r="E246" s="2" t="s">
        <v>162</v>
      </c>
      <c r="F246" s="2" t="s">
        <v>337</v>
      </c>
    </row>
    <row r="247" ht="22.5" customHeight="1">
      <c r="A247" s="5" t="s">
        <v>335</v>
      </c>
      <c r="B247" s="2" t="s">
        <v>36</v>
      </c>
      <c r="C247" s="46" t="str">
        <f t="shared" si="1"/>
        <v>Chandranandan_2</v>
      </c>
      <c r="D247" s="13" t="s">
        <v>338</v>
      </c>
      <c r="E247" s="2" t="s">
        <v>162</v>
      </c>
      <c r="F247" s="2" t="s">
        <v>339</v>
      </c>
    </row>
    <row r="248" ht="22.5" customHeight="1">
      <c r="A248" s="5" t="s">
        <v>335</v>
      </c>
      <c r="B248" s="2" t="s">
        <v>32</v>
      </c>
      <c r="C248" s="46" t="str">
        <f t="shared" si="1"/>
        <v>Chandranandan_3</v>
      </c>
      <c r="D248" s="13" t="s">
        <v>340</v>
      </c>
      <c r="E248" s="2" t="s">
        <v>114</v>
      </c>
      <c r="F248" s="2" t="s">
        <v>341</v>
      </c>
    </row>
    <row r="249" ht="22.5" customHeight="1">
      <c r="A249" s="5" t="s">
        <v>335</v>
      </c>
      <c r="B249" s="2" t="s">
        <v>36</v>
      </c>
      <c r="C249" s="45" t="str">
        <f t="shared" si="1"/>
        <v>Chandranandan_4</v>
      </c>
      <c r="D249" s="12" t="s">
        <v>342</v>
      </c>
      <c r="E249" s="2" t="s">
        <v>162</v>
      </c>
      <c r="F249" s="2" t="s">
        <v>343</v>
      </c>
    </row>
    <row r="250" ht="22.5" customHeight="1">
      <c r="A250" s="5" t="s">
        <v>335</v>
      </c>
      <c r="B250" s="2" t="s">
        <v>36</v>
      </c>
      <c r="C250" s="46" t="str">
        <f t="shared" si="1"/>
        <v>Chandranandan_5</v>
      </c>
      <c r="D250" s="13" t="s">
        <v>344</v>
      </c>
      <c r="E250" s="2" t="s">
        <v>162</v>
      </c>
      <c r="F250" s="2" t="s">
        <v>345</v>
      </c>
      <c r="L250" s="2" t="s">
        <v>346</v>
      </c>
    </row>
    <row r="251" ht="22.5" customHeight="1">
      <c r="A251" s="5" t="s">
        <v>335</v>
      </c>
      <c r="B251" s="2" t="s">
        <v>36</v>
      </c>
      <c r="C251" s="45" t="str">
        <f t="shared" si="1"/>
        <v>Chandranandan_6</v>
      </c>
      <c r="D251" s="12" t="s">
        <v>347</v>
      </c>
      <c r="E251" s="2" t="s">
        <v>162</v>
      </c>
      <c r="F251" s="2" t="s">
        <v>348</v>
      </c>
      <c r="G251" s="19">
        <v>0.006944444444444444</v>
      </c>
    </row>
    <row r="252" ht="22.5" customHeight="1">
      <c r="A252" s="5" t="s">
        <v>349</v>
      </c>
      <c r="B252" s="2" t="s">
        <v>24</v>
      </c>
      <c r="C252" s="45" t="str">
        <f t="shared" si="1"/>
        <v>Charukeshi_1</v>
      </c>
      <c r="D252" s="12" t="s">
        <v>350</v>
      </c>
      <c r="E252" s="2" t="s">
        <v>114</v>
      </c>
      <c r="F252" s="2" t="s">
        <v>180</v>
      </c>
      <c r="H252" s="2"/>
      <c r="I252" s="2" t="s">
        <v>171</v>
      </c>
    </row>
    <row r="253" ht="22.5" customHeight="1">
      <c r="A253" s="5" t="s">
        <v>349</v>
      </c>
      <c r="B253" s="2" t="s">
        <v>32</v>
      </c>
      <c r="C253" s="18" t="str">
        <f t="shared" si="1"/>
        <v>Charukeshi_2</v>
      </c>
      <c r="D253" s="15" t="s">
        <v>351</v>
      </c>
      <c r="E253" s="2" t="s">
        <v>25</v>
      </c>
      <c r="F253" s="2" t="s">
        <v>37</v>
      </c>
      <c r="L253" s="2">
        <v>432.0</v>
      </c>
    </row>
    <row r="254" ht="22.5" customHeight="1">
      <c r="A254" s="5" t="s">
        <v>349</v>
      </c>
      <c r="B254" s="2" t="s">
        <v>32</v>
      </c>
      <c r="C254" s="45" t="str">
        <f t="shared" si="1"/>
        <v>Charukeshi_3</v>
      </c>
      <c r="D254" s="12" t="s">
        <v>352</v>
      </c>
      <c r="E254" s="2" t="s">
        <v>25</v>
      </c>
      <c r="F254" s="2" t="s">
        <v>34</v>
      </c>
    </row>
    <row r="255" ht="22.5" customHeight="1">
      <c r="A255" s="5" t="s">
        <v>349</v>
      </c>
      <c r="B255" s="2" t="s">
        <v>32</v>
      </c>
      <c r="C255" s="46" t="str">
        <f t="shared" si="1"/>
        <v>Charukeshi_4</v>
      </c>
      <c r="D255" s="13" t="s">
        <v>353</v>
      </c>
      <c r="E255" s="2" t="s">
        <v>114</v>
      </c>
      <c r="F255" s="2" t="s">
        <v>211</v>
      </c>
    </row>
    <row r="256" ht="22.5" customHeight="1">
      <c r="A256" s="5" t="s">
        <v>349</v>
      </c>
      <c r="B256" s="2" t="s">
        <v>38</v>
      </c>
      <c r="C256" s="18" t="str">
        <f t="shared" si="1"/>
        <v>Charukeshi_5</v>
      </c>
      <c r="D256" s="15" t="s">
        <v>354</v>
      </c>
      <c r="E256" s="2" t="s">
        <v>25</v>
      </c>
      <c r="F256" s="2" t="s">
        <v>157</v>
      </c>
    </row>
    <row r="257" ht="22.5" customHeight="1">
      <c r="A257" s="5" t="s">
        <v>349</v>
      </c>
      <c r="B257" s="2" t="s">
        <v>2386</v>
      </c>
      <c r="C257" s="18" t="str">
        <f t="shared" si="1"/>
        <v>Charukeshi_6</v>
      </c>
      <c r="D257" s="15" t="s">
        <v>355</v>
      </c>
      <c r="E257" s="2" t="s">
        <v>356</v>
      </c>
      <c r="F257" s="2" t="s">
        <v>337</v>
      </c>
    </row>
    <row r="258" ht="22.5" customHeight="1">
      <c r="A258" s="5" t="s">
        <v>349</v>
      </c>
      <c r="B258" s="2" t="s">
        <v>24</v>
      </c>
      <c r="C258" s="45" t="str">
        <f t="shared" si="1"/>
        <v>Charukeshi_7</v>
      </c>
      <c r="D258" s="12" t="s">
        <v>357</v>
      </c>
      <c r="E258" s="2" t="s">
        <v>25</v>
      </c>
      <c r="F258" s="2" t="s">
        <v>30</v>
      </c>
    </row>
    <row r="259" ht="22.5" customHeight="1">
      <c r="A259" s="5" t="s">
        <v>349</v>
      </c>
      <c r="B259" s="2" t="s">
        <v>28</v>
      </c>
      <c r="C259" s="45" t="str">
        <f t="shared" si="1"/>
        <v>Charukeshi_8</v>
      </c>
      <c r="D259" s="12" t="s">
        <v>358</v>
      </c>
      <c r="E259" s="2" t="s">
        <v>167</v>
      </c>
      <c r="F259" s="2" t="s">
        <v>359</v>
      </c>
    </row>
    <row r="260" ht="22.5" customHeight="1">
      <c r="A260" s="5" t="s">
        <v>349</v>
      </c>
      <c r="B260" s="2" t="s">
        <v>28</v>
      </c>
      <c r="C260" s="45" t="str">
        <f t="shared" si="1"/>
        <v>Charukeshi_9</v>
      </c>
      <c r="D260" s="12" t="s">
        <v>360</v>
      </c>
      <c r="E260" s="2" t="s">
        <v>91</v>
      </c>
      <c r="F260" s="2" t="s">
        <v>361</v>
      </c>
    </row>
    <row r="261" ht="22.5" customHeight="1">
      <c r="A261" s="5" t="s">
        <v>349</v>
      </c>
      <c r="B261" s="2" t="s">
        <v>32</v>
      </c>
      <c r="C261" s="45" t="str">
        <f t="shared" si="1"/>
        <v>Charukeshi_10</v>
      </c>
      <c r="D261" s="12" t="s">
        <v>362</v>
      </c>
      <c r="E261" s="2" t="s">
        <v>25</v>
      </c>
      <c r="F261" s="2" t="s">
        <v>34</v>
      </c>
    </row>
    <row r="262" ht="22.5" customHeight="1">
      <c r="A262" s="5" t="s">
        <v>363</v>
      </c>
      <c r="B262" s="2" t="s">
        <v>32</v>
      </c>
      <c r="C262" s="45" t="str">
        <f t="shared" si="1"/>
        <v>Chhayanat_1</v>
      </c>
      <c r="D262" s="12" t="s">
        <v>364</v>
      </c>
      <c r="E262" s="2" t="s">
        <v>25</v>
      </c>
      <c r="F262" s="2" t="s">
        <v>34</v>
      </c>
    </row>
    <row r="263" ht="22.5" customHeight="1">
      <c r="A263" s="5" t="s">
        <v>363</v>
      </c>
      <c r="B263" s="2" t="s">
        <v>43</v>
      </c>
      <c r="C263" s="46" t="str">
        <f t="shared" si="1"/>
        <v>Chhayanat_2</v>
      </c>
      <c r="D263" s="13" t="s">
        <v>365</v>
      </c>
      <c r="E263" s="2" t="s">
        <v>25</v>
      </c>
      <c r="F263" s="2" t="s">
        <v>70</v>
      </c>
      <c r="H263" s="2"/>
      <c r="I263" s="2" t="s">
        <v>366</v>
      </c>
    </row>
    <row r="264" ht="22.5" customHeight="1">
      <c r="A264" s="5" t="s">
        <v>363</v>
      </c>
      <c r="B264" s="21" t="s">
        <v>2387</v>
      </c>
      <c r="C264" s="45" t="str">
        <f t="shared" si="1"/>
        <v>Chhayanat_3</v>
      </c>
      <c r="D264" s="12" t="s">
        <v>367</v>
      </c>
      <c r="E264" s="2" t="s">
        <v>25</v>
      </c>
      <c r="F264" s="2" t="s">
        <v>368</v>
      </c>
    </row>
    <row r="265" ht="22.5" customHeight="1">
      <c r="A265" s="5" t="s">
        <v>363</v>
      </c>
      <c r="B265" s="2" t="s">
        <v>43</v>
      </c>
      <c r="C265" s="46" t="str">
        <f t="shared" si="1"/>
        <v>Chhayanat_4</v>
      </c>
      <c r="D265" s="13" t="s">
        <v>369</v>
      </c>
      <c r="E265" s="2" t="s">
        <v>25</v>
      </c>
      <c r="F265" s="2" t="s">
        <v>83</v>
      </c>
    </row>
    <row r="266" ht="22.5" customHeight="1">
      <c r="A266" s="5" t="s">
        <v>363</v>
      </c>
      <c r="B266" s="2" t="s">
        <v>28</v>
      </c>
      <c r="C266" s="45" t="str">
        <f t="shared" si="1"/>
        <v>Chhayanat_5</v>
      </c>
      <c r="D266" s="12" t="s">
        <v>370</v>
      </c>
      <c r="E266" s="2" t="s">
        <v>25</v>
      </c>
      <c r="F266" s="2" t="s">
        <v>112</v>
      </c>
    </row>
    <row r="267" ht="22.5" customHeight="1">
      <c r="A267" s="5" t="s">
        <v>363</v>
      </c>
      <c r="B267" s="2" t="s">
        <v>43</v>
      </c>
      <c r="C267" s="46" t="str">
        <f t="shared" si="1"/>
        <v>Chhayanat_6</v>
      </c>
      <c r="D267" s="13" t="s">
        <v>371</v>
      </c>
      <c r="E267" s="2" t="s">
        <v>25</v>
      </c>
      <c r="F267" s="2" t="s">
        <v>70</v>
      </c>
    </row>
    <row r="268" ht="22.5" customHeight="1">
      <c r="A268" s="5" t="s">
        <v>363</v>
      </c>
      <c r="B268" s="2" t="s">
        <v>29</v>
      </c>
      <c r="C268" s="46" t="str">
        <f t="shared" si="1"/>
        <v>Chhayanat_7</v>
      </c>
      <c r="D268" s="13" t="s">
        <v>372</v>
      </c>
      <c r="E268" s="2" t="s">
        <v>25</v>
      </c>
      <c r="F268" s="2" t="s">
        <v>373</v>
      </c>
      <c r="H268" s="2"/>
      <c r="I268" s="2" t="s">
        <v>80</v>
      </c>
    </row>
    <row r="269" ht="22.5" customHeight="1">
      <c r="A269" s="5" t="s">
        <v>363</v>
      </c>
      <c r="B269" s="2" t="s">
        <v>28</v>
      </c>
      <c r="C269" s="46" t="str">
        <f t="shared" si="1"/>
        <v>Chhayanat_8</v>
      </c>
      <c r="D269" s="13" t="s">
        <v>374</v>
      </c>
      <c r="E269" s="2" t="s">
        <v>25</v>
      </c>
      <c r="F269" s="2" t="s">
        <v>286</v>
      </c>
    </row>
    <row r="270" ht="22.5" customHeight="1">
      <c r="A270" s="5" t="s">
        <v>363</v>
      </c>
      <c r="B270" s="2" t="s">
        <v>29</v>
      </c>
      <c r="C270" s="46" t="str">
        <f t="shared" si="1"/>
        <v>Chhayanat_9</v>
      </c>
      <c r="D270" s="13" t="s">
        <v>375</v>
      </c>
      <c r="E270" s="2" t="s">
        <v>25</v>
      </c>
      <c r="F270" s="2" t="s">
        <v>376</v>
      </c>
    </row>
    <row r="271" ht="22.5" customHeight="1">
      <c r="A271" s="5" t="s">
        <v>377</v>
      </c>
      <c r="B271" s="2"/>
      <c r="C271" s="18" t="str">
        <f t="shared" si="1"/>
        <v>Darbari Kanada_1</v>
      </c>
      <c r="E271" s="8" t="s">
        <v>25</v>
      </c>
      <c r="F271" s="8" t="s">
        <v>48</v>
      </c>
      <c r="H271" s="2"/>
      <c r="I271" s="2" t="s">
        <v>27</v>
      </c>
    </row>
    <row r="272" ht="22.5" customHeight="1">
      <c r="A272" s="5" t="s">
        <v>377</v>
      </c>
      <c r="B272" s="2"/>
      <c r="C272" s="18" t="str">
        <f t="shared" si="1"/>
        <v>Darbari Kanada_2</v>
      </c>
      <c r="E272" s="8" t="s">
        <v>25</v>
      </c>
      <c r="F272" s="8" t="s">
        <v>48</v>
      </c>
      <c r="H272" s="2"/>
      <c r="I272" s="2" t="s">
        <v>27</v>
      </c>
    </row>
    <row r="273" ht="22.5" customHeight="1">
      <c r="A273" s="5" t="s">
        <v>377</v>
      </c>
      <c r="B273" s="2"/>
      <c r="C273" s="18" t="str">
        <f t="shared" si="1"/>
        <v>Darbari Kanada_3</v>
      </c>
      <c r="E273" s="8" t="s">
        <v>25</v>
      </c>
      <c r="F273" s="8" t="s">
        <v>233</v>
      </c>
      <c r="H273" s="2"/>
      <c r="I273" s="2" t="s">
        <v>27</v>
      </c>
    </row>
    <row r="274" ht="22.5" customHeight="1">
      <c r="A274" s="5" t="s">
        <v>377</v>
      </c>
      <c r="B274" s="2"/>
      <c r="C274" s="18" t="str">
        <f t="shared" si="1"/>
        <v>Darbari Kanada_4</v>
      </c>
      <c r="E274" s="8" t="s">
        <v>25</v>
      </c>
      <c r="F274" s="8" t="s">
        <v>378</v>
      </c>
      <c r="H274" s="2"/>
      <c r="I274" s="2" t="s">
        <v>27</v>
      </c>
    </row>
    <row r="275" ht="22.5" customHeight="1">
      <c r="A275" s="5" t="s">
        <v>377</v>
      </c>
      <c r="B275" s="2"/>
      <c r="C275" s="18" t="str">
        <f t="shared" si="1"/>
        <v>Darbari Kanada_5</v>
      </c>
      <c r="E275" s="8" t="s">
        <v>25</v>
      </c>
      <c r="F275" s="8" t="s">
        <v>56</v>
      </c>
      <c r="H275" s="2"/>
      <c r="I275" s="2" t="s">
        <v>27</v>
      </c>
    </row>
    <row r="276" ht="22.5" customHeight="1">
      <c r="A276" s="5" t="s">
        <v>377</v>
      </c>
      <c r="B276" s="2"/>
      <c r="C276" s="18" t="str">
        <f t="shared" si="1"/>
        <v>Darbari Kanada_6</v>
      </c>
      <c r="E276" s="8" t="s">
        <v>25</v>
      </c>
      <c r="F276" s="8" t="s">
        <v>34</v>
      </c>
      <c r="H276" s="2"/>
      <c r="I276" s="2" t="s">
        <v>27</v>
      </c>
    </row>
    <row r="277" ht="22.5" customHeight="1">
      <c r="A277" s="5" t="s">
        <v>377</v>
      </c>
      <c r="B277" s="2"/>
      <c r="C277" s="18" t="str">
        <f t="shared" si="1"/>
        <v>Darbari Kanada_7</v>
      </c>
      <c r="E277" s="8" t="s">
        <v>25</v>
      </c>
      <c r="F277" s="8" t="s">
        <v>34</v>
      </c>
      <c r="H277" s="2"/>
      <c r="I277" s="2" t="s">
        <v>27</v>
      </c>
    </row>
    <row r="278" ht="22.5" customHeight="1">
      <c r="A278" s="5" t="s">
        <v>377</v>
      </c>
      <c r="B278" s="2"/>
      <c r="C278" s="18" t="str">
        <f t="shared" si="1"/>
        <v>Darbari Kanada_8</v>
      </c>
      <c r="E278" s="8" t="s">
        <v>25</v>
      </c>
      <c r="F278" s="8" t="s">
        <v>83</v>
      </c>
      <c r="H278" s="2"/>
      <c r="I278" s="2" t="s">
        <v>27</v>
      </c>
    </row>
    <row r="279" ht="22.5" customHeight="1">
      <c r="A279" s="5" t="s">
        <v>377</v>
      </c>
      <c r="B279" s="2"/>
      <c r="C279" s="18" t="str">
        <f t="shared" si="1"/>
        <v>Darbari Kanada_9</v>
      </c>
      <c r="E279" s="8" t="s">
        <v>25</v>
      </c>
      <c r="F279" s="8" t="s">
        <v>379</v>
      </c>
      <c r="H279" s="2"/>
      <c r="I279" s="2" t="s">
        <v>27</v>
      </c>
    </row>
    <row r="280" ht="22.5" customHeight="1">
      <c r="A280" s="5" t="s">
        <v>377</v>
      </c>
      <c r="B280" s="2"/>
      <c r="C280" s="18" t="str">
        <f t="shared" si="1"/>
        <v>Darbari Kanada_10</v>
      </c>
      <c r="E280" s="8" t="s">
        <v>25</v>
      </c>
      <c r="F280" s="8" t="s">
        <v>380</v>
      </c>
      <c r="H280" s="2"/>
      <c r="I280" s="2" t="s">
        <v>27</v>
      </c>
    </row>
    <row r="281" ht="22.5" customHeight="1">
      <c r="A281" s="5" t="s">
        <v>381</v>
      </c>
      <c r="B281" s="2"/>
      <c r="C281" s="18" t="str">
        <f t="shared" si="1"/>
        <v>Desh_1</v>
      </c>
      <c r="E281" s="8" t="s">
        <v>25</v>
      </c>
      <c r="F281" s="8" t="s">
        <v>76</v>
      </c>
      <c r="H281" s="2"/>
      <c r="I281" s="2" t="s">
        <v>27</v>
      </c>
    </row>
    <row r="282" ht="22.5" customHeight="1">
      <c r="A282" s="5" t="s">
        <v>381</v>
      </c>
      <c r="B282" s="2"/>
      <c r="C282" s="18" t="str">
        <f t="shared" si="1"/>
        <v>Desh_2</v>
      </c>
      <c r="E282" s="8" t="s">
        <v>25</v>
      </c>
      <c r="F282" s="8" t="s">
        <v>76</v>
      </c>
      <c r="H282" s="2"/>
      <c r="I282" s="2" t="s">
        <v>27</v>
      </c>
    </row>
    <row r="283" ht="22.5" customHeight="1">
      <c r="A283" s="5" t="s">
        <v>381</v>
      </c>
      <c r="B283" s="2"/>
      <c r="C283" s="18" t="str">
        <f t="shared" si="1"/>
        <v>Desh_3</v>
      </c>
      <c r="E283" s="8" t="s">
        <v>25</v>
      </c>
      <c r="F283" s="8" t="s">
        <v>76</v>
      </c>
      <c r="H283" s="2"/>
      <c r="I283" s="2" t="s">
        <v>27</v>
      </c>
    </row>
    <row r="284" ht="22.5" customHeight="1">
      <c r="A284" s="5" t="s">
        <v>381</v>
      </c>
      <c r="B284" s="2"/>
      <c r="C284" s="18" t="str">
        <f t="shared" si="1"/>
        <v>Desh_4</v>
      </c>
      <c r="E284" s="8" t="s">
        <v>25</v>
      </c>
      <c r="F284" s="8" t="s">
        <v>76</v>
      </c>
      <c r="H284" s="2"/>
      <c r="I284" s="2" t="s">
        <v>27</v>
      </c>
    </row>
    <row r="285" ht="22.5" customHeight="1">
      <c r="A285" s="5" t="s">
        <v>381</v>
      </c>
      <c r="B285" s="2"/>
      <c r="C285" s="18" t="str">
        <f t="shared" si="1"/>
        <v>Desh_5</v>
      </c>
      <c r="E285" s="8" t="s">
        <v>25</v>
      </c>
      <c r="F285" s="8" t="s">
        <v>64</v>
      </c>
      <c r="H285" s="2"/>
      <c r="I285" s="2" t="s">
        <v>27</v>
      </c>
    </row>
    <row r="286" ht="22.5" customHeight="1">
      <c r="A286" s="5" t="s">
        <v>381</v>
      </c>
      <c r="B286" s="2"/>
      <c r="C286" s="18" t="str">
        <f t="shared" si="1"/>
        <v>Desh_6</v>
      </c>
      <c r="E286" s="8" t="s">
        <v>25</v>
      </c>
      <c r="F286" s="8" t="s">
        <v>30</v>
      </c>
      <c r="H286" s="2"/>
      <c r="I286" s="2" t="s">
        <v>27</v>
      </c>
    </row>
    <row r="287" ht="22.5" customHeight="1">
      <c r="A287" s="5" t="s">
        <v>381</v>
      </c>
      <c r="B287" s="2"/>
      <c r="C287" s="18" t="str">
        <f t="shared" si="1"/>
        <v>Desh_7</v>
      </c>
      <c r="E287" s="8" t="s">
        <v>25</v>
      </c>
      <c r="F287" s="8" t="s">
        <v>34</v>
      </c>
      <c r="H287" s="2"/>
      <c r="I287" s="2" t="s">
        <v>27</v>
      </c>
    </row>
    <row r="288" ht="22.5" customHeight="1">
      <c r="A288" s="5" t="s">
        <v>381</v>
      </c>
      <c r="B288" s="2"/>
      <c r="C288" s="18" t="str">
        <f t="shared" si="1"/>
        <v>Desh_8</v>
      </c>
      <c r="E288" s="8" t="s">
        <v>25</v>
      </c>
      <c r="F288" s="8" t="s">
        <v>34</v>
      </c>
      <c r="H288" s="2"/>
      <c r="I288" s="2" t="s">
        <v>27</v>
      </c>
    </row>
    <row r="289" ht="22.5" customHeight="1">
      <c r="A289" s="5" t="s">
        <v>381</v>
      </c>
      <c r="B289" s="2"/>
      <c r="C289" s="18" t="str">
        <f t="shared" si="1"/>
        <v>Desh_9</v>
      </c>
      <c r="E289" s="8" t="s">
        <v>25</v>
      </c>
      <c r="F289" s="8" t="s">
        <v>34</v>
      </c>
      <c r="H289" s="2"/>
      <c r="I289" s="2" t="s">
        <v>27</v>
      </c>
    </row>
    <row r="290" ht="22.5" customHeight="1">
      <c r="A290" s="5" t="s">
        <v>381</v>
      </c>
      <c r="B290" s="2"/>
      <c r="C290" s="18" t="str">
        <f t="shared" si="1"/>
        <v>Desh_10</v>
      </c>
      <c r="E290" s="8" t="s">
        <v>25</v>
      </c>
      <c r="F290" s="8" t="s">
        <v>83</v>
      </c>
      <c r="H290" s="2"/>
      <c r="I290" s="2" t="s">
        <v>27</v>
      </c>
    </row>
    <row r="291" ht="22.5" customHeight="1">
      <c r="A291" s="5" t="s">
        <v>382</v>
      </c>
      <c r="B291" s="2" t="s">
        <v>43</v>
      </c>
      <c r="C291" s="46" t="str">
        <f t="shared" si="1"/>
        <v>Deshkar_1</v>
      </c>
      <c r="D291" s="13" t="s">
        <v>383</v>
      </c>
      <c r="E291" s="2" t="s">
        <v>25</v>
      </c>
      <c r="F291" s="2" t="s">
        <v>52</v>
      </c>
    </row>
    <row r="292" ht="22.5" customHeight="1">
      <c r="A292" s="5" t="s">
        <v>382</v>
      </c>
      <c r="B292" s="2" t="s">
        <v>62</v>
      </c>
      <c r="C292" s="46" t="str">
        <f t="shared" si="1"/>
        <v>Deshkar_2</v>
      </c>
      <c r="D292" s="13" t="s">
        <v>384</v>
      </c>
      <c r="E292" s="2" t="s">
        <v>25</v>
      </c>
      <c r="F292" s="2" t="s">
        <v>153</v>
      </c>
      <c r="H292" s="2"/>
      <c r="I292" s="2" t="s">
        <v>154</v>
      </c>
    </row>
    <row r="293" ht="22.5" customHeight="1">
      <c r="A293" s="5" t="s">
        <v>382</v>
      </c>
      <c r="B293" s="2" t="s">
        <v>32</v>
      </c>
      <c r="C293" s="46" t="str">
        <f t="shared" si="1"/>
        <v>Deshkar_3</v>
      </c>
      <c r="D293" s="13" t="s">
        <v>385</v>
      </c>
      <c r="E293" s="2" t="s">
        <v>25</v>
      </c>
      <c r="F293" s="2" t="s">
        <v>34</v>
      </c>
      <c r="H293" s="2"/>
      <c r="I293" s="2" t="s">
        <v>42</v>
      </c>
    </row>
    <row r="294" ht="22.5" customHeight="1">
      <c r="A294" s="5" t="s">
        <v>382</v>
      </c>
      <c r="B294" s="2" t="s">
        <v>127</v>
      </c>
      <c r="C294" s="45" t="str">
        <f t="shared" si="1"/>
        <v>Deshkar_4</v>
      </c>
      <c r="D294" s="12" t="s">
        <v>386</v>
      </c>
      <c r="E294" s="2" t="s">
        <v>25</v>
      </c>
      <c r="F294" s="2" t="s">
        <v>206</v>
      </c>
    </row>
    <row r="295" ht="22.5" customHeight="1">
      <c r="A295" s="5" t="s">
        <v>382</v>
      </c>
      <c r="B295" s="2" t="s">
        <v>24</v>
      </c>
      <c r="C295" s="46" t="str">
        <f t="shared" si="1"/>
        <v>Deshkar_5</v>
      </c>
      <c r="D295" s="13" t="s">
        <v>387</v>
      </c>
      <c r="E295" s="2" t="s">
        <v>114</v>
      </c>
      <c r="F295" s="2" t="s">
        <v>211</v>
      </c>
    </row>
    <row r="296" ht="22.5" customHeight="1">
      <c r="A296" s="5" t="s">
        <v>382</v>
      </c>
      <c r="B296" s="2" t="s">
        <v>62</v>
      </c>
      <c r="C296" s="46" t="str">
        <f t="shared" si="1"/>
        <v>Deshkar_6</v>
      </c>
      <c r="D296" s="13" t="s">
        <v>388</v>
      </c>
      <c r="E296" s="2" t="s">
        <v>25</v>
      </c>
      <c r="F296" s="2" t="s">
        <v>389</v>
      </c>
    </row>
    <row r="297" ht="22.5" customHeight="1">
      <c r="A297" s="5" t="s">
        <v>382</v>
      </c>
      <c r="B297" s="2" t="s">
        <v>28</v>
      </c>
      <c r="C297" s="46" t="str">
        <f t="shared" si="1"/>
        <v>Deshkar_7</v>
      </c>
      <c r="D297" s="13" t="s">
        <v>390</v>
      </c>
      <c r="E297" s="2" t="s">
        <v>25</v>
      </c>
      <c r="F297" s="2" t="s">
        <v>193</v>
      </c>
    </row>
    <row r="298" ht="22.5" customHeight="1">
      <c r="A298" s="5" t="s">
        <v>382</v>
      </c>
      <c r="B298" s="2" t="s">
        <v>32</v>
      </c>
      <c r="C298" s="46" t="str">
        <f t="shared" si="1"/>
        <v>Deshkar_8</v>
      </c>
      <c r="D298" s="13" t="s">
        <v>391</v>
      </c>
      <c r="E298" s="2" t="s">
        <v>25</v>
      </c>
      <c r="F298" s="2" t="s">
        <v>112</v>
      </c>
    </row>
    <row r="299" ht="22.5" customHeight="1">
      <c r="A299" s="5" t="s">
        <v>382</v>
      </c>
      <c r="B299" s="2" t="s">
        <v>32</v>
      </c>
      <c r="C299" s="46" t="str">
        <f t="shared" si="1"/>
        <v>Deshkar_9</v>
      </c>
      <c r="D299" s="13" t="s">
        <v>392</v>
      </c>
      <c r="E299" s="2" t="s">
        <v>25</v>
      </c>
      <c r="F299" s="2" t="s">
        <v>34</v>
      </c>
    </row>
    <row r="300" ht="22.5" customHeight="1">
      <c r="A300" s="5" t="s">
        <v>382</v>
      </c>
      <c r="B300" s="2" t="s">
        <v>24</v>
      </c>
      <c r="C300" s="48" t="str">
        <f t="shared" si="1"/>
        <v>Deshkar_10</v>
      </c>
      <c r="D300" s="22" t="s">
        <v>393</v>
      </c>
      <c r="E300" s="2" t="s">
        <v>25</v>
      </c>
      <c r="F300" s="2" t="s">
        <v>26</v>
      </c>
      <c r="L300" s="2" t="s">
        <v>394</v>
      </c>
    </row>
    <row r="301" ht="22.5" customHeight="1">
      <c r="A301" s="5" t="s">
        <v>395</v>
      </c>
      <c r="B301" s="2" t="s">
        <v>43</v>
      </c>
      <c r="C301" s="46" t="str">
        <f t="shared" si="1"/>
        <v>Desi_1</v>
      </c>
      <c r="D301" s="13" t="s">
        <v>396</v>
      </c>
      <c r="E301" s="2" t="s">
        <v>25</v>
      </c>
      <c r="F301" s="2" t="s">
        <v>52</v>
      </c>
    </row>
    <row r="302" ht="22.5" customHeight="1">
      <c r="A302" s="5" t="s">
        <v>395</v>
      </c>
      <c r="B302" s="2" t="s">
        <v>43</v>
      </c>
      <c r="C302" s="46" t="str">
        <f t="shared" si="1"/>
        <v>Desi_2</v>
      </c>
      <c r="D302" s="13" t="s">
        <v>397</v>
      </c>
      <c r="E302" s="2" t="s">
        <v>25</v>
      </c>
      <c r="F302" s="2" t="s">
        <v>83</v>
      </c>
    </row>
    <row r="303" ht="22.5" customHeight="1">
      <c r="A303" s="5" t="s">
        <v>395</v>
      </c>
      <c r="B303" s="2" t="s">
        <v>58</v>
      </c>
      <c r="C303" s="46" t="str">
        <f t="shared" si="1"/>
        <v>Desi_3</v>
      </c>
      <c r="D303" s="13" t="s">
        <v>398</v>
      </c>
      <c r="E303" s="2" t="s">
        <v>25</v>
      </c>
      <c r="F303" s="2" t="s">
        <v>112</v>
      </c>
    </row>
    <row r="304" ht="22.5" customHeight="1">
      <c r="A304" s="5" t="s">
        <v>395</v>
      </c>
      <c r="B304" s="2" t="s">
        <v>29</v>
      </c>
      <c r="C304" s="46" t="str">
        <f t="shared" si="1"/>
        <v>Desi_4</v>
      </c>
      <c r="D304" s="13" t="s">
        <v>399</v>
      </c>
      <c r="E304" s="2" t="s">
        <v>25</v>
      </c>
      <c r="F304" s="2" t="s">
        <v>142</v>
      </c>
    </row>
    <row r="305" ht="22.5" customHeight="1">
      <c r="A305" s="5" t="s">
        <v>395</v>
      </c>
      <c r="B305" s="2" t="s">
        <v>43</v>
      </c>
      <c r="C305" s="46" t="str">
        <f t="shared" si="1"/>
        <v>Desi_5</v>
      </c>
      <c r="D305" s="13" t="s">
        <v>400</v>
      </c>
      <c r="E305" s="2" t="s">
        <v>25</v>
      </c>
      <c r="F305" s="2" t="s">
        <v>401</v>
      </c>
    </row>
    <row r="306" ht="22.5" customHeight="1">
      <c r="A306" s="5" t="s">
        <v>395</v>
      </c>
      <c r="B306" s="2" t="s">
        <v>28</v>
      </c>
      <c r="C306" s="46" t="str">
        <f t="shared" si="1"/>
        <v>Desi_6</v>
      </c>
      <c r="D306" s="13" t="s">
        <v>402</v>
      </c>
      <c r="E306" s="2" t="s">
        <v>167</v>
      </c>
      <c r="F306" s="2" t="s">
        <v>403</v>
      </c>
    </row>
    <row r="307" ht="22.5" customHeight="1">
      <c r="A307" s="5" t="s">
        <v>395</v>
      </c>
      <c r="B307" s="2" t="s">
        <v>29</v>
      </c>
      <c r="C307" s="46" t="str">
        <f t="shared" si="1"/>
        <v>Desi_7</v>
      </c>
      <c r="D307" s="13" t="s">
        <v>404</v>
      </c>
      <c r="E307" s="2" t="s">
        <v>25</v>
      </c>
      <c r="F307" s="2" t="s">
        <v>39</v>
      </c>
    </row>
    <row r="308" ht="22.5" customHeight="1">
      <c r="A308" s="5" t="s">
        <v>395</v>
      </c>
      <c r="B308" s="2" t="s">
        <v>43</v>
      </c>
      <c r="C308" s="46" t="str">
        <f t="shared" si="1"/>
        <v>Desi_8</v>
      </c>
      <c r="D308" s="13" t="s">
        <v>405</v>
      </c>
      <c r="E308" s="2" t="s">
        <v>25</v>
      </c>
      <c r="F308" s="2" t="s">
        <v>85</v>
      </c>
    </row>
    <row r="309" ht="22.5" customHeight="1">
      <c r="A309" s="5" t="s">
        <v>395</v>
      </c>
      <c r="B309" s="2" t="s">
        <v>43</v>
      </c>
      <c r="C309" s="45" t="str">
        <f t="shared" si="1"/>
        <v>Desi_9</v>
      </c>
      <c r="D309" s="12" t="s">
        <v>406</v>
      </c>
      <c r="E309" s="2" t="s">
        <v>25</v>
      </c>
      <c r="F309" s="2" t="s">
        <v>94</v>
      </c>
    </row>
    <row r="310" ht="22.5" customHeight="1">
      <c r="A310" s="5" t="s">
        <v>407</v>
      </c>
      <c r="B310" s="2" t="s">
        <v>43</v>
      </c>
      <c r="C310" s="46" t="str">
        <f t="shared" si="1"/>
        <v>Dev Gandhar_1</v>
      </c>
      <c r="D310" s="13" t="s">
        <v>408</v>
      </c>
      <c r="E310" s="2" t="s">
        <v>25</v>
      </c>
      <c r="F310" s="2" t="s">
        <v>222</v>
      </c>
    </row>
    <row r="311" ht="22.5" customHeight="1">
      <c r="A311" s="5" t="s">
        <v>407</v>
      </c>
      <c r="B311" s="2" t="s">
        <v>32</v>
      </c>
      <c r="C311" s="46" t="str">
        <f t="shared" si="1"/>
        <v>Dev Gandhar_2</v>
      </c>
      <c r="D311" s="13" t="s">
        <v>409</v>
      </c>
      <c r="E311" s="2" t="s">
        <v>25</v>
      </c>
      <c r="F311" s="2" t="s">
        <v>410</v>
      </c>
      <c r="L311" s="2" t="s">
        <v>61</v>
      </c>
    </row>
    <row r="312" ht="22.5" customHeight="1">
      <c r="A312" s="5" t="s">
        <v>407</v>
      </c>
      <c r="B312" s="2" t="s">
        <v>38</v>
      </c>
      <c r="C312" s="46" t="str">
        <f t="shared" si="1"/>
        <v>Dev Gandhar_3</v>
      </c>
      <c r="D312" s="13" t="s">
        <v>411</v>
      </c>
      <c r="E312" s="2" t="s">
        <v>25</v>
      </c>
      <c r="F312" s="2" t="s">
        <v>412</v>
      </c>
      <c r="G312" s="19">
        <v>0.04513888888888889</v>
      </c>
    </row>
    <row r="313" ht="22.5" customHeight="1">
      <c r="A313" s="5" t="s">
        <v>407</v>
      </c>
      <c r="B313" s="2" t="s">
        <v>62</v>
      </c>
      <c r="C313" s="45" t="str">
        <f t="shared" si="1"/>
        <v>Dev Gandhar_4</v>
      </c>
      <c r="D313" s="12" t="s">
        <v>413</v>
      </c>
      <c r="E313" s="2" t="s">
        <v>167</v>
      </c>
      <c r="F313" s="2" t="s">
        <v>414</v>
      </c>
    </row>
    <row r="314" ht="22.5" customHeight="1">
      <c r="A314" s="5" t="s">
        <v>407</v>
      </c>
      <c r="B314" s="2" t="s">
        <v>24</v>
      </c>
      <c r="C314" s="45" t="str">
        <f t="shared" si="1"/>
        <v>Dev Gandhar_5</v>
      </c>
      <c r="D314" s="12" t="s">
        <v>415</v>
      </c>
      <c r="E314" s="2" t="s">
        <v>25</v>
      </c>
      <c r="F314" s="2" t="s">
        <v>416</v>
      </c>
    </row>
    <row r="315" ht="22.5" customHeight="1">
      <c r="A315" s="5" t="s">
        <v>407</v>
      </c>
      <c r="B315" s="2" t="s">
        <v>2388</v>
      </c>
      <c r="C315" s="45" t="str">
        <f t="shared" si="1"/>
        <v>Dev Gandhar_6</v>
      </c>
      <c r="D315" s="12" t="s">
        <v>417</v>
      </c>
      <c r="E315" s="2" t="s">
        <v>25</v>
      </c>
      <c r="F315" s="2" t="s">
        <v>39</v>
      </c>
    </row>
    <row r="316" ht="22.5" customHeight="1">
      <c r="A316" s="5" t="s">
        <v>407</v>
      </c>
      <c r="B316" s="2" t="s">
        <v>32</v>
      </c>
      <c r="C316" s="45" t="str">
        <f t="shared" si="1"/>
        <v>Dev Gandhar_7</v>
      </c>
      <c r="D316" s="12" t="s">
        <v>418</v>
      </c>
      <c r="E316" s="2" t="s">
        <v>25</v>
      </c>
      <c r="F316" s="8" t="s">
        <v>419</v>
      </c>
    </row>
    <row r="317" ht="22.5" customHeight="1">
      <c r="A317" s="5" t="s">
        <v>407</v>
      </c>
      <c r="B317" s="2" t="s">
        <v>43</v>
      </c>
      <c r="C317" s="45" t="str">
        <f t="shared" si="1"/>
        <v>Dev Gandhar_8</v>
      </c>
      <c r="D317" s="12" t="s">
        <v>420</v>
      </c>
      <c r="E317" s="2" t="s">
        <v>25</v>
      </c>
      <c r="F317" s="2" t="s">
        <v>421</v>
      </c>
    </row>
    <row r="318" ht="22.5" customHeight="1">
      <c r="A318" s="5" t="s">
        <v>407</v>
      </c>
      <c r="B318" s="2" t="s">
        <v>32</v>
      </c>
      <c r="C318" s="45" t="str">
        <f t="shared" si="1"/>
        <v>Dev Gandhar_9</v>
      </c>
      <c r="D318" s="12" t="s">
        <v>422</v>
      </c>
      <c r="E318" s="2" t="s">
        <v>25</v>
      </c>
      <c r="F318" s="2" t="s">
        <v>423</v>
      </c>
    </row>
    <row r="319" ht="22.5" customHeight="1">
      <c r="A319" s="5" t="s">
        <v>424</v>
      </c>
      <c r="B319" s="2" t="s">
        <v>29</v>
      </c>
      <c r="C319" s="45" t="str">
        <f t="shared" si="1"/>
        <v>Devgiri Bilawal_1</v>
      </c>
      <c r="D319" s="12" t="s">
        <v>425</v>
      </c>
      <c r="E319" s="2" t="s">
        <v>25</v>
      </c>
      <c r="F319" s="2" t="s">
        <v>426</v>
      </c>
    </row>
    <row r="320" ht="22.5" customHeight="1">
      <c r="A320" s="5" t="s">
        <v>424</v>
      </c>
      <c r="B320" s="2" t="s">
        <v>127</v>
      </c>
      <c r="C320" s="45" t="str">
        <f t="shared" si="1"/>
        <v>Devgiri Bilawal_2</v>
      </c>
      <c r="D320" s="12" t="s">
        <v>427</v>
      </c>
      <c r="E320" s="2" t="s">
        <v>25</v>
      </c>
      <c r="F320" s="2" t="s">
        <v>129</v>
      </c>
    </row>
    <row r="321" ht="22.5" customHeight="1">
      <c r="A321" s="5" t="s">
        <v>424</v>
      </c>
      <c r="B321" s="2" t="s">
        <v>24</v>
      </c>
      <c r="C321" s="45" t="str">
        <f t="shared" si="1"/>
        <v>Devgiri Bilawal_3</v>
      </c>
      <c r="D321" s="12" t="s">
        <v>428</v>
      </c>
      <c r="E321" s="2" t="s">
        <v>25</v>
      </c>
      <c r="F321" s="2" t="s">
        <v>429</v>
      </c>
    </row>
    <row r="322" ht="22.5" customHeight="1">
      <c r="A322" s="5" t="s">
        <v>424</v>
      </c>
      <c r="B322" s="2" t="s">
        <v>62</v>
      </c>
      <c r="C322" s="45" t="str">
        <f t="shared" si="1"/>
        <v>Devgiri Bilawal_4</v>
      </c>
      <c r="D322" s="12" t="s">
        <v>430</v>
      </c>
      <c r="E322" s="2" t="s">
        <v>25</v>
      </c>
      <c r="F322" s="2" t="s">
        <v>153</v>
      </c>
      <c r="H322" s="2"/>
      <c r="I322" s="2" t="s">
        <v>154</v>
      </c>
    </row>
    <row r="323" ht="22.5" customHeight="1">
      <c r="A323" s="5" t="s">
        <v>424</v>
      </c>
      <c r="B323" s="2" t="s">
        <v>28</v>
      </c>
      <c r="C323" s="45" t="str">
        <f t="shared" si="1"/>
        <v>Devgiri Bilawal_5</v>
      </c>
      <c r="D323" s="12" t="s">
        <v>431</v>
      </c>
      <c r="E323" s="2" t="s">
        <v>236</v>
      </c>
      <c r="F323" s="2" t="s">
        <v>432</v>
      </c>
    </row>
    <row r="324" ht="22.5" customHeight="1">
      <c r="A324" s="5" t="s">
        <v>424</v>
      </c>
      <c r="B324" s="2" t="s">
        <v>127</v>
      </c>
      <c r="C324" s="45" t="str">
        <f t="shared" si="1"/>
        <v>Devgiri Bilawal_6</v>
      </c>
      <c r="D324" s="12" t="s">
        <v>433</v>
      </c>
      <c r="E324" s="2" t="s">
        <v>25</v>
      </c>
      <c r="F324" s="2" t="s">
        <v>129</v>
      </c>
    </row>
    <row r="325" ht="22.5" customHeight="1">
      <c r="A325" s="5" t="s">
        <v>424</v>
      </c>
      <c r="B325" s="2" t="s">
        <v>32</v>
      </c>
      <c r="C325" s="45" t="str">
        <f t="shared" si="1"/>
        <v>Devgiri Bilawal_7</v>
      </c>
      <c r="D325" s="12" t="s">
        <v>434</v>
      </c>
      <c r="E325" s="2" t="s">
        <v>25</v>
      </c>
      <c r="F325" s="2" t="s">
        <v>239</v>
      </c>
    </row>
    <row r="326" ht="22.5" customHeight="1">
      <c r="A326" s="5" t="s">
        <v>424</v>
      </c>
      <c r="B326" s="2" t="s">
        <v>32</v>
      </c>
      <c r="C326" s="45" t="str">
        <f t="shared" si="1"/>
        <v>Devgiri Bilawal_8</v>
      </c>
      <c r="D326" s="12" t="s">
        <v>435</v>
      </c>
      <c r="E326" s="2" t="s">
        <v>25</v>
      </c>
      <c r="F326" s="2" t="s">
        <v>436</v>
      </c>
    </row>
    <row r="327" ht="22.5" customHeight="1">
      <c r="A327" s="5" t="s">
        <v>424</v>
      </c>
      <c r="B327" s="2" t="s">
        <v>62</v>
      </c>
      <c r="C327" s="45" t="str">
        <f t="shared" si="1"/>
        <v>Devgiri Bilawal_9</v>
      </c>
      <c r="D327" s="12" t="s">
        <v>437</v>
      </c>
      <c r="E327" s="2" t="s">
        <v>25</v>
      </c>
      <c r="F327" s="2" t="s">
        <v>75</v>
      </c>
    </row>
    <row r="328" ht="22.5" customHeight="1">
      <c r="A328" s="5" t="s">
        <v>424</v>
      </c>
      <c r="B328" s="2" t="s">
        <v>24</v>
      </c>
      <c r="C328" s="45" t="str">
        <f t="shared" si="1"/>
        <v>Devgiri Bilawal_10</v>
      </c>
      <c r="D328" s="12" t="s">
        <v>438</v>
      </c>
      <c r="E328" s="2" t="s">
        <v>25</v>
      </c>
      <c r="F328" s="8" t="s">
        <v>439</v>
      </c>
      <c r="L328" s="2" t="s">
        <v>440</v>
      </c>
    </row>
    <row r="329" ht="22.5" customHeight="1">
      <c r="A329" s="5" t="s">
        <v>2389</v>
      </c>
      <c r="B329" s="2" t="s">
        <v>43</v>
      </c>
      <c r="C329" s="45" t="str">
        <f t="shared" si="1"/>
        <v>Dhanashree_1</v>
      </c>
      <c r="D329" s="12" t="s">
        <v>2390</v>
      </c>
      <c r="E329" s="2" t="s">
        <v>25</v>
      </c>
      <c r="F329" s="2" t="s">
        <v>83</v>
      </c>
      <c r="H329" s="2"/>
      <c r="I329" s="2" t="s">
        <v>80</v>
      </c>
    </row>
    <row r="330" ht="22.5" customHeight="1">
      <c r="A330" s="5" t="s">
        <v>2389</v>
      </c>
      <c r="B330" s="2" t="s">
        <v>29</v>
      </c>
      <c r="C330" s="45" t="str">
        <f t="shared" si="1"/>
        <v>Dhanashree_2</v>
      </c>
      <c r="D330" s="12" t="s">
        <v>2391</v>
      </c>
      <c r="E330" s="2" t="s">
        <v>25</v>
      </c>
      <c r="F330" s="2" t="s">
        <v>376</v>
      </c>
      <c r="H330" s="2"/>
      <c r="I330" s="2" t="s">
        <v>80</v>
      </c>
    </row>
    <row r="331" ht="22.5" customHeight="1">
      <c r="A331" s="5" t="s">
        <v>441</v>
      </c>
      <c r="B331" s="2" t="s">
        <v>38</v>
      </c>
      <c r="C331" s="45" t="str">
        <f t="shared" si="1"/>
        <v>Dhani_1</v>
      </c>
      <c r="D331" s="12" t="s">
        <v>442</v>
      </c>
      <c r="E331" s="2" t="s">
        <v>25</v>
      </c>
      <c r="F331" s="2" t="s">
        <v>412</v>
      </c>
    </row>
    <row r="332" ht="22.5" customHeight="1">
      <c r="A332" s="5" t="s">
        <v>441</v>
      </c>
      <c r="B332" s="2" t="s">
        <v>43</v>
      </c>
      <c r="C332" s="45" t="str">
        <f t="shared" si="1"/>
        <v>Dhani_2</v>
      </c>
      <c r="D332" s="12" t="s">
        <v>443</v>
      </c>
      <c r="E332" s="2" t="s">
        <v>25</v>
      </c>
      <c r="F332" s="2" t="s">
        <v>94</v>
      </c>
    </row>
    <row r="333" ht="22.5" customHeight="1">
      <c r="A333" s="5" t="s">
        <v>441</v>
      </c>
      <c r="B333" s="2" t="s">
        <v>58</v>
      </c>
      <c r="C333" s="45" t="str">
        <f t="shared" si="1"/>
        <v>Dhani_3</v>
      </c>
      <c r="D333" s="12" t="s">
        <v>444</v>
      </c>
      <c r="E333" s="2" t="s">
        <v>25</v>
      </c>
      <c r="F333" s="2" t="s">
        <v>68</v>
      </c>
    </row>
    <row r="334" ht="22.5" customHeight="1">
      <c r="A334" s="5" t="s">
        <v>441</v>
      </c>
      <c r="B334" s="2" t="s">
        <v>38</v>
      </c>
      <c r="C334" s="45" t="str">
        <f t="shared" si="1"/>
        <v>Dhani_4</v>
      </c>
      <c r="D334" s="12" t="s">
        <v>445</v>
      </c>
      <c r="E334" s="2" t="s">
        <v>25</v>
      </c>
      <c r="F334" s="2" t="s">
        <v>446</v>
      </c>
      <c r="L334" s="2" t="s">
        <v>447</v>
      </c>
    </row>
    <row r="335" ht="22.5" customHeight="1">
      <c r="A335" s="5" t="s">
        <v>441</v>
      </c>
      <c r="B335" s="2" t="s">
        <v>38</v>
      </c>
      <c r="C335" s="45" t="str">
        <f t="shared" si="1"/>
        <v>Dhani_5</v>
      </c>
      <c r="D335" s="12" t="s">
        <v>448</v>
      </c>
      <c r="E335" s="2" t="s">
        <v>25</v>
      </c>
      <c r="F335" s="2" t="s">
        <v>64</v>
      </c>
    </row>
    <row r="336" ht="22.5" customHeight="1">
      <c r="A336" s="5" t="s">
        <v>441</v>
      </c>
      <c r="B336" s="2" t="s">
        <v>43</v>
      </c>
      <c r="C336" s="45" t="str">
        <f t="shared" si="1"/>
        <v>Dhani_6</v>
      </c>
      <c r="D336" s="12" t="s">
        <v>449</v>
      </c>
      <c r="E336" s="2" t="s">
        <v>25</v>
      </c>
      <c r="F336" s="2" t="s">
        <v>222</v>
      </c>
    </row>
    <row r="337" ht="22.5" customHeight="1">
      <c r="A337" s="5" t="s">
        <v>441</v>
      </c>
      <c r="B337" s="2" t="s">
        <v>43</v>
      </c>
      <c r="C337" s="45" t="str">
        <f t="shared" si="1"/>
        <v>Dhani_7</v>
      </c>
      <c r="D337" s="12" t="s">
        <v>450</v>
      </c>
      <c r="E337" s="2" t="s">
        <v>25</v>
      </c>
      <c r="F337" s="2" t="s">
        <v>52</v>
      </c>
    </row>
    <row r="338" ht="22.5" customHeight="1">
      <c r="A338" s="5" t="s">
        <v>441</v>
      </c>
      <c r="B338" s="2" t="s">
        <v>2392</v>
      </c>
      <c r="C338" s="45" t="str">
        <f t="shared" si="1"/>
        <v>Dhani_8</v>
      </c>
      <c r="D338" s="12" t="s">
        <v>451</v>
      </c>
      <c r="E338" s="2" t="s">
        <v>25</v>
      </c>
      <c r="F338" s="2" t="s">
        <v>452</v>
      </c>
    </row>
    <row r="339" ht="22.5" customHeight="1">
      <c r="A339" s="5" t="s">
        <v>441</v>
      </c>
      <c r="B339" s="2" t="s">
        <v>38</v>
      </c>
      <c r="C339" s="45" t="str">
        <f t="shared" si="1"/>
        <v>Dhani_9</v>
      </c>
      <c r="D339" s="12" t="s">
        <v>453</v>
      </c>
      <c r="E339" s="2" t="s">
        <v>25</v>
      </c>
      <c r="F339" s="2" t="s">
        <v>454</v>
      </c>
    </row>
    <row r="340" ht="22.5" customHeight="1">
      <c r="A340" s="5" t="s">
        <v>455</v>
      </c>
      <c r="B340" s="2" t="s">
        <v>43</v>
      </c>
      <c r="C340" s="45" t="str">
        <f t="shared" si="1"/>
        <v>Durga_1</v>
      </c>
      <c r="D340" s="12" t="s">
        <v>456</v>
      </c>
      <c r="E340" s="2" t="s">
        <v>25</v>
      </c>
      <c r="F340" s="2" t="s">
        <v>52</v>
      </c>
    </row>
    <row r="341" ht="22.5" customHeight="1">
      <c r="A341" s="5" t="s">
        <v>455</v>
      </c>
      <c r="B341" s="2" t="s">
        <v>43</v>
      </c>
      <c r="C341" s="45" t="str">
        <f t="shared" si="1"/>
        <v>Durga_2</v>
      </c>
      <c r="D341" s="12" t="s">
        <v>457</v>
      </c>
      <c r="E341" s="2" t="s">
        <v>25</v>
      </c>
      <c r="F341" s="2" t="s">
        <v>52</v>
      </c>
    </row>
    <row r="342" ht="22.5" customHeight="1">
      <c r="A342" s="5" t="s">
        <v>455</v>
      </c>
      <c r="B342" s="2" t="s">
        <v>38</v>
      </c>
      <c r="C342" s="18" t="str">
        <f t="shared" si="1"/>
        <v>Durga_3</v>
      </c>
      <c r="D342" s="15" t="s">
        <v>458</v>
      </c>
      <c r="E342" s="2" t="s">
        <v>25</v>
      </c>
      <c r="F342" s="2" t="s">
        <v>157</v>
      </c>
    </row>
    <row r="343" ht="22.5" customHeight="1">
      <c r="A343" s="5" t="s">
        <v>455</v>
      </c>
      <c r="B343" s="2" t="s">
        <v>36</v>
      </c>
      <c r="C343" s="45" t="str">
        <f t="shared" si="1"/>
        <v>Durga_4</v>
      </c>
      <c r="D343" s="12" t="s">
        <v>459</v>
      </c>
      <c r="E343" s="2" t="s">
        <v>25</v>
      </c>
      <c r="F343" s="2" t="s">
        <v>460</v>
      </c>
      <c r="L343" s="2" t="s">
        <v>461</v>
      </c>
    </row>
    <row r="344" ht="22.5" customHeight="1">
      <c r="A344" s="5" t="s">
        <v>455</v>
      </c>
      <c r="B344" s="2" t="s">
        <v>32</v>
      </c>
      <c r="C344" s="45" t="str">
        <f t="shared" si="1"/>
        <v>Durga_5</v>
      </c>
      <c r="D344" s="12" t="s">
        <v>462</v>
      </c>
      <c r="E344" s="2" t="s">
        <v>25</v>
      </c>
      <c r="F344" s="2" t="s">
        <v>34</v>
      </c>
    </row>
    <row r="345" ht="22.5" customHeight="1">
      <c r="A345" s="5" t="s">
        <v>455</v>
      </c>
      <c r="B345" s="2" t="s">
        <v>43</v>
      </c>
      <c r="C345" s="45" t="str">
        <f t="shared" si="1"/>
        <v>Durga_6</v>
      </c>
      <c r="D345" s="12" t="s">
        <v>463</v>
      </c>
      <c r="E345" s="2" t="s">
        <v>25</v>
      </c>
      <c r="F345" s="2" t="s">
        <v>464</v>
      </c>
    </row>
    <row r="346" ht="22.5" customHeight="1">
      <c r="A346" s="5" t="s">
        <v>455</v>
      </c>
      <c r="B346" s="2" t="s">
        <v>43</v>
      </c>
      <c r="C346" s="45" t="str">
        <f t="shared" si="1"/>
        <v>Durga_7</v>
      </c>
      <c r="D346" s="12" t="s">
        <v>465</v>
      </c>
      <c r="E346" s="2" t="s">
        <v>25</v>
      </c>
      <c r="F346" s="2" t="s">
        <v>26</v>
      </c>
    </row>
    <row r="347" ht="22.5" customHeight="1">
      <c r="A347" s="5" t="s">
        <v>455</v>
      </c>
      <c r="B347" s="2" t="s">
        <v>62</v>
      </c>
      <c r="C347" s="45" t="str">
        <f t="shared" si="1"/>
        <v>Durga_8</v>
      </c>
      <c r="D347" s="12" t="s">
        <v>466</v>
      </c>
      <c r="E347" s="2" t="s">
        <v>25</v>
      </c>
      <c r="F347" s="2" t="s">
        <v>153</v>
      </c>
      <c r="H347" s="2"/>
      <c r="I347" s="2" t="s">
        <v>154</v>
      </c>
    </row>
    <row r="348" ht="22.5" customHeight="1">
      <c r="A348" s="5" t="s">
        <v>455</v>
      </c>
      <c r="B348" s="2" t="s">
        <v>28</v>
      </c>
      <c r="C348" s="45" t="str">
        <f t="shared" si="1"/>
        <v>Durga_9</v>
      </c>
      <c r="D348" s="12" t="s">
        <v>467</v>
      </c>
      <c r="E348" s="2" t="s">
        <v>167</v>
      </c>
      <c r="F348" s="2" t="s">
        <v>168</v>
      </c>
    </row>
    <row r="349" ht="22.5" customHeight="1">
      <c r="A349" s="5" t="s">
        <v>455</v>
      </c>
      <c r="B349" s="2" t="s">
        <v>38</v>
      </c>
      <c r="C349" s="45" t="str">
        <f t="shared" si="1"/>
        <v>Durga_10</v>
      </c>
      <c r="D349" s="12" t="s">
        <v>468</v>
      </c>
      <c r="E349" s="2" t="s">
        <v>25</v>
      </c>
      <c r="F349" s="2" t="s">
        <v>469</v>
      </c>
    </row>
    <row r="350" ht="22.5" customHeight="1">
      <c r="A350" s="5" t="s">
        <v>470</v>
      </c>
      <c r="B350" s="2"/>
      <c r="C350" s="18" t="str">
        <f t="shared" si="1"/>
        <v>Gaud Malhar_1</v>
      </c>
      <c r="E350" s="8" t="s">
        <v>25</v>
      </c>
      <c r="F350" s="8" t="s">
        <v>193</v>
      </c>
      <c r="H350" s="2"/>
      <c r="I350" s="2" t="s">
        <v>27</v>
      </c>
    </row>
    <row r="351" ht="22.5" customHeight="1">
      <c r="A351" s="5" t="s">
        <v>470</v>
      </c>
      <c r="B351" s="2"/>
      <c r="C351" s="18" t="str">
        <f t="shared" si="1"/>
        <v>Gaud Malhar_2</v>
      </c>
      <c r="E351" s="8" t="s">
        <v>25</v>
      </c>
      <c r="F351" s="8" t="s">
        <v>75</v>
      </c>
      <c r="H351" s="2"/>
      <c r="I351" s="2" t="s">
        <v>27</v>
      </c>
    </row>
    <row r="352" ht="22.5" customHeight="1">
      <c r="A352" s="5" t="s">
        <v>470</v>
      </c>
      <c r="B352" s="2"/>
      <c r="C352" s="18" t="str">
        <f t="shared" si="1"/>
        <v>Gaud Malhar_3</v>
      </c>
      <c r="E352" s="8" t="s">
        <v>25</v>
      </c>
      <c r="F352" s="8" t="s">
        <v>75</v>
      </c>
      <c r="H352" s="2"/>
      <c r="I352" s="2" t="s">
        <v>27</v>
      </c>
    </row>
    <row r="353" ht="22.5" customHeight="1">
      <c r="A353" s="5" t="s">
        <v>470</v>
      </c>
      <c r="B353" s="2"/>
      <c r="C353" s="18" t="str">
        <f t="shared" si="1"/>
        <v>Gaud Malhar_4</v>
      </c>
      <c r="E353" s="8" t="s">
        <v>25</v>
      </c>
      <c r="F353" s="8" t="s">
        <v>75</v>
      </c>
      <c r="H353" s="2"/>
      <c r="I353" s="2" t="s">
        <v>27</v>
      </c>
    </row>
    <row r="354" ht="22.5" customHeight="1">
      <c r="A354" s="5" t="s">
        <v>470</v>
      </c>
      <c r="B354" s="2"/>
      <c r="C354" s="18" t="str">
        <f t="shared" si="1"/>
        <v>Gaud Malhar_5</v>
      </c>
      <c r="E354" s="8" t="s">
        <v>25</v>
      </c>
      <c r="F354" s="8" t="s">
        <v>75</v>
      </c>
      <c r="H354" s="2"/>
      <c r="I354" s="2" t="s">
        <v>27</v>
      </c>
    </row>
    <row r="355" ht="22.5" customHeight="1">
      <c r="A355" s="5" t="s">
        <v>470</v>
      </c>
      <c r="B355" s="2"/>
      <c r="C355" s="18" t="str">
        <f t="shared" si="1"/>
        <v>Gaud Malhar_6</v>
      </c>
      <c r="E355" s="8" t="s">
        <v>25</v>
      </c>
      <c r="F355" s="8" t="s">
        <v>144</v>
      </c>
      <c r="H355" s="2"/>
      <c r="I355" s="2" t="s">
        <v>27</v>
      </c>
    </row>
    <row r="356" ht="22.5" customHeight="1">
      <c r="A356" s="5" t="s">
        <v>470</v>
      </c>
      <c r="B356" s="2"/>
      <c r="C356" s="18" t="str">
        <f t="shared" si="1"/>
        <v>Gaud Malhar_7</v>
      </c>
      <c r="E356" s="8" t="s">
        <v>25</v>
      </c>
      <c r="F356" s="8" t="s">
        <v>94</v>
      </c>
      <c r="H356" s="2"/>
      <c r="I356" s="2" t="s">
        <v>27</v>
      </c>
    </row>
    <row r="357" ht="22.5" customHeight="1">
      <c r="A357" s="5" t="s">
        <v>470</v>
      </c>
      <c r="B357" s="2"/>
      <c r="C357" s="18" t="str">
        <f t="shared" si="1"/>
        <v>Gaud Malhar_8</v>
      </c>
      <c r="E357" s="8" t="s">
        <v>25</v>
      </c>
      <c r="F357" s="8" t="s">
        <v>102</v>
      </c>
      <c r="H357" s="2"/>
      <c r="I357" s="2" t="s">
        <v>27</v>
      </c>
    </row>
    <row r="358" ht="22.5" customHeight="1">
      <c r="A358" s="5" t="s">
        <v>470</v>
      </c>
      <c r="B358" s="2"/>
      <c r="C358" s="18" t="str">
        <f t="shared" si="1"/>
        <v>Gaud Malhar_9</v>
      </c>
      <c r="E358" s="8" t="s">
        <v>25</v>
      </c>
      <c r="F358" s="8" t="s">
        <v>103</v>
      </c>
      <c r="H358" s="2"/>
      <c r="I358" s="2" t="s">
        <v>27</v>
      </c>
    </row>
    <row r="359" ht="22.5" customHeight="1">
      <c r="A359" s="5" t="s">
        <v>470</v>
      </c>
      <c r="B359" s="2"/>
      <c r="C359" s="18" t="str">
        <f t="shared" si="1"/>
        <v>Gaud Malhar_10</v>
      </c>
      <c r="E359" s="8" t="s">
        <v>25</v>
      </c>
      <c r="F359" s="8" t="s">
        <v>70</v>
      </c>
      <c r="H359" s="2"/>
      <c r="I359" s="2" t="s">
        <v>27</v>
      </c>
    </row>
    <row r="360" ht="22.5" customHeight="1">
      <c r="A360" s="5" t="s">
        <v>471</v>
      </c>
      <c r="B360" s="2" t="s">
        <v>28</v>
      </c>
      <c r="C360" s="45" t="str">
        <f t="shared" si="1"/>
        <v>Gaud Sarang_1</v>
      </c>
      <c r="D360" s="12" t="s">
        <v>472</v>
      </c>
      <c r="E360" s="2" t="s">
        <v>25</v>
      </c>
      <c r="F360" s="2" t="s">
        <v>26</v>
      </c>
    </row>
    <row r="361" ht="22.5" customHeight="1">
      <c r="A361" s="5" t="s">
        <v>471</v>
      </c>
      <c r="B361" s="2" t="s">
        <v>28</v>
      </c>
      <c r="C361" s="49" t="str">
        <f t="shared" si="1"/>
        <v>Gaud Sarang_2</v>
      </c>
      <c r="D361" s="23" t="s">
        <v>473</v>
      </c>
      <c r="E361" s="2" t="s">
        <v>25</v>
      </c>
      <c r="F361" s="2" t="s">
        <v>150</v>
      </c>
    </row>
    <row r="362" ht="22.5" customHeight="1">
      <c r="A362" s="5" t="s">
        <v>471</v>
      </c>
      <c r="B362" s="2" t="s">
        <v>29</v>
      </c>
      <c r="C362" s="45" t="str">
        <f t="shared" si="1"/>
        <v>Gaud Sarang_3</v>
      </c>
      <c r="D362" s="12" t="s">
        <v>474</v>
      </c>
      <c r="E362" s="2" t="s">
        <v>25</v>
      </c>
      <c r="F362" s="2" t="s">
        <v>475</v>
      </c>
    </row>
    <row r="363" ht="22.5" customHeight="1">
      <c r="A363" s="5" t="s">
        <v>471</v>
      </c>
      <c r="B363" s="2" t="s">
        <v>58</v>
      </c>
      <c r="C363" s="45" t="str">
        <f t="shared" si="1"/>
        <v>Gaud Sarang_4</v>
      </c>
      <c r="D363" s="12" t="s">
        <v>476</v>
      </c>
      <c r="E363" s="2" t="s">
        <v>25</v>
      </c>
      <c r="F363" s="2" t="s">
        <v>112</v>
      </c>
    </row>
    <row r="364" ht="22.5" customHeight="1">
      <c r="A364" s="5" t="s">
        <v>471</v>
      </c>
      <c r="B364" s="2" t="s">
        <v>32</v>
      </c>
      <c r="C364" s="45" t="str">
        <f t="shared" si="1"/>
        <v>Gaud Sarang_5</v>
      </c>
      <c r="D364" s="12" t="s">
        <v>477</v>
      </c>
      <c r="E364" s="2" t="s">
        <v>25</v>
      </c>
      <c r="F364" s="2" t="s">
        <v>34</v>
      </c>
    </row>
    <row r="365" ht="22.5" customHeight="1">
      <c r="A365" s="5" t="s">
        <v>471</v>
      </c>
      <c r="B365" s="2" t="s">
        <v>58</v>
      </c>
      <c r="C365" s="45" t="str">
        <f t="shared" si="1"/>
        <v>Gaud Sarang_6</v>
      </c>
      <c r="D365" s="12" t="s">
        <v>478</v>
      </c>
      <c r="E365" s="2" t="s">
        <v>25</v>
      </c>
      <c r="F365" s="2" t="s">
        <v>60</v>
      </c>
    </row>
    <row r="366" ht="22.5" customHeight="1">
      <c r="A366" s="5" t="s">
        <v>471</v>
      </c>
      <c r="B366" s="2" t="s">
        <v>32</v>
      </c>
      <c r="C366" s="45" t="str">
        <f t="shared" si="1"/>
        <v>Gaud Sarang_7</v>
      </c>
      <c r="D366" s="12" t="s">
        <v>479</v>
      </c>
      <c r="E366" s="2" t="s">
        <v>114</v>
      </c>
      <c r="F366" s="2" t="s">
        <v>341</v>
      </c>
    </row>
    <row r="367" ht="22.5" customHeight="1">
      <c r="A367" s="5" t="s">
        <v>471</v>
      </c>
      <c r="B367" s="2" t="s">
        <v>43</v>
      </c>
      <c r="C367" s="45" t="str">
        <f t="shared" si="1"/>
        <v>Gaud Sarang_8</v>
      </c>
      <c r="D367" s="12" t="s">
        <v>480</v>
      </c>
      <c r="E367" s="2" t="s">
        <v>25</v>
      </c>
      <c r="F367" s="2" t="s">
        <v>52</v>
      </c>
    </row>
    <row r="368" ht="22.5" customHeight="1">
      <c r="A368" s="5" t="s">
        <v>471</v>
      </c>
      <c r="B368" s="2" t="s">
        <v>43</v>
      </c>
      <c r="C368" s="45" t="str">
        <f t="shared" si="1"/>
        <v>Gaud Sarang_9</v>
      </c>
      <c r="D368" s="12" t="s">
        <v>481</v>
      </c>
      <c r="E368" s="2" t="s">
        <v>25</v>
      </c>
      <c r="F368" s="2" t="s">
        <v>122</v>
      </c>
    </row>
    <row r="369" ht="22.5" customHeight="1">
      <c r="A369" s="5" t="s">
        <v>471</v>
      </c>
      <c r="B369" s="2" t="s">
        <v>43</v>
      </c>
      <c r="C369" s="45" t="str">
        <f t="shared" si="1"/>
        <v>Gaud Sarang_10</v>
      </c>
      <c r="D369" s="12" t="s">
        <v>482</v>
      </c>
      <c r="E369" s="2" t="s">
        <v>25</v>
      </c>
      <c r="F369" s="2" t="s">
        <v>193</v>
      </c>
    </row>
    <row r="370" ht="22.5" customHeight="1">
      <c r="A370" s="5" t="s">
        <v>483</v>
      </c>
      <c r="B370" s="2" t="s">
        <v>38</v>
      </c>
      <c r="C370" s="45" t="str">
        <f t="shared" si="1"/>
        <v>Gauri_1</v>
      </c>
      <c r="D370" s="12" t="s">
        <v>484</v>
      </c>
      <c r="E370" s="2" t="s">
        <v>25</v>
      </c>
      <c r="F370" s="8" t="s">
        <v>134</v>
      </c>
    </row>
    <row r="371" ht="22.5" customHeight="1">
      <c r="A371" s="5" t="s">
        <v>483</v>
      </c>
      <c r="B371" s="2" t="s">
        <v>127</v>
      </c>
      <c r="C371" s="45" t="str">
        <f t="shared" si="1"/>
        <v>Gauri_2</v>
      </c>
      <c r="D371" s="12" t="s">
        <v>485</v>
      </c>
      <c r="E371" s="2" t="s">
        <v>25</v>
      </c>
      <c r="F371" s="2" t="s">
        <v>475</v>
      </c>
    </row>
    <row r="372" ht="22.5" customHeight="1">
      <c r="A372" s="5" t="s">
        <v>483</v>
      </c>
      <c r="B372" s="2" t="s">
        <v>24</v>
      </c>
      <c r="C372" s="45" t="str">
        <f t="shared" si="1"/>
        <v>Gauri_3</v>
      </c>
      <c r="D372" s="12" t="s">
        <v>486</v>
      </c>
      <c r="E372" s="2" t="s">
        <v>25</v>
      </c>
      <c r="F372" s="2" t="s">
        <v>487</v>
      </c>
    </row>
    <row r="373" ht="22.5" customHeight="1">
      <c r="A373" s="5" t="s">
        <v>483</v>
      </c>
      <c r="B373" s="2" t="s">
        <v>24</v>
      </c>
      <c r="C373" s="45" t="str">
        <f t="shared" si="1"/>
        <v>Gauri_4</v>
      </c>
      <c r="D373" s="12" t="s">
        <v>488</v>
      </c>
      <c r="E373" s="2" t="s">
        <v>25</v>
      </c>
      <c r="F373" s="2" t="s">
        <v>56</v>
      </c>
    </row>
    <row r="374" ht="22.5" customHeight="1">
      <c r="A374" s="5" t="s">
        <v>483</v>
      </c>
      <c r="B374" s="2" t="s">
        <v>28</v>
      </c>
      <c r="C374" s="45" t="str">
        <f t="shared" si="1"/>
        <v>Gauri_5</v>
      </c>
      <c r="D374" s="12" t="s">
        <v>489</v>
      </c>
      <c r="E374" s="2" t="s">
        <v>25</v>
      </c>
      <c r="F374" s="2" t="s">
        <v>401</v>
      </c>
    </row>
    <row r="375" ht="22.5" customHeight="1">
      <c r="A375" s="5" t="s">
        <v>483</v>
      </c>
      <c r="B375" s="2" t="s">
        <v>38</v>
      </c>
      <c r="C375" s="45" t="str">
        <f t="shared" si="1"/>
        <v>Gauri_6</v>
      </c>
      <c r="D375" s="12" t="s">
        <v>490</v>
      </c>
      <c r="E375" s="2" t="s">
        <v>25</v>
      </c>
      <c r="F375" s="2" t="s">
        <v>134</v>
      </c>
    </row>
    <row r="376" ht="22.5" customHeight="1">
      <c r="A376" s="5" t="s">
        <v>483</v>
      </c>
      <c r="B376" s="2" t="s">
        <v>24</v>
      </c>
      <c r="C376" s="45" t="str">
        <f t="shared" si="1"/>
        <v>Gauri_7</v>
      </c>
      <c r="D376" s="12" t="s">
        <v>491</v>
      </c>
      <c r="E376" s="2" t="s">
        <v>25</v>
      </c>
      <c r="F376" s="2" t="s">
        <v>30</v>
      </c>
    </row>
    <row r="377" ht="22.5" customHeight="1">
      <c r="A377" s="5" t="s">
        <v>483</v>
      </c>
      <c r="B377" s="2" t="s">
        <v>32</v>
      </c>
      <c r="C377" s="45" t="str">
        <f t="shared" si="1"/>
        <v>Gauri_8</v>
      </c>
      <c r="D377" s="12" t="s">
        <v>492</v>
      </c>
      <c r="E377" s="2" t="s">
        <v>25</v>
      </c>
      <c r="F377" s="2" t="s">
        <v>493</v>
      </c>
    </row>
    <row r="378" ht="22.5" customHeight="1">
      <c r="A378" s="5" t="s">
        <v>483</v>
      </c>
      <c r="B378" s="2" t="s">
        <v>38</v>
      </c>
      <c r="C378" s="45" t="str">
        <f t="shared" si="1"/>
        <v>Gauri_9</v>
      </c>
      <c r="D378" s="12" t="s">
        <v>494</v>
      </c>
      <c r="E378" s="2" t="s">
        <v>25</v>
      </c>
      <c r="F378" s="2" t="s">
        <v>495</v>
      </c>
    </row>
    <row r="379" ht="22.5" customHeight="1">
      <c r="A379" s="5" t="s">
        <v>496</v>
      </c>
      <c r="B379" s="2" t="s">
        <v>43</v>
      </c>
      <c r="C379" s="45" t="str">
        <f t="shared" si="1"/>
        <v>Gavati_1</v>
      </c>
      <c r="D379" s="12" t="s">
        <v>497</v>
      </c>
      <c r="E379" s="2" t="s">
        <v>25</v>
      </c>
      <c r="F379" s="2" t="s">
        <v>52</v>
      </c>
      <c r="H379" s="2"/>
      <c r="I379" s="2" t="s">
        <v>498</v>
      </c>
    </row>
    <row r="380" ht="22.5" customHeight="1">
      <c r="A380" s="5" t="s">
        <v>496</v>
      </c>
      <c r="B380" s="2" t="s">
        <v>36</v>
      </c>
      <c r="C380" s="45" t="str">
        <f t="shared" si="1"/>
        <v>Gavati_2</v>
      </c>
      <c r="D380" s="12" t="s">
        <v>499</v>
      </c>
      <c r="E380" s="2" t="s">
        <v>162</v>
      </c>
      <c r="F380" s="2" t="s">
        <v>337</v>
      </c>
    </row>
    <row r="381" ht="22.5" customHeight="1">
      <c r="A381" s="5" t="s">
        <v>496</v>
      </c>
      <c r="B381" s="2" t="s">
        <v>2377</v>
      </c>
      <c r="C381" s="45" t="str">
        <f t="shared" si="1"/>
        <v>Gavati_3</v>
      </c>
      <c r="D381" s="12" t="s">
        <v>500</v>
      </c>
      <c r="E381" s="2" t="s">
        <v>25</v>
      </c>
      <c r="F381" s="2" t="s">
        <v>222</v>
      </c>
    </row>
    <row r="382" ht="22.5" customHeight="1">
      <c r="A382" s="5" t="s">
        <v>496</v>
      </c>
      <c r="B382" s="2" t="s">
        <v>2393</v>
      </c>
      <c r="C382" s="46" t="str">
        <f t="shared" si="1"/>
        <v>Gavati_4</v>
      </c>
      <c r="D382" s="13" t="s">
        <v>501</v>
      </c>
      <c r="E382" s="2" t="s">
        <v>25</v>
      </c>
      <c r="F382" s="2" t="s">
        <v>94</v>
      </c>
    </row>
    <row r="383" ht="22.5" customHeight="1">
      <c r="A383" s="5" t="s">
        <v>496</v>
      </c>
      <c r="B383" s="25" t="s">
        <v>24</v>
      </c>
      <c r="C383" s="45" t="str">
        <f t="shared" si="1"/>
        <v>Gavati_5</v>
      </c>
      <c r="D383" s="12" t="s">
        <v>502</v>
      </c>
      <c r="E383" s="2" t="s">
        <v>25</v>
      </c>
      <c r="F383" s="2" t="s">
        <v>50</v>
      </c>
      <c r="H383" s="25"/>
      <c r="I383" s="26" t="s">
        <v>503</v>
      </c>
    </row>
    <row r="384" ht="22.5" customHeight="1">
      <c r="A384" s="5" t="s">
        <v>496</v>
      </c>
      <c r="B384" s="2" t="s">
        <v>2386</v>
      </c>
      <c r="C384" s="45" t="str">
        <f t="shared" si="1"/>
        <v>Gavati_6</v>
      </c>
      <c r="D384" s="12" t="s">
        <v>504</v>
      </c>
      <c r="E384" s="2" t="s">
        <v>25</v>
      </c>
      <c r="F384" s="8" t="s">
        <v>54</v>
      </c>
    </row>
    <row r="385" ht="22.5" customHeight="1">
      <c r="A385" s="5" t="s">
        <v>496</v>
      </c>
      <c r="B385" s="2" t="s">
        <v>62</v>
      </c>
      <c r="C385" s="45" t="str">
        <f t="shared" si="1"/>
        <v>Gavati_7</v>
      </c>
      <c r="D385" s="12" t="s">
        <v>505</v>
      </c>
      <c r="E385" s="2" t="s">
        <v>25</v>
      </c>
      <c r="F385" s="2" t="s">
        <v>506</v>
      </c>
    </row>
    <row r="386" ht="22.5" customHeight="1">
      <c r="A386" s="5" t="s">
        <v>496</v>
      </c>
      <c r="B386" s="2" t="s">
        <v>32</v>
      </c>
      <c r="C386" s="45" t="str">
        <f t="shared" si="1"/>
        <v>Gavati_8</v>
      </c>
      <c r="D386" s="12" t="s">
        <v>507</v>
      </c>
      <c r="E386" s="2" t="s">
        <v>25</v>
      </c>
      <c r="F386" s="2" t="s">
        <v>508</v>
      </c>
    </row>
    <row r="387" ht="22.5" customHeight="1">
      <c r="A387" s="5" t="s">
        <v>496</v>
      </c>
      <c r="B387" s="2" t="s">
        <v>38</v>
      </c>
      <c r="C387" s="45" t="str">
        <f t="shared" si="1"/>
        <v>Gavati_9</v>
      </c>
      <c r="D387" s="12" t="s">
        <v>509</v>
      </c>
      <c r="E387" s="2" t="s">
        <v>25</v>
      </c>
      <c r="F387" s="8" t="s">
        <v>412</v>
      </c>
      <c r="H387" s="2"/>
      <c r="I387" s="2" t="s">
        <v>498</v>
      </c>
    </row>
    <row r="388" ht="22.5" customHeight="1">
      <c r="A388" s="5" t="s">
        <v>496</v>
      </c>
      <c r="B388" s="2" t="s">
        <v>38</v>
      </c>
      <c r="C388" s="45" t="str">
        <f t="shared" si="1"/>
        <v>Gavati_10</v>
      </c>
      <c r="D388" s="12" t="s">
        <v>510</v>
      </c>
      <c r="E388" s="2" t="s">
        <v>25</v>
      </c>
      <c r="F388" s="2" t="s">
        <v>64</v>
      </c>
    </row>
    <row r="389" ht="22.5" customHeight="1">
      <c r="A389" s="5" t="s">
        <v>511</v>
      </c>
      <c r="B389" s="2" t="s">
        <v>2383</v>
      </c>
      <c r="C389" s="45" t="str">
        <f t="shared" si="1"/>
        <v>Gopika Basant_1</v>
      </c>
      <c r="D389" s="12" t="s">
        <v>512</v>
      </c>
      <c r="E389" s="2" t="s">
        <v>25</v>
      </c>
      <c r="F389" s="2" t="s">
        <v>513</v>
      </c>
    </row>
    <row r="390" ht="22.5" customHeight="1">
      <c r="A390" s="5" t="s">
        <v>511</v>
      </c>
      <c r="B390" s="2" t="s">
        <v>36</v>
      </c>
      <c r="C390" s="45" t="str">
        <f t="shared" si="1"/>
        <v>Gopika Basant_2</v>
      </c>
      <c r="D390" s="12" t="s">
        <v>514</v>
      </c>
      <c r="E390" s="2" t="s">
        <v>25</v>
      </c>
      <c r="F390" s="2" t="s">
        <v>515</v>
      </c>
    </row>
    <row r="391" ht="22.5" customHeight="1">
      <c r="A391" s="5" t="s">
        <v>511</v>
      </c>
      <c r="B391" s="2" t="s">
        <v>24</v>
      </c>
      <c r="C391" s="45" t="str">
        <f t="shared" si="1"/>
        <v>Gopika Basant_3</v>
      </c>
      <c r="D391" s="12" t="s">
        <v>516</v>
      </c>
      <c r="E391" s="2" t="s">
        <v>25</v>
      </c>
      <c r="F391" s="2" t="s">
        <v>517</v>
      </c>
    </row>
    <row r="392" ht="22.5" customHeight="1">
      <c r="A392" s="5" t="s">
        <v>511</v>
      </c>
      <c r="B392" s="2" t="s">
        <v>2394</v>
      </c>
      <c r="C392" s="45" t="str">
        <f t="shared" si="1"/>
        <v>Gopika Basant_4</v>
      </c>
      <c r="D392" s="12" t="s">
        <v>518</v>
      </c>
      <c r="E392" s="2" t="s">
        <v>167</v>
      </c>
      <c r="F392" s="2" t="s">
        <v>519</v>
      </c>
    </row>
    <row r="393" ht="22.5" customHeight="1">
      <c r="A393" s="5" t="s">
        <v>511</v>
      </c>
      <c r="B393" s="2" t="s">
        <v>24</v>
      </c>
      <c r="C393" s="45" t="str">
        <f t="shared" si="1"/>
        <v>Gopika Basant_5</v>
      </c>
      <c r="D393" s="12" t="s">
        <v>520</v>
      </c>
      <c r="E393" s="2" t="s">
        <v>25</v>
      </c>
      <c r="F393" s="2" t="s">
        <v>521</v>
      </c>
    </row>
    <row r="394" ht="22.5" customHeight="1">
      <c r="A394" s="5" t="s">
        <v>511</v>
      </c>
      <c r="B394" s="2" t="s">
        <v>24</v>
      </c>
      <c r="C394" s="45" t="str">
        <f t="shared" si="1"/>
        <v>Gopika Basant_6</v>
      </c>
      <c r="D394" s="12" t="s">
        <v>522</v>
      </c>
      <c r="E394" s="2" t="s">
        <v>25</v>
      </c>
      <c r="F394" s="2" t="s">
        <v>517</v>
      </c>
    </row>
    <row r="395" ht="22.5" customHeight="1">
      <c r="A395" s="5" t="s">
        <v>523</v>
      </c>
      <c r="B395" s="2" t="s">
        <v>36</v>
      </c>
      <c r="C395" s="45" t="str">
        <f t="shared" si="1"/>
        <v>Gorakh Kalyan_1</v>
      </c>
      <c r="D395" s="12" t="s">
        <v>524</v>
      </c>
      <c r="E395" s="2" t="s">
        <v>25</v>
      </c>
      <c r="F395" s="2" t="s">
        <v>34</v>
      </c>
    </row>
    <row r="396" ht="22.5" customHeight="1">
      <c r="A396" s="5" t="s">
        <v>523</v>
      </c>
      <c r="B396" s="2" t="s">
        <v>36</v>
      </c>
      <c r="C396" s="45" t="str">
        <f t="shared" si="1"/>
        <v>Gorakh Kalyan_2</v>
      </c>
      <c r="D396" s="12" t="s">
        <v>525</v>
      </c>
      <c r="E396" s="2" t="s">
        <v>162</v>
      </c>
      <c r="F396" s="2" t="s">
        <v>526</v>
      </c>
    </row>
    <row r="397" ht="22.5" customHeight="1">
      <c r="A397" s="5" t="s">
        <v>523</v>
      </c>
      <c r="B397" s="2" t="s">
        <v>127</v>
      </c>
      <c r="C397" s="45" t="str">
        <f t="shared" si="1"/>
        <v>Gorakh Kalyan_3</v>
      </c>
      <c r="D397" s="12" t="s">
        <v>527</v>
      </c>
      <c r="E397" s="2" t="s">
        <v>25</v>
      </c>
      <c r="F397" s="2" t="s">
        <v>528</v>
      </c>
    </row>
    <row r="398" ht="22.5" customHeight="1">
      <c r="A398" s="5" t="s">
        <v>523</v>
      </c>
      <c r="B398" s="2" t="s">
        <v>38</v>
      </c>
      <c r="C398" s="45" t="str">
        <f t="shared" si="1"/>
        <v>Gorakh Kalyan_4</v>
      </c>
      <c r="D398" s="12" t="s">
        <v>529</v>
      </c>
      <c r="E398" s="2" t="s">
        <v>25</v>
      </c>
      <c r="F398" s="2" t="s">
        <v>412</v>
      </c>
    </row>
    <row r="399" ht="22.5" customHeight="1">
      <c r="A399" s="5" t="s">
        <v>523</v>
      </c>
      <c r="B399" s="2" t="s">
        <v>24</v>
      </c>
      <c r="C399" s="45" t="str">
        <f t="shared" si="1"/>
        <v>Gorakh Kalyan_5</v>
      </c>
      <c r="D399" s="12" t="s">
        <v>530</v>
      </c>
      <c r="E399" s="2" t="s">
        <v>114</v>
      </c>
      <c r="F399" s="2" t="s">
        <v>341</v>
      </c>
    </row>
    <row r="400" ht="22.5" customHeight="1">
      <c r="A400" s="5" t="s">
        <v>523</v>
      </c>
      <c r="B400" s="21" t="s">
        <v>43</v>
      </c>
      <c r="C400" s="45" t="str">
        <f t="shared" si="1"/>
        <v>Gorakh Kalyan_6</v>
      </c>
      <c r="D400" s="12" t="s">
        <v>531</v>
      </c>
      <c r="E400" s="2" t="s">
        <v>25</v>
      </c>
      <c r="F400" s="2" t="s">
        <v>52</v>
      </c>
    </row>
    <row r="401" ht="22.5" customHeight="1">
      <c r="A401" s="5" t="s">
        <v>523</v>
      </c>
      <c r="B401" s="2" t="s">
        <v>28</v>
      </c>
      <c r="C401" s="45" t="str">
        <f t="shared" si="1"/>
        <v>Gorakh Kalyan_7</v>
      </c>
      <c r="D401" s="12" t="s">
        <v>532</v>
      </c>
      <c r="E401" s="2" t="s">
        <v>236</v>
      </c>
      <c r="F401" s="2" t="s">
        <v>533</v>
      </c>
    </row>
    <row r="402" ht="22.5" customHeight="1">
      <c r="A402" s="5" t="s">
        <v>523</v>
      </c>
      <c r="B402" s="2" t="s">
        <v>62</v>
      </c>
      <c r="C402" s="45" t="str">
        <f t="shared" si="1"/>
        <v>Gorakh Kalyan_8</v>
      </c>
      <c r="D402" s="12" t="s">
        <v>534</v>
      </c>
      <c r="E402" s="2" t="s">
        <v>25</v>
      </c>
      <c r="F402" s="2" t="s">
        <v>153</v>
      </c>
      <c r="H402" s="2"/>
      <c r="I402" s="2" t="s">
        <v>154</v>
      </c>
    </row>
    <row r="403" ht="22.5" customHeight="1">
      <c r="A403" s="5" t="s">
        <v>523</v>
      </c>
      <c r="B403" s="2" t="s">
        <v>38</v>
      </c>
      <c r="C403" s="45" t="str">
        <f t="shared" si="1"/>
        <v>Gorakh Kalyan_9</v>
      </c>
      <c r="D403" s="12" t="s">
        <v>535</v>
      </c>
      <c r="E403" s="2" t="s">
        <v>25</v>
      </c>
      <c r="F403" s="2" t="s">
        <v>64</v>
      </c>
    </row>
    <row r="404" ht="22.5" customHeight="1">
      <c r="A404" s="5" t="s">
        <v>536</v>
      </c>
      <c r="B404" s="2" t="s">
        <v>29</v>
      </c>
      <c r="C404" s="45" t="str">
        <f t="shared" si="1"/>
        <v>Gunakri_1</v>
      </c>
      <c r="D404" s="12" t="s">
        <v>537</v>
      </c>
      <c r="E404" s="2" t="s">
        <v>25</v>
      </c>
      <c r="F404" s="2" t="s">
        <v>538</v>
      </c>
    </row>
    <row r="405" ht="22.5" customHeight="1">
      <c r="A405" s="5" t="s">
        <v>536</v>
      </c>
      <c r="B405" s="2" t="s">
        <v>29</v>
      </c>
      <c r="C405" s="45" t="str">
        <f t="shared" si="1"/>
        <v>Gunakri_2</v>
      </c>
      <c r="D405" s="12" t="s">
        <v>539</v>
      </c>
      <c r="E405" s="2" t="s">
        <v>25</v>
      </c>
      <c r="F405" s="2" t="s">
        <v>540</v>
      </c>
    </row>
    <row r="406" ht="22.5" customHeight="1">
      <c r="A406" s="5" t="s">
        <v>536</v>
      </c>
      <c r="B406" s="2" t="s">
        <v>24</v>
      </c>
      <c r="C406" s="45" t="str">
        <f t="shared" si="1"/>
        <v>Gunakri_3</v>
      </c>
      <c r="D406" s="12" t="s">
        <v>541</v>
      </c>
      <c r="E406" s="2" t="s">
        <v>25</v>
      </c>
      <c r="F406" s="2" t="s">
        <v>542</v>
      </c>
    </row>
    <row r="407" ht="22.5" customHeight="1">
      <c r="A407" s="5" t="s">
        <v>536</v>
      </c>
      <c r="B407" s="2" t="s">
        <v>29</v>
      </c>
      <c r="C407" s="45" t="str">
        <f t="shared" si="1"/>
        <v>Gunakri_4</v>
      </c>
      <c r="D407" s="12" t="s">
        <v>543</v>
      </c>
      <c r="E407" s="2" t="s">
        <v>25</v>
      </c>
      <c r="F407" s="2" t="s">
        <v>540</v>
      </c>
    </row>
    <row r="408" ht="22.5" customHeight="1">
      <c r="A408" s="5" t="s">
        <v>536</v>
      </c>
      <c r="B408" s="2" t="s">
        <v>32</v>
      </c>
      <c r="C408" s="45" t="str">
        <f t="shared" si="1"/>
        <v>Gunakri_5</v>
      </c>
      <c r="D408" s="12" t="s">
        <v>544</v>
      </c>
      <c r="E408" s="2" t="s">
        <v>25</v>
      </c>
      <c r="F408" s="2" t="s">
        <v>545</v>
      </c>
    </row>
    <row r="409" ht="22.5" customHeight="1">
      <c r="A409" s="5" t="s">
        <v>536</v>
      </c>
      <c r="B409" s="2" t="s">
        <v>29</v>
      </c>
      <c r="C409" s="45" t="str">
        <f t="shared" si="1"/>
        <v>Gunakri_6</v>
      </c>
      <c r="D409" s="12" t="s">
        <v>546</v>
      </c>
      <c r="E409" s="2" t="s">
        <v>25</v>
      </c>
      <c r="F409" s="2" t="s">
        <v>547</v>
      </c>
    </row>
    <row r="410" ht="22.5" customHeight="1">
      <c r="A410" s="5" t="s">
        <v>536</v>
      </c>
      <c r="B410" s="2" t="s">
        <v>29</v>
      </c>
      <c r="C410" s="45" t="str">
        <f t="shared" si="1"/>
        <v>Gunakri_7</v>
      </c>
      <c r="D410" s="12" t="s">
        <v>548</v>
      </c>
      <c r="E410" s="2" t="s">
        <v>25</v>
      </c>
      <c r="F410" s="2" t="s">
        <v>549</v>
      </c>
    </row>
    <row r="411" ht="22.5" customHeight="1">
      <c r="A411" s="5" t="s">
        <v>536</v>
      </c>
      <c r="B411" s="2" t="s">
        <v>62</v>
      </c>
      <c r="C411" s="45" t="str">
        <f t="shared" si="1"/>
        <v>Gunakri_8</v>
      </c>
      <c r="D411" s="12" t="s">
        <v>550</v>
      </c>
      <c r="E411" s="2" t="s">
        <v>25</v>
      </c>
      <c r="F411" s="2" t="s">
        <v>551</v>
      </c>
    </row>
    <row r="412" ht="22.5" customHeight="1">
      <c r="A412" s="5" t="s">
        <v>536</v>
      </c>
      <c r="B412" s="2" t="s">
        <v>24</v>
      </c>
      <c r="C412" s="45" t="str">
        <f t="shared" si="1"/>
        <v>Gunakri_9</v>
      </c>
      <c r="D412" s="12" t="s">
        <v>552</v>
      </c>
      <c r="E412" s="2" t="s">
        <v>25</v>
      </c>
      <c r="F412" s="2" t="s">
        <v>37</v>
      </c>
      <c r="L412" s="2" t="s">
        <v>447</v>
      </c>
    </row>
    <row r="413" ht="22.5" customHeight="1">
      <c r="A413" s="5" t="s">
        <v>536</v>
      </c>
      <c r="B413" s="2" t="s">
        <v>24</v>
      </c>
      <c r="C413" s="45" t="str">
        <f t="shared" si="1"/>
        <v>Gunakri_10</v>
      </c>
      <c r="D413" s="12" t="s">
        <v>553</v>
      </c>
      <c r="E413" s="2" t="s">
        <v>25</v>
      </c>
      <c r="F413" s="2" t="s">
        <v>233</v>
      </c>
    </row>
    <row r="414" ht="22.5" customHeight="1">
      <c r="A414" s="5" t="s">
        <v>554</v>
      </c>
      <c r="B414" s="2" t="s">
        <v>24</v>
      </c>
      <c r="C414" s="45" t="str">
        <f t="shared" si="1"/>
        <v>Gurjari Todi_1</v>
      </c>
      <c r="D414" s="12" t="s">
        <v>555</v>
      </c>
      <c r="E414" s="2" t="s">
        <v>25</v>
      </c>
      <c r="F414" s="8" t="s">
        <v>56</v>
      </c>
    </row>
    <row r="415" ht="22.5" customHeight="1">
      <c r="A415" s="5" t="s">
        <v>554</v>
      </c>
      <c r="B415" s="2" t="s">
        <v>24</v>
      </c>
      <c r="C415" s="45" t="str">
        <f t="shared" si="1"/>
        <v>Gurjari Todi_2</v>
      </c>
      <c r="D415" s="12" t="s">
        <v>556</v>
      </c>
      <c r="E415" s="2" t="s">
        <v>25</v>
      </c>
      <c r="F415" s="2" t="s">
        <v>26</v>
      </c>
    </row>
    <row r="416" ht="22.5" customHeight="1">
      <c r="A416" s="5" t="s">
        <v>554</v>
      </c>
      <c r="B416" s="2" t="s">
        <v>38</v>
      </c>
      <c r="C416" s="45" t="str">
        <f t="shared" si="1"/>
        <v>Gurjari Todi_3</v>
      </c>
      <c r="D416" s="12" t="s">
        <v>557</v>
      </c>
      <c r="E416" s="2" t="s">
        <v>25</v>
      </c>
      <c r="F416" s="2" t="s">
        <v>558</v>
      </c>
    </row>
    <row r="417" ht="22.5" customHeight="1">
      <c r="A417" s="5" t="s">
        <v>554</v>
      </c>
      <c r="B417" s="2" t="s">
        <v>38</v>
      </c>
      <c r="C417" s="45" t="str">
        <f t="shared" si="1"/>
        <v>Gurjari Todi_4</v>
      </c>
      <c r="D417" s="12" t="s">
        <v>559</v>
      </c>
      <c r="E417" s="2" t="s">
        <v>25</v>
      </c>
      <c r="F417" s="2" t="s">
        <v>75</v>
      </c>
    </row>
    <row r="418" ht="22.5" customHeight="1">
      <c r="A418" s="5" t="s">
        <v>554</v>
      </c>
      <c r="B418" s="2" t="s">
        <v>38</v>
      </c>
      <c r="C418" s="45" t="str">
        <f t="shared" si="1"/>
        <v>Gurjari Todi_5</v>
      </c>
      <c r="D418" s="12" t="s">
        <v>560</v>
      </c>
      <c r="E418" s="2" t="s">
        <v>25</v>
      </c>
      <c r="F418" s="2" t="s">
        <v>153</v>
      </c>
      <c r="H418" s="2"/>
      <c r="I418" s="2" t="s">
        <v>154</v>
      </c>
    </row>
    <row r="419" ht="22.5" customHeight="1">
      <c r="A419" s="5" t="s">
        <v>554</v>
      </c>
      <c r="B419" s="2" t="s">
        <v>43</v>
      </c>
      <c r="C419" s="45" t="str">
        <f t="shared" si="1"/>
        <v>Gurjari Todi_6</v>
      </c>
      <c r="D419" s="12" t="s">
        <v>561</v>
      </c>
      <c r="E419" s="2" t="s">
        <v>25</v>
      </c>
      <c r="F419" s="2" t="s">
        <v>94</v>
      </c>
    </row>
    <row r="420" ht="22.5" customHeight="1">
      <c r="A420" s="5" t="s">
        <v>554</v>
      </c>
      <c r="B420" s="2" t="s">
        <v>24</v>
      </c>
      <c r="C420" s="45" t="str">
        <f t="shared" si="1"/>
        <v>Gurjari Todi_7</v>
      </c>
      <c r="D420" s="12" t="s">
        <v>562</v>
      </c>
      <c r="E420" s="2" t="s">
        <v>25</v>
      </c>
      <c r="F420" s="2" t="s">
        <v>563</v>
      </c>
    </row>
    <row r="421" ht="22.5" customHeight="1">
      <c r="A421" s="5" t="s">
        <v>554</v>
      </c>
      <c r="B421" s="2" t="s">
        <v>2386</v>
      </c>
      <c r="C421" s="45" t="str">
        <f t="shared" si="1"/>
        <v>Gurjari Todi_8</v>
      </c>
      <c r="D421" s="12" t="s">
        <v>564</v>
      </c>
      <c r="E421" s="2" t="s">
        <v>565</v>
      </c>
      <c r="F421" s="2" t="s">
        <v>178</v>
      </c>
    </row>
    <row r="422" ht="22.5" customHeight="1">
      <c r="A422" s="5" t="s">
        <v>554</v>
      </c>
      <c r="B422" s="2" t="s">
        <v>43</v>
      </c>
      <c r="C422" s="45" t="str">
        <f t="shared" si="1"/>
        <v>Gurjari Todi_9</v>
      </c>
      <c r="D422" s="12" t="s">
        <v>566</v>
      </c>
      <c r="E422" s="2" t="s">
        <v>25</v>
      </c>
      <c r="F422" s="2" t="s">
        <v>94</v>
      </c>
    </row>
    <row r="423" ht="22.5" customHeight="1">
      <c r="A423" s="5" t="s">
        <v>567</v>
      </c>
      <c r="B423" s="2" t="s">
        <v>24</v>
      </c>
      <c r="C423" s="45" t="str">
        <f t="shared" si="1"/>
        <v>Hameer_1</v>
      </c>
      <c r="D423" s="12" t="s">
        <v>568</v>
      </c>
      <c r="E423" s="2" t="s">
        <v>25</v>
      </c>
      <c r="F423" s="2" t="s">
        <v>460</v>
      </c>
    </row>
    <row r="424" ht="22.5" customHeight="1">
      <c r="A424" s="5" t="s">
        <v>567</v>
      </c>
      <c r="B424" s="2" t="s">
        <v>32</v>
      </c>
      <c r="C424" s="45" t="str">
        <f t="shared" si="1"/>
        <v>Hameer_2</v>
      </c>
      <c r="D424" s="12" t="s">
        <v>569</v>
      </c>
      <c r="E424" s="2" t="s">
        <v>25</v>
      </c>
      <c r="F424" s="2" t="s">
        <v>34</v>
      </c>
    </row>
    <row r="425" ht="22.5" customHeight="1">
      <c r="A425" s="5" t="s">
        <v>567</v>
      </c>
      <c r="B425" s="2" t="s">
        <v>43</v>
      </c>
      <c r="C425" s="45" t="str">
        <f t="shared" si="1"/>
        <v>Hameer_3</v>
      </c>
      <c r="D425" s="12" t="s">
        <v>570</v>
      </c>
      <c r="E425" s="2" t="s">
        <v>25</v>
      </c>
      <c r="F425" s="2" t="s">
        <v>52</v>
      </c>
    </row>
    <row r="426" ht="22.5" customHeight="1">
      <c r="A426" s="5" t="s">
        <v>567</v>
      </c>
      <c r="B426" s="2" t="s">
        <v>24</v>
      </c>
      <c r="C426" s="45" t="str">
        <f t="shared" si="1"/>
        <v>Hameer_4</v>
      </c>
      <c r="D426" s="12" t="s">
        <v>571</v>
      </c>
      <c r="E426" s="2" t="s">
        <v>25</v>
      </c>
      <c r="F426" s="2" t="s">
        <v>301</v>
      </c>
    </row>
    <row r="427" ht="22.5" customHeight="1">
      <c r="A427" s="5" t="s">
        <v>567</v>
      </c>
      <c r="B427" s="2" t="s">
        <v>24</v>
      </c>
      <c r="C427" s="45" t="str">
        <f t="shared" si="1"/>
        <v>Hameer_5</v>
      </c>
      <c r="D427" s="12" t="s">
        <v>572</v>
      </c>
      <c r="E427" s="2" t="s">
        <v>25</v>
      </c>
      <c r="F427" s="2" t="s">
        <v>573</v>
      </c>
    </row>
    <row r="428" ht="22.5" customHeight="1">
      <c r="A428" s="5" t="s">
        <v>567</v>
      </c>
      <c r="B428" s="2" t="s">
        <v>127</v>
      </c>
      <c r="C428" s="45" t="str">
        <f t="shared" si="1"/>
        <v>Hameer_6</v>
      </c>
      <c r="D428" s="12" t="s">
        <v>574</v>
      </c>
      <c r="E428" s="2" t="s">
        <v>25</v>
      </c>
      <c r="F428" s="8" t="s">
        <v>575</v>
      </c>
    </row>
    <row r="429" ht="22.5" customHeight="1">
      <c r="A429" s="5" t="s">
        <v>567</v>
      </c>
      <c r="B429" s="2" t="s">
        <v>32</v>
      </c>
      <c r="C429" s="45" t="str">
        <f t="shared" si="1"/>
        <v>Hameer_7</v>
      </c>
      <c r="D429" s="12" t="s">
        <v>576</v>
      </c>
      <c r="E429" s="2" t="s">
        <v>25</v>
      </c>
      <c r="F429" s="2" t="s">
        <v>577</v>
      </c>
    </row>
    <row r="430" ht="22.5" customHeight="1">
      <c r="A430" s="5" t="s">
        <v>567</v>
      </c>
      <c r="B430" s="2" t="s">
        <v>32</v>
      </c>
      <c r="C430" s="45" t="str">
        <f t="shared" si="1"/>
        <v>Hameer_8</v>
      </c>
      <c r="D430" s="12" t="s">
        <v>578</v>
      </c>
      <c r="E430" s="2" t="s">
        <v>25</v>
      </c>
      <c r="F430" s="2" t="s">
        <v>579</v>
      </c>
    </row>
    <row r="431" ht="22.5" customHeight="1">
      <c r="A431" s="5" t="s">
        <v>567</v>
      </c>
      <c r="B431" s="2" t="s">
        <v>43</v>
      </c>
      <c r="C431" s="45" t="str">
        <f t="shared" si="1"/>
        <v>Hameer_9</v>
      </c>
      <c r="D431" s="12" t="s">
        <v>580</v>
      </c>
      <c r="E431" s="2" t="s">
        <v>25</v>
      </c>
      <c r="F431" s="2" t="s">
        <v>83</v>
      </c>
    </row>
    <row r="432" ht="22.5" customHeight="1">
      <c r="A432" s="5" t="s">
        <v>567</v>
      </c>
      <c r="B432" s="2" t="s">
        <v>24</v>
      </c>
      <c r="C432" s="18" t="str">
        <f t="shared" si="1"/>
        <v>Hameer_10</v>
      </c>
      <c r="D432" s="15" t="s">
        <v>581</v>
      </c>
      <c r="E432" s="2" t="s">
        <v>25</v>
      </c>
      <c r="F432" s="2" t="s">
        <v>37</v>
      </c>
    </row>
    <row r="433" ht="22.5" customHeight="1">
      <c r="A433" s="5" t="s">
        <v>582</v>
      </c>
      <c r="B433" s="2"/>
      <c r="C433" s="18" t="str">
        <f t="shared" si="1"/>
        <v>Hansadhwani_1</v>
      </c>
      <c r="E433" s="8" t="s">
        <v>25</v>
      </c>
      <c r="F433" s="8" t="s">
        <v>69</v>
      </c>
      <c r="H433" s="2"/>
      <c r="I433" s="2" t="s">
        <v>27</v>
      </c>
    </row>
    <row r="434" ht="22.5" customHeight="1">
      <c r="A434" s="5" t="s">
        <v>582</v>
      </c>
      <c r="B434" s="2"/>
      <c r="C434" s="18" t="str">
        <f t="shared" si="1"/>
        <v>Hansadhwani_2</v>
      </c>
      <c r="E434" s="8" t="s">
        <v>25</v>
      </c>
      <c r="F434" s="8" t="s">
        <v>64</v>
      </c>
      <c r="H434" s="2"/>
      <c r="I434" s="2" t="s">
        <v>27</v>
      </c>
    </row>
    <row r="435" ht="22.5" customHeight="1">
      <c r="A435" s="5" t="s">
        <v>582</v>
      </c>
      <c r="B435" s="2"/>
      <c r="C435" s="18" t="str">
        <f t="shared" si="1"/>
        <v>Hansadhwani_3</v>
      </c>
      <c r="E435" s="8" t="s">
        <v>25</v>
      </c>
      <c r="F435" s="8" t="s">
        <v>64</v>
      </c>
      <c r="H435" s="2"/>
      <c r="I435" s="2" t="s">
        <v>27</v>
      </c>
    </row>
    <row r="436" ht="22.5" customHeight="1">
      <c r="A436" s="5" t="s">
        <v>582</v>
      </c>
      <c r="B436" s="2"/>
      <c r="C436" s="18" t="str">
        <f t="shared" si="1"/>
        <v>Hansadhwani_4</v>
      </c>
      <c r="E436" s="8" t="s">
        <v>25</v>
      </c>
      <c r="F436" s="8" t="s">
        <v>64</v>
      </c>
      <c r="H436" s="2"/>
      <c r="I436" s="2" t="s">
        <v>27</v>
      </c>
    </row>
    <row r="437" ht="22.5" customHeight="1">
      <c r="A437" s="5" t="s">
        <v>582</v>
      </c>
      <c r="B437" s="2"/>
      <c r="C437" s="18" t="str">
        <f t="shared" si="1"/>
        <v>Hansadhwani_5</v>
      </c>
      <c r="E437" s="8" t="s">
        <v>25</v>
      </c>
      <c r="F437" s="8" t="s">
        <v>56</v>
      </c>
      <c r="H437" s="2"/>
      <c r="I437" s="2" t="s">
        <v>27</v>
      </c>
    </row>
    <row r="438" ht="22.5" customHeight="1">
      <c r="A438" s="5" t="s">
        <v>582</v>
      </c>
      <c r="B438" s="2"/>
      <c r="C438" s="18" t="str">
        <f t="shared" si="1"/>
        <v>Hansadhwani_6</v>
      </c>
      <c r="E438" s="8" t="s">
        <v>25</v>
      </c>
      <c r="F438" s="8" t="s">
        <v>94</v>
      </c>
      <c r="H438" s="2"/>
      <c r="I438" s="2" t="s">
        <v>27</v>
      </c>
    </row>
    <row r="439" ht="22.5" customHeight="1">
      <c r="A439" s="5" t="s">
        <v>582</v>
      </c>
      <c r="B439" s="2"/>
      <c r="C439" s="18" t="str">
        <f t="shared" si="1"/>
        <v>Hansadhwani_7</v>
      </c>
      <c r="E439" s="8" t="s">
        <v>25</v>
      </c>
      <c r="F439" s="8" t="s">
        <v>94</v>
      </c>
      <c r="H439" s="2"/>
      <c r="I439" s="2" t="s">
        <v>27</v>
      </c>
    </row>
    <row r="440" ht="22.5" customHeight="1">
      <c r="A440" s="5" t="s">
        <v>582</v>
      </c>
      <c r="B440" s="2"/>
      <c r="C440" s="18" t="str">
        <f t="shared" si="1"/>
        <v>Hansadhwani_8</v>
      </c>
      <c r="E440" s="8" t="s">
        <v>25</v>
      </c>
      <c r="F440" s="8" t="s">
        <v>94</v>
      </c>
      <c r="H440" s="2"/>
      <c r="I440" s="2" t="s">
        <v>27</v>
      </c>
    </row>
    <row r="441" ht="22.5" customHeight="1">
      <c r="A441" s="5" t="s">
        <v>582</v>
      </c>
      <c r="B441" s="2"/>
      <c r="C441" s="18" t="str">
        <f t="shared" si="1"/>
        <v>Hansadhwani_9</v>
      </c>
      <c r="E441" s="8" t="s">
        <v>25</v>
      </c>
      <c r="F441" s="8" t="s">
        <v>94</v>
      </c>
      <c r="H441" s="2"/>
      <c r="I441" s="2" t="s">
        <v>27</v>
      </c>
    </row>
    <row r="442" ht="22.5" customHeight="1">
      <c r="A442" s="5" t="s">
        <v>582</v>
      </c>
      <c r="B442" s="2"/>
      <c r="C442" s="18" t="str">
        <f t="shared" si="1"/>
        <v>Hansadhwani_10</v>
      </c>
      <c r="E442" s="8" t="s">
        <v>25</v>
      </c>
      <c r="F442" s="8" t="s">
        <v>583</v>
      </c>
      <c r="H442" s="2"/>
      <c r="I442" s="2" t="s">
        <v>27</v>
      </c>
    </row>
    <row r="443" ht="22.5" customHeight="1">
      <c r="A443" s="5" t="s">
        <v>584</v>
      </c>
      <c r="B443" s="2" t="s">
        <v>32</v>
      </c>
      <c r="C443" s="45" t="str">
        <f t="shared" si="1"/>
        <v>Hanskinki_1</v>
      </c>
      <c r="D443" s="12" t="s">
        <v>585</v>
      </c>
      <c r="E443" s="2" t="s">
        <v>25</v>
      </c>
      <c r="F443" s="2" t="s">
        <v>586</v>
      </c>
    </row>
    <row r="444" ht="22.5" customHeight="1">
      <c r="A444" s="5" t="s">
        <v>584</v>
      </c>
      <c r="B444" s="2" t="s">
        <v>29</v>
      </c>
      <c r="C444" s="45" t="str">
        <f t="shared" si="1"/>
        <v>Hanskinki_2</v>
      </c>
      <c r="D444" s="12" t="s">
        <v>587</v>
      </c>
      <c r="E444" s="2" t="s">
        <v>25</v>
      </c>
      <c r="F444" s="2" t="s">
        <v>75</v>
      </c>
    </row>
    <row r="445" ht="22.5" customHeight="1">
      <c r="A445" s="5" t="s">
        <v>584</v>
      </c>
      <c r="B445" s="2" t="s">
        <v>89</v>
      </c>
      <c r="C445" s="45" t="str">
        <f t="shared" si="1"/>
        <v>Hanskinki_3</v>
      </c>
      <c r="D445" s="12" t="s">
        <v>588</v>
      </c>
      <c r="E445" s="2" t="s">
        <v>25</v>
      </c>
      <c r="F445" s="2" t="s">
        <v>248</v>
      </c>
    </row>
    <row r="446" ht="22.5" customHeight="1">
      <c r="A446" s="5" t="s">
        <v>584</v>
      </c>
      <c r="B446" s="2" t="s">
        <v>32</v>
      </c>
      <c r="C446" s="45" t="str">
        <f t="shared" si="1"/>
        <v>Hanskinki_4</v>
      </c>
      <c r="D446" s="12" t="s">
        <v>589</v>
      </c>
      <c r="E446" s="2" t="s">
        <v>25</v>
      </c>
      <c r="F446" s="2" t="s">
        <v>301</v>
      </c>
    </row>
    <row r="447" ht="22.5" customHeight="1">
      <c r="A447" s="5" t="s">
        <v>584</v>
      </c>
      <c r="B447" s="2" t="s">
        <v>62</v>
      </c>
      <c r="C447" s="45" t="str">
        <f t="shared" si="1"/>
        <v>Hanskinki_5</v>
      </c>
      <c r="D447" s="12" t="s">
        <v>590</v>
      </c>
      <c r="E447" s="2" t="s">
        <v>25</v>
      </c>
      <c r="F447" s="2" t="s">
        <v>153</v>
      </c>
      <c r="H447" s="2"/>
      <c r="I447" s="2" t="s">
        <v>154</v>
      </c>
    </row>
    <row r="448" ht="22.5" customHeight="1">
      <c r="A448" s="5" t="s">
        <v>584</v>
      </c>
      <c r="B448" s="2" t="s">
        <v>32</v>
      </c>
      <c r="C448" s="45" t="str">
        <f t="shared" si="1"/>
        <v>Hanskinki_6</v>
      </c>
      <c r="D448" s="12" t="s">
        <v>591</v>
      </c>
      <c r="E448" s="2" t="s">
        <v>565</v>
      </c>
      <c r="F448" s="2" t="s">
        <v>178</v>
      </c>
    </row>
    <row r="449" ht="22.5" customHeight="1">
      <c r="A449" s="5" t="s">
        <v>584</v>
      </c>
      <c r="B449" s="2" t="s">
        <v>28</v>
      </c>
      <c r="C449" s="45" t="str">
        <f t="shared" si="1"/>
        <v>Hanskinki_7</v>
      </c>
      <c r="D449" s="12" t="s">
        <v>592</v>
      </c>
      <c r="E449" s="2" t="s">
        <v>25</v>
      </c>
      <c r="F449" s="2" t="s">
        <v>112</v>
      </c>
    </row>
    <row r="450" ht="22.5" customHeight="1">
      <c r="A450" s="5" t="s">
        <v>584</v>
      </c>
      <c r="B450" s="2" t="s">
        <v>36</v>
      </c>
      <c r="C450" s="18" t="str">
        <f t="shared" si="1"/>
        <v>Hanskinki_8</v>
      </c>
      <c r="D450" s="15" t="s">
        <v>593</v>
      </c>
      <c r="E450" s="2" t="s">
        <v>25</v>
      </c>
      <c r="F450" s="2" t="s">
        <v>594</v>
      </c>
    </row>
    <row r="451" ht="22.5" customHeight="1">
      <c r="A451" s="5" t="s">
        <v>595</v>
      </c>
      <c r="B451" s="2" t="s">
        <v>43</v>
      </c>
      <c r="C451" s="45" t="str">
        <f t="shared" si="1"/>
        <v>Hari Kauns_1</v>
      </c>
      <c r="D451" s="12" t="s">
        <v>596</v>
      </c>
      <c r="E451" s="2" t="s">
        <v>25</v>
      </c>
      <c r="F451" s="2" t="s">
        <v>69</v>
      </c>
    </row>
    <row r="452" ht="22.5" customHeight="1">
      <c r="A452" s="5" t="s">
        <v>595</v>
      </c>
      <c r="B452" s="2" t="s">
        <v>32</v>
      </c>
      <c r="C452" s="45" t="str">
        <f t="shared" si="1"/>
        <v>Hari Kauns_2</v>
      </c>
      <c r="D452" s="12" t="s">
        <v>597</v>
      </c>
      <c r="E452" s="2" t="s">
        <v>25</v>
      </c>
      <c r="F452" s="2" t="s">
        <v>598</v>
      </c>
    </row>
    <row r="453" ht="22.5" customHeight="1">
      <c r="A453" s="5" t="s">
        <v>595</v>
      </c>
      <c r="B453" s="2" t="s">
        <v>36</v>
      </c>
      <c r="C453" s="45" t="str">
        <f t="shared" si="1"/>
        <v>Hari Kauns_3</v>
      </c>
      <c r="D453" s="12" t="s">
        <v>599</v>
      </c>
      <c r="E453" s="2" t="s">
        <v>162</v>
      </c>
      <c r="F453" s="2" t="s">
        <v>271</v>
      </c>
    </row>
    <row r="454" ht="22.5" customHeight="1">
      <c r="A454" s="5" t="s">
        <v>595</v>
      </c>
      <c r="B454" s="2" t="s">
        <v>24</v>
      </c>
      <c r="C454" s="45" t="str">
        <f t="shared" si="1"/>
        <v>Hari Kauns_4</v>
      </c>
      <c r="D454" s="12" t="s">
        <v>600</v>
      </c>
      <c r="E454" s="2" t="s">
        <v>601</v>
      </c>
      <c r="F454" s="2" t="s">
        <v>602</v>
      </c>
    </row>
    <row r="455" ht="22.5" customHeight="1">
      <c r="A455" s="5" t="s">
        <v>595</v>
      </c>
      <c r="B455" s="2" t="s">
        <v>43</v>
      </c>
      <c r="C455" s="45" t="str">
        <f t="shared" si="1"/>
        <v>Hari Kauns_5</v>
      </c>
      <c r="D455" s="12" t="s">
        <v>603</v>
      </c>
      <c r="E455" s="2" t="s">
        <v>25</v>
      </c>
      <c r="F455" s="2" t="s">
        <v>604</v>
      </c>
    </row>
    <row r="456" ht="22.5" customHeight="1">
      <c r="A456" s="5" t="s">
        <v>595</v>
      </c>
      <c r="B456" s="2" t="s">
        <v>32</v>
      </c>
      <c r="C456" s="45" t="str">
        <f t="shared" si="1"/>
        <v>Hari Kauns_6</v>
      </c>
      <c r="D456" s="12" t="s">
        <v>605</v>
      </c>
      <c r="E456" s="2" t="s">
        <v>25</v>
      </c>
      <c r="F456" s="2" t="s">
        <v>606</v>
      </c>
    </row>
    <row r="457" ht="22.5" customHeight="1">
      <c r="A457" s="5" t="s">
        <v>607</v>
      </c>
      <c r="B457" s="2" t="s">
        <v>24</v>
      </c>
      <c r="C457" s="45" t="str">
        <f t="shared" si="1"/>
        <v>Hem Bihag_1</v>
      </c>
      <c r="D457" s="12" t="s">
        <v>608</v>
      </c>
      <c r="E457" s="2" t="s">
        <v>25</v>
      </c>
      <c r="F457" s="2" t="s">
        <v>515</v>
      </c>
    </row>
    <row r="458" ht="22.5" customHeight="1">
      <c r="A458" s="5" t="s">
        <v>607</v>
      </c>
      <c r="B458" s="2" t="s">
        <v>43</v>
      </c>
      <c r="C458" s="46" t="str">
        <f t="shared" si="1"/>
        <v>Hem Bihag_2</v>
      </c>
      <c r="D458" s="13" t="s">
        <v>609</v>
      </c>
      <c r="E458" s="2" t="s">
        <v>91</v>
      </c>
      <c r="F458" s="2" t="s">
        <v>610</v>
      </c>
    </row>
    <row r="459" ht="22.5" customHeight="1">
      <c r="A459" s="5" t="s">
        <v>607</v>
      </c>
      <c r="B459" s="2" t="s">
        <v>24</v>
      </c>
      <c r="C459" s="45" t="str">
        <f t="shared" si="1"/>
        <v>Hem Bihag_3</v>
      </c>
      <c r="D459" s="12" t="s">
        <v>611</v>
      </c>
      <c r="E459" s="2" t="s">
        <v>114</v>
      </c>
      <c r="F459" s="2" t="s">
        <v>612</v>
      </c>
    </row>
    <row r="460" ht="22.5" customHeight="1">
      <c r="A460" s="5" t="s">
        <v>607</v>
      </c>
      <c r="B460" s="2" t="s">
        <v>24</v>
      </c>
      <c r="C460" s="45" t="str">
        <f t="shared" si="1"/>
        <v>Hem Bihag_4</v>
      </c>
      <c r="D460" s="12" t="s">
        <v>613</v>
      </c>
      <c r="E460" s="2" t="s">
        <v>162</v>
      </c>
      <c r="F460" s="2" t="s">
        <v>337</v>
      </c>
    </row>
    <row r="461" ht="22.5" customHeight="1">
      <c r="A461" s="5" t="s">
        <v>607</v>
      </c>
      <c r="B461" s="2" t="s">
        <v>2395</v>
      </c>
      <c r="C461" s="45" t="str">
        <f t="shared" si="1"/>
        <v>Hem Bihag_5</v>
      </c>
      <c r="D461" s="12" t="s">
        <v>614</v>
      </c>
      <c r="E461" s="2" t="s">
        <v>91</v>
      </c>
      <c r="F461" s="2" t="s">
        <v>92</v>
      </c>
    </row>
    <row r="462" ht="22.5" customHeight="1">
      <c r="A462" s="5" t="s">
        <v>615</v>
      </c>
      <c r="B462" s="2" t="s">
        <v>29</v>
      </c>
      <c r="C462" s="45" t="str">
        <f t="shared" si="1"/>
        <v>Hemant_1</v>
      </c>
      <c r="D462" s="12" t="s">
        <v>616</v>
      </c>
      <c r="E462" s="2" t="s">
        <v>25</v>
      </c>
      <c r="F462" s="2" t="s">
        <v>617</v>
      </c>
    </row>
    <row r="463" ht="22.5" customHeight="1">
      <c r="A463" s="5" t="s">
        <v>615</v>
      </c>
      <c r="B463" s="2" t="s">
        <v>38</v>
      </c>
      <c r="C463" s="45" t="str">
        <f t="shared" si="1"/>
        <v>Hemant_2</v>
      </c>
      <c r="D463" s="12" t="s">
        <v>618</v>
      </c>
      <c r="E463" s="2" t="s">
        <v>25</v>
      </c>
      <c r="F463" s="2" t="s">
        <v>412</v>
      </c>
    </row>
    <row r="464" ht="22.5" customHeight="1">
      <c r="A464" s="5" t="s">
        <v>615</v>
      </c>
      <c r="B464" s="2" t="s">
        <v>62</v>
      </c>
      <c r="C464" s="45" t="str">
        <f t="shared" si="1"/>
        <v>Hemant_3</v>
      </c>
      <c r="D464" s="12" t="s">
        <v>619</v>
      </c>
      <c r="E464" s="2" t="s">
        <v>25</v>
      </c>
      <c r="F464" s="2" t="s">
        <v>64</v>
      </c>
    </row>
    <row r="465" ht="22.5" customHeight="1">
      <c r="A465" s="5" t="s">
        <v>615</v>
      </c>
      <c r="B465" s="21" t="s">
        <v>28</v>
      </c>
      <c r="C465" s="45" t="str">
        <f t="shared" si="1"/>
        <v>Hemant_4</v>
      </c>
      <c r="D465" s="12" t="s">
        <v>620</v>
      </c>
      <c r="E465" s="2" t="s">
        <v>25</v>
      </c>
      <c r="F465" s="2" t="s">
        <v>134</v>
      </c>
    </row>
    <row r="466" ht="22.5" customHeight="1">
      <c r="A466" s="5" t="s">
        <v>615</v>
      </c>
      <c r="B466" s="2" t="s">
        <v>28</v>
      </c>
      <c r="C466" s="45" t="str">
        <f t="shared" si="1"/>
        <v>Hemant_5</v>
      </c>
      <c r="D466" s="12" t="s">
        <v>621</v>
      </c>
      <c r="E466" s="2" t="s">
        <v>91</v>
      </c>
      <c r="F466" s="2" t="s">
        <v>622</v>
      </c>
    </row>
    <row r="467" ht="22.5" customHeight="1">
      <c r="A467" s="5" t="s">
        <v>615</v>
      </c>
      <c r="B467" s="2" t="s">
        <v>38</v>
      </c>
      <c r="C467" s="45" t="str">
        <f t="shared" si="1"/>
        <v>Hemant_6</v>
      </c>
      <c r="D467" s="12" t="s">
        <v>623</v>
      </c>
      <c r="E467" s="2" t="s">
        <v>25</v>
      </c>
      <c r="F467" s="2" t="s">
        <v>412</v>
      </c>
    </row>
    <row r="468" ht="22.5" customHeight="1">
      <c r="A468" s="5" t="s">
        <v>615</v>
      </c>
      <c r="B468" s="2" t="s">
        <v>32</v>
      </c>
      <c r="C468" s="46" t="str">
        <f t="shared" si="1"/>
        <v>Hemant_7</v>
      </c>
      <c r="D468" s="13" t="s">
        <v>624</v>
      </c>
      <c r="E468" s="2" t="s">
        <v>25</v>
      </c>
      <c r="F468" s="2" t="s">
        <v>222</v>
      </c>
    </row>
    <row r="469" ht="22.5" customHeight="1">
      <c r="A469" s="5" t="s">
        <v>615</v>
      </c>
      <c r="B469" s="2" t="s">
        <v>38</v>
      </c>
      <c r="C469" s="18" t="str">
        <f t="shared" si="1"/>
        <v>Hemant_8</v>
      </c>
      <c r="D469" s="15" t="s">
        <v>625</v>
      </c>
      <c r="E469" s="2" t="s">
        <v>25</v>
      </c>
      <c r="F469" s="2" t="s">
        <v>157</v>
      </c>
    </row>
    <row r="470" ht="22.5" customHeight="1">
      <c r="A470" s="5" t="s">
        <v>615</v>
      </c>
      <c r="B470" s="2" t="s">
        <v>43</v>
      </c>
      <c r="C470" s="45" t="str">
        <f t="shared" si="1"/>
        <v>Hemant_9</v>
      </c>
      <c r="D470" s="12" t="s">
        <v>626</v>
      </c>
      <c r="E470" s="2" t="s">
        <v>25</v>
      </c>
      <c r="F470" s="2" t="s">
        <v>233</v>
      </c>
    </row>
    <row r="471" ht="22.5" customHeight="1">
      <c r="A471" s="5" t="s">
        <v>615</v>
      </c>
      <c r="B471" s="2" t="s">
        <v>28</v>
      </c>
      <c r="C471" s="45" t="str">
        <f t="shared" si="1"/>
        <v>Hemant_10</v>
      </c>
      <c r="D471" s="12" t="s">
        <v>627</v>
      </c>
      <c r="E471" s="2" t="s">
        <v>167</v>
      </c>
      <c r="F471" s="2" t="s">
        <v>628</v>
      </c>
    </row>
    <row r="472" ht="22.5" customHeight="1">
      <c r="A472" s="5" t="s">
        <v>629</v>
      </c>
      <c r="B472" s="2" t="s">
        <v>24</v>
      </c>
      <c r="C472" s="45" t="str">
        <f t="shared" si="1"/>
        <v>Hemshri_1</v>
      </c>
      <c r="D472" s="12" t="s">
        <v>630</v>
      </c>
      <c r="E472" s="2" t="s">
        <v>25</v>
      </c>
      <c r="F472" s="2" t="s">
        <v>631</v>
      </c>
    </row>
    <row r="473" ht="22.5" customHeight="1">
      <c r="A473" s="5" t="s">
        <v>629</v>
      </c>
      <c r="B473" s="2" t="s">
        <v>24</v>
      </c>
      <c r="C473" s="45" t="str">
        <f t="shared" si="1"/>
        <v>Hemshri_2</v>
      </c>
      <c r="D473" s="12" t="s">
        <v>632</v>
      </c>
      <c r="E473" s="2" t="s">
        <v>25</v>
      </c>
      <c r="F473" s="2" t="s">
        <v>633</v>
      </c>
    </row>
    <row r="474" ht="22.5" customHeight="1">
      <c r="A474" s="5" t="s">
        <v>629</v>
      </c>
      <c r="B474" s="2" t="s">
        <v>24</v>
      </c>
      <c r="C474" s="45" t="str">
        <f t="shared" si="1"/>
        <v>Hemshri_3</v>
      </c>
      <c r="D474" s="12" t="s">
        <v>634</v>
      </c>
      <c r="E474" s="2" t="s">
        <v>25</v>
      </c>
      <c r="F474" s="2" t="s">
        <v>631</v>
      </c>
    </row>
    <row r="475" ht="22.5" customHeight="1">
      <c r="A475" s="5" t="s">
        <v>635</v>
      </c>
      <c r="B475" s="2" t="s">
        <v>32</v>
      </c>
      <c r="C475" s="45" t="str">
        <f t="shared" si="1"/>
        <v>Hindol_1</v>
      </c>
      <c r="D475" s="12" t="s">
        <v>636</v>
      </c>
      <c r="E475" s="2" t="s">
        <v>25</v>
      </c>
      <c r="F475" s="2" t="s">
        <v>34</v>
      </c>
    </row>
    <row r="476" ht="22.5" customHeight="1">
      <c r="A476" s="5" t="s">
        <v>635</v>
      </c>
      <c r="B476" s="2" t="s">
        <v>24</v>
      </c>
      <c r="C476" s="45" t="str">
        <f t="shared" si="1"/>
        <v>Hindol_2</v>
      </c>
      <c r="D476" s="12" t="s">
        <v>637</v>
      </c>
      <c r="E476" s="2" t="s">
        <v>25</v>
      </c>
      <c r="F476" s="2" t="s">
        <v>50</v>
      </c>
    </row>
    <row r="477" ht="22.5" customHeight="1">
      <c r="A477" s="5" t="s">
        <v>635</v>
      </c>
      <c r="B477" s="2" t="s">
        <v>62</v>
      </c>
      <c r="C477" s="45" t="str">
        <f t="shared" si="1"/>
        <v>Hindol_3</v>
      </c>
      <c r="D477" s="12" t="s">
        <v>638</v>
      </c>
      <c r="E477" s="2" t="s">
        <v>25</v>
      </c>
      <c r="F477" s="2" t="s">
        <v>64</v>
      </c>
    </row>
    <row r="478" ht="22.5" customHeight="1">
      <c r="A478" s="5" t="s">
        <v>635</v>
      </c>
      <c r="B478" s="2" t="s">
        <v>38</v>
      </c>
      <c r="C478" s="45" t="str">
        <f t="shared" si="1"/>
        <v>Hindol_4</v>
      </c>
      <c r="D478" s="12" t="s">
        <v>639</v>
      </c>
      <c r="E478" s="2" t="s">
        <v>25</v>
      </c>
      <c r="F478" s="2" t="s">
        <v>75</v>
      </c>
    </row>
    <row r="479" ht="22.5" customHeight="1">
      <c r="A479" s="5" t="s">
        <v>635</v>
      </c>
      <c r="B479" s="2" t="s">
        <v>127</v>
      </c>
      <c r="C479" s="45" t="str">
        <f t="shared" si="1"/>
        <v>Hindol_5</v>
      </c>
      <c r="D479" s="12" t="s">
        <v>640</v>
      </c>
      <c r="E479" s="2" t="s">
        <v>25</v>
      </c>
      <c r="F479" s="2" t="s">
        <v>198</v>
      </c>
    </row>
    <row r="480" ht="22.5" customHeight="1">
      <c r="A480" s="5" t="s">
        <v>635</v>
      </c>
      <c r="B480" s="2" t="s">
        <v>28</v>
      </c>
      <c r="C480" s="45" t="str">
        <f t="shared" si="1"/>
        <v>Hindol_6</v>
      </c>
      <c r="D480" s="12" t="s">
        <v>641</v>
      </c>
      <c r="E480" s="2" t="s">
        <v>91</v>
      </c>
      <c r="F480" s="2" t="s">
        <v>622</v>
      </c>
    </row>
    <row r="481" ht="22.5" customHeight="1">
      <c r="A481" s="5" t="s">
        <v>635</v>
      </c>
      <c r="B481" s="2" t="s">
        <v>58</v>
      </c>
      <c r="C481" s="45" t="str">
        <f t="shared" si="1"/>
        <v>Hindol_7</v>
      </c>
      <c r="D481" s="12" t="s">
        <v>642</v>
      </c>
      <c r="E481" s="2" t="s">
        <v>25</v>
      </c>
      <c r="F481" s="2" t="s">
        <v>68</v>
      </c>
    </row>
    <row r="482" ht="22.5" customHeight="1">
      <c r="A482" s="5" t="s">
        <v>635</v>
      </c>
      <c r="B482" s="2" t="s">
        <v>24</v>
      </c>
      <c r="C482" s="45" t="str">
        <f t="shared" si="1"/>
        <v>Hindol_8</v>
      </c>
      <c r="D482" s="12" t="s">
        <v>643</v>
      </c>
      <c r="E482" s="2" t="s">
        <v>25</v>
      </c>
      <c r="F482" s="2" t="s">
        <v>56</v>
      </c>
    </row>
    <row r="483" ht="22.5" customHeight="1">
      <c r="A483" s="5" t="s">
        <v>635</v>
      </c>
      <c r="B483" s="2" t="s">
        <v>32</v>
      </c>
      <c r="C483" s="45" t="str">
        <f t="shared" si="1"/>
        <v>Hindol_9</v>
      </c>
      <c r="D483" s="12" t="s">
        <v>644</v>
      </c>
      <c r="E483" s="2" t="s">
        <v>25</v>
      </c>
      <c r="F483" s="2" t="s">
        <v>34</v>
      </c>
    </row>
    <row r="484" ht="22.5" customHeight="1">
      <c r="A484" s="5" t="s">
        <v>645</v>
      </c>
      <c r="B484" s="2" t="s">
        <v>43</v>
      </c>
      <c r="C484" s="45" t="str">
        <f t="shared" si="1"/>
        <v>Jaijaiwanti_1</v>
      </c>
      <c r="D484" s="12" t="s">
        <v>646</v>
      </c>
      <c r="E484" s="2" t="s">
        <v>25</v>
      </c>
      <c r="F484" s="2" t="s">
        <v>52</v>
      </c>
    </row>
    <row r="485" ht="22.5" customHeight="1">
      <c r="A485" s="5" t="s">
        <v>645</v>
      </c>
      <c r="B485" s="2" t="s">
        <v>28</v>
      </c>
      <c r="C485" s="45" t="str">
        <f t="shared" si="1"/>
        <v>Jaijaiwanti_2</v>
      </c>
      <c r="D485" s="12" t="s">
        <v>647</v>
      </c>
      <c r="E485" s="2" t="s">
        <v>167</v>
      </c>
      <c r="F485" s="2" t="s">
        <v>168</v>
      </c>
    </row>
    <row r="486" ht="22.5" customHeight="1">
      <c r="A486" s="5" t="s">
        <v>645</v>
      </c>
      <c r="B486" s="2" t="s">
        <v>36</v>
      </c>
      <c r="C486" s="45" t="str">
        <f t="shared" si="1"/>
        <v>Jaijaiwanti_3</v>
      </c>
      <c r="D486" s="12" t="s">
        <v>648</v>
      </c>
      <c r="E486" s="2" t="s">
        <v>328</v>
      </c>
      <c r="F486" s="2" t="s">
        <v>297</v>
      </c>
    </row>
    <row r="487" ht="22.5" customHeight="1">
      <c r="A487" s="5" t="s">
        <v>645</v>
      </c>
      <c r="B487" s="2" t="s">
        <v>29</v>
      </c>
      <c r="C487" s="45" t="str">
        <f t="shared" si="1"/>
        <v>Jaijaiwanti_4</v>
      </c>
      <c r="D487" s="12" t="s">
        <v>649</v>
      </c>
      <c r="E487" s="2" t="s">
        <v>25</v>
      </c>
      <c r="F487" s="2" t="s">
        <v>142</v>
      </c>
    </row>
    <row r="488" ht="22.5" customHeight="1">
      <c r="A488" s="5" t="s">
        <v>645</v>
      </c>
      <c r="B488" s="2" t="s">
        <v>38</v>
      </c>
      <c r="C488" s="45" t="str">
        <f t="shared" si="1"/>
        <v>Jaijaiwanti_5</v>
      </c>
      <c r="D488" s="12" t="s">
        <v>650</v>
      </c>
      <c r="E488" s="2" t="s">
        <v>25</v>
      </c>
      <c r="F488" s="2" t="s">
        <v>134</v>
      </c>
    </row>
    <row r="489" ht="22.5" customHeight="1">
      <c r="A489" s="5" t="s">
        <v>645</v>
      </c>
      <c r="B489" s="2" t="s">
        <v>38</v>
      </c>
      <c r="C489" s="18" t="str">
        <f t="shared" si="1"/>
        <v>Jaijaiwanti_6</v>
      </c>
      <c r="D489" s="15" t="s">
        <v>651</v>
      </c>
      <c r="E489" s="2" t="s">
        <v>25</v>
      </c>
      <c r="F489" s="2" t="s">
        <v>157</v>
      </c>
    </row>
    <row r="490" ht="22.5" customHeight="1">
      <c r="A490" s="5" t="s">
        <v>645</v>
      </c>
      <c r="B490" s="2" t="s">
        <v>32</v>
      </c>
      <c r="C490" s="45" t="str">
        <f t="shared" si="1"/>
        <v>Jaijaiwanti_7</v>
      </c>
      <c r="D490" s="12" t="s">
        <v>652</v>
      </c>
      <c r="E490" s="2" t="s">
        <v>114</v>
      </c>
      <c r="F490" s="2" t="s">
        <v>211</v>
      </c>
    </row>
    <row r="491" ht="22.5" customHeight="1">
      <c r="A491" s="5" t="s">
        <v>645</v>
      </c>
      <c r="B491" s="2" t="s">
        <v>36</v>
      </c>
      <c r="C491" s="45" t="str">
        <f t="shared" si="1"/>
        <v>Jaijaiwanti_8</v>
      </c>
      <c r="D491" s="12" t="s">
        <v>653</v>
      </c>
      <c r="E491" s="2" t="s">
        <v>25</v>
      </c>
      <c r="F491" s="2" t="s">
        <v>56</v>
      </c>
    </row>
    <row r="492" ht="22.5" customHeight="1">
      <c r="A492" s="5" t="s">
        <v>645</v>
      </c>
      <c r="B492" s="2" t="s">
        <v>43</v>
      </c>
      <c r="C492" s="45" t="str">
        <f t="shared" si="1"/>
        <v>Jaijaiwanti_9</v>
      </c>
      <c r="D492" s="12" t="s">
        <v>654</v>
      </c>
      <c r="E492" s="2" t="s">
        <v>25</v>
      </c>
      <c r="F492" s="2" t="s">
        <v>112</v>
      </c>
    </row>
    <row r="493" ht="22.5" customHeight="1">
      <c r="A493" s="5" t="s">
        <v>645</v>
      </c>
      <c r="B493" s="2" t="s">
        <v>32</v>
      </c>
      <c r="C493" s="18" t="str">
        <f t="shared" si="1"/>
        <v>Jaijaiwanti_10</v>
      </c>
      <c r="D493" s="15" t="s">
        <v>655</v>
      </c>
      <c r="E493" s="2" t="s">
        <v>25</v>
      </c>
      <c r="F493" s="2" t="s">
        <v>37</v>
      </c>
    </row>
    <row r="494" ht="22.5" customHeight="1">
      <c r="A494" s="5" t="s">
        <v>656</v>
      </c>
      <c r="B494" s="2" t="s">
        <v>2378</v>
      </c>
      <c r="C494" s="45" t="str">
        <f t="shared" si="1"/>
        <v>Jaldhar Kedar_1</v>
      </c>
      <c r="D494" s="12" t="s">
        <v>657</v>
      </c>
      <c r="E494" s="2" t="s">
        <v>25</v>
      </c>
      <c r="F494" s="2" t="s">
        <v>239</v>
      </c>
    </row>
    <row r="495" ht="22.5" customHeight="1">
      <c r="A495" s="5" t="s">
        <v>656</v>
      </c>
      <c r="B495" s="2" t="s">
        <v>127</v>
      </c>
      <c r="C495" s="45" t="str">
        <f t="shared" si="1"/>
        <v>Jaldhar Kedar_2</v>
      </c>
      <c r="D495" s="12" t="s">
        <v>658</v>
      </c>
      <c r="E495" s="2" t="s">
        <v>25</v>
      </c>
      <c r="F495" s="2" t="s">
        <v>659</v>
      </c>
    </row>
    <row r="496" ht="22.5" customHeight="1">
      <c r="A496" s="5" t="s">
        <v>656</v>
      </c>
      <c r="B496" s="2" t="s">
        <v>127</v>
      </c>
      <c r="C496" s="45" t="str">
        <f t="shared" si="1"/>
        <v>Jaldhar Kedar_3</v>
      </c>
      <c r="D496" s="12" t="s">
        <v>660</v>
      </c>
      <c r="E496" s="2" t="s">
        <v>25</v>
      </c>
      <c r="F496" s="2" t="s">
        <v>136</v>
      </c>
    </row>
    <row r="497" ht="22.5" hidden="1" customHeight="1">
      <c r="A497" s="5" t="s">
        <v>661</v>
      </c>
      <c r="B497" s="2" t="s">
        <v>28</v>
      </c>
      <c r="C497" s="45" t="str">
        <f t="shared" si="1"/>
        <v>Jaldhar Basanti_1</v>
      </c>
      <c r="D497" s="12" t="s">
        <v>662</v>
      </c>
      <c r="E497" s="2" t="s">
        <v>25</v>
      </c>
      <c r="F497" s="2" t="s">
        <v>663</v>
      </c>
    </row>
    <row r="498" ht="22.5" customHeight="1">
      <c r="A498" s="5" t="s">
        <v>656</v>
      </c>
      <c r="B498" s="2" t="s">
        <v>24</v>
      </c>
      <c r="C498" s="45" t="str">
        <f t="shared" si="1"/>
        <v>Jaldhar Kedar_4</v>
      </c>
      <c r="D498" s="12" t="s">
        <v>664</v>
      </c>
      <c r="E498" s="2" t="s">
        <v>25</v>
      </c>
      <c r="F498" s="2" t="s">
        <v>665</v>
      </c>
    </row>
    <row r="499" ht="22.5" customHeight="1">
      <c r="A499" s="5" t="s">
        <v>656</v>
      </c>
      <c r="B499" s="2" t="s">
        <v>32</v>
      </c>
      <c r="C499" s="45" t="str">
        <f t="shared" si="1"/>
        <v>Jaldhar Kedar_5</v>
      </c>
      <c r="D499" s="12" t="s">
        <v>666</v>
      </c>
      <c r="E499" s="2" t="s">
        <v>25</v>
      </c>
      <c r="F499" s="2" t="s">
        <v>667</v>
      </c>
    </row>
    <row r="500" ht="22.5" customHeight="1">
      <c r="A500" s="5" t="s">
        <v>656</v>
      </c>
      <c r="B500" s="2" t="s">
        <v>24</v>
      </c>
      <c r="C500" s="45" t="str">
        <f t="shared" si="1"/>
        <v>Jaldhar Kedar_6</v>
      </c>
      <c r="D500" s="12" t="s">
        <v>668</v>
      </c>
      <c r="E500" s="2" t="s">
        <v>25</v>
      </c>
      <c r="F500" s="2" t="s">
        <v>669</v>
      </c>
    </row>
    <row r="501" ht="22.5" customHeight="1">
      <c r="A501" s="5" t="s">
        <v>656</v>
      </c>
      <c r="B501" s="2" t="s">
        <v>28</v>
      </c>
      <c r="C501" s="45" t="str">
        <f t="shared" si="1"/>
        <v>Jaldhar Kedar_7</v>
      </c>
      <c r="D501" s="12" t="s">
        <v>670</v>
      </c>
      <c r="E501" s="2" t="s">
        <v>25</v>
      </c>
      <c r="F501" s="2" t="s">
        <v>671</v>
      </c>
    </row>
    <row r="502" ht="22.5" customHeight="1">
      <c r="A502" s="5" t="s">
        <v>672</v>
      </c>
      <c r="B502" s="2" t="s">
        <v>43</v>
      </c>
      <c r="C502" s="45" t="str">
        <f t="shared" si="1"/>
        <v>Jaunpuri_1</v>
      </c>
      <c r="D502" s="12" t="s">
        <v>673</v>
      </c>
      <c r="E502" s="2" t="s">
        <v>25</v>
      </c>
      <c r="F502" s="2" t="s">
        <v>52</v>
      </c>
    </row>
    <row r="503" ht="22.5" customHeight="1">
      <c r="A503" s="5" t="s">
        <v>672</v>
      </c>
      <c r="B503" s="2" t="s">
        <v>38</v>
      </c>
      <c r="C503" s="45" t="str">
        <f t="shared" si="1"/>
        <v>Jaunpuri_2</v>
      </c>
      <c r="D503" s="12" t="s">
        <v>674</v>
      </c>
      <c r="E503" s="2" t="s">
        <v>25</v>
      </c>
      <c r="F503" s="2" t="s">
        <v>134</v>
      </c>
    </row>
    <row r="504" ht="22.5" customHeight="1">
      <c r="A504" s="5" t="s">
        <v>672</v>
      </c>
      <c r="B504" s="2" t="s">
        <v>24</v>
      </c>
      <c r="C504" s="45" t="str">
        <f t="shared" si="1"/>
        <v>Jaunpuri_3</v>
      </c>
      <c r="D504" s="12" t="s">
        <v>675</v>
      </c>
      <c r="E504" s="2" t="s">
        <v>25</v>
      </c>
      <c r="F504" s="2" t="s">
        <v>30</v>
      </c>
    </row>
    <row r="505" ht="22.5" customHeight="1">
      <c r="A505" s="5" t="s">
        <v>672</v>
      </c>
      <c r="B505" s="2" t="s">
        <v>38</v>
      </c>
      <c r="C505" s="45" t="str">
        <f t="shared" si="1"/>
        <v>Jaunpuri_4</v>
      </c>
      <c r="D505" s="12" t="s">
        <v>676</v>
      </c>
      <c r="E505" s="2" t="s">
        <v>25</v>
      </c>
      <c r="F505" s="2" t="s">
        <v>75</v>
      </c>
    </row>
    <row r="506" ht="22.5" customHeight="1">
      <c r="A506" s="5" t="s">
        <v>672</v>
      </c>
      <c r="B506" s="2" t="s">
        <v>32</v>
      </c>
      <c r="C506" s="45" t="str">
        <f t="shared" si="1"/>
        <v>Jaunpuri_5</v>
      </c>
      <c r="D506" s="12" t="s">
        <v>677</v>
      </c>
      <c r="E506" s="2" t="s">
        <v>25</v>
      </c>
      <c r="F506" s="2" t="s">
        <v>26</v>
      </c>
    </row>
    <row r="507" ht="22.5" customHeight="1">
      <c r="A507" s="5" t="s">
        <v>672</v>
      </c>
      <c r="B507" s="2" t="s">
        <v>43</v>
      </c>
      <c r="C507" s="45" t="str">
        <f t="shared" si="1"/>
        <v>Jaunpuri_6</v>
      </c>
      <c r="D507" s="12" t="s">
        <v>678</v>
      </c>
      <c r="E507" s="2" t="s">
        <v>25</v>
      </c>
      <c r="F507" s="2" t="s">
        <v>679</v>
      </c>
    </row>
    <row r="508" ht="22.5" customHeight="1">
      <c r="A508" s="5" t="s">
        <v>672</v>
      </c>
      <c r="B508" s="2" t="s">
        <v>32</v>
      </c>
      <c r="C508" s="45" t="str">
        <f t="shared" si="1"/>
        <v>Jaunpuri_7</v>
      </c>
      <c r="D508" s="12" t="s">
        <v>680</v>
      </c>
      <c r="E508" s="2" t="s">
        <v>565</v>
      </c>
      <c r="F508" s="2" t="s">
        <v>178</v>
      </c>
    </row>
    <row r="509" ht="22.5" customHeight="1">
      <c r="A509" s="5" t="s">
        <v>672</v>
      </c>
      <c r="B509" s="2" t="s">
        <v>127</v>
      </c>
      <c r="C509" s="45" t="str">
        <f t="shared" si="1"/>
        <v>Jaunpuri_8</v>
      </c>
      <c r="D509" s="12" t="s">
        <v>681</v>
      </c>
      <c r="E509" s="2" t="s">
        <v>25</v>
      </c>
      <c r="F509" s="2" t="s">
        <v>206</v>
      </c>
    </row>
    <row r="510" ht="22.5" customHeight="1">
      <c r="A510" s="5" t="s">
        <v>672</v>
      </c>
      <c r="B510" s="2" t="s">
        <v>28</v>
      </c>
      <c r="C510" s="45" t="str">
        <f t="shared" si="1"/>
        <v>Jaunpuri_9</v>
      </c>
      <c r="D510" s="12" t="s">
        <v>682</v>
      </c>
      <c r="E510" s="2" t="s">
        <v>25</v>
      </c>
      <c r="F510" s="2" t="s">
        <v>193</v>
      </c>
    </row>
    <row r="511" ht="22.5" customHeight="1">
      <c r="A511" s="5" t="s">
        <v>683</v>
      </c>
      <c r="B511" s="2" t="s">
        <v>67</v>
      </c>
      <c r="C511" s="45" t="str">
        <f t="shared" si="1"/>
        <v>Jayat_1</v>
      </c>
      <c r="D511" s="12" t="s">
        <v>684</v>
      </c>
      <c r="E511" s="2" t="s">
        <v>25</v>
      </c>
      <c r="F511" s="2" t="s">
        <v>671</v>
      </c>
    </row>
    <row r="512" ht="22.5" customHeight="1">
      <c r="A512" s="5" t="s">
        <v>683</v>
      </c>
      <c r="B512" s="2" t="s">
        <v>28</v>
      </c>
      <c r="C512" s="45" t="str">
        <f t="shared" si="1"/>
        <v>Jayat_2</v>
      </c>
      <c r="D512" s="12" t="s">
        <v>685</v>
      </c>
      <c r="E512" s="2" t="s">
        <v>25</v>
      </c>
      <c r="F512" s="2" t="s">
        <v>193</v>
      </c>
    </row>
    <row r="513" ht="22.5" customHeight="1">
      <c r="A513" s="5" t="s">
        <v>683</v>
      </c>
      <c r="B513" s="2" t="s">
        <v>43</v>
      </c>
      <c r="C513" s="45" t="str">
        <f t="shared" si="1"/>
        <v>Jayat_3</v>
      </c>
      <c r="D513" s="12" t="s">
        <v>686</v>
      </c>
      <c r="E513" s="2" t="s">
        <v>167</v>
      </c>
      <c r="F513" s="2" t="s">
        <v>687</v>
      </c>
    </row>
    <row r="514" ht="22.5" customHeight="1">
      <c r="A514" s="5" t="s">
        <v>683</v>
      </c>
      <c r="B514" s="2" t="s">
        <v>67</v>
      </c>
      <c r="C514" s="45" t="str">
        <f t="shared" si="1"/>
        <v>Jayat_4</v>
      </c>
      <c r="D514" s="12" t="s">
        <v>688</v>
      </c>
      <c r="E514" s="2" t="s">
        <v>25</v>
      </c>
      <c r="F514" s="2" t="s">
        <v>689</v>
      </c>
    </row>
    <row r="515" ht="22.5" customHeight="1">
      <c r="A515" s="5" t="s">
        <v>683</v>
      </c>
      <c r="B515" s="2" t="s">
        <v>28</v>
      </c>
      <c r="C515" s="45" t="str">
        <f t="shared" si="1"/>
        <v>Jayat_5</v>
      </c>
      <c r="D515" s="12" t="s">
        <v>690</v>
      </c>
      <c r="E515" s="2" t="s">
        <v>167</v>
      </c>
      <c r="F515" s="2" t="s">
        <v>168</v>
      </c>
    </row>
    <row r="516" ht="22.5" customHeight="1">
      <c r="A516" s="5" t="s">
        <v>683</v>
      </c>
      <c r="B516" s="2" t="s">
        <v>29</v>
      </c>
      <c r="C516" s="45" t="str">
        <f t="shared" si="1"/>
        <v>Jayat_6</v>
      </c>
      <c r="D516" s="12" t="s">
        <v>691</v>
      </c>
      <c r="E516" s="2" t="s">
        <v>25</v>
      </c>
      <c r="F516" s="2" t="s">
        <v>692</v>
      </c>
    </row>
    <row r="517" ht="22.5" customHeight="1">
      <c r="A517" s="5" t="s">
        <v>683</v>
      </c>
      <c r="B517" s="2" t="s">
        <v>24</v>
      </c>
      <c r="C517" s="45" t="str">
        <f t="shared" si="1"/>
        <v>Jayat_7</v>
      </c>
      <c r="D517" s="12" t="s">
        <v>693</v>
      </c>
      <c r="E517" s="2" t="s">
        <v>25</v>
      </c>
      <c r="F517" s="8" t="s">
        <v>35</v>
      </c>
    </row>
    <row r="518" ht="22.5" customHeight="1">
      <c r="A518" s="5" t="s">
        <v>694</v>
      </c>
      <c r="B518" s="2" t="s">
        <v>43</v>
      </c>
      <c r="C518" s="45" t="str">
        <f t="shared" si="1"/>
        <v>Jhinjoti_1</v>
      </c>
      <c r="D518" s="12" t="s">
        <v>695</v>
      </c>
      <c r="E518" s="2" t="s">
        <v>25</v>
      </c>
      <c r="F518" s="2" t="s">
        <v>34</v>
      </c>
    </row>
    <row r="519" ht="22.5" customHeight="1">
      <c r="A519" s="5" t="s">
        <v>694</v>
      </c>
      <c r="B519" s="2" t="s">
        <v>43</v>
      </c>
      <c r="C519" s="45" t="str">
        <f t="shared" si="1"/>
        <v>Jhinjoti_2</v>
      </c>
      <c r="D519" s="12" t="s">
        <v>696</v>
      </c>
      <c r="E519" s="2" t="s">
        <v>25</v>
      </c>
      <c r="F519" s="2" t="s">
        <v>94</v>
      </c>
    </row>
    <row r="520" ht="22.5" customHeight="1">
      <c r="A520" s="5" t="s">
        <v>694</v>
      </c>
      <c r="B520" s="2" t="s">
        <v>38</v>
      </c>
      <c r="C520" s="45" t="str">
        <f t="shared" si="1"/>
        <v>Jhinjoti_3</v>
      </c>
      <c r="D520" s="12" t="s">
        <v>697</v>
      </c>
      <c r="E520" s="2" t="s">
        <v>25</v>
      </c>
      <c r="F520" s="2" t="s">
        <v>134</v>
      </c>
    </row>
    <row r="521" ht="22.5" customHeight="1">
      <c r="A521" s="5" t="s">
        <v>694</v>
      </c>
      <c r="B521" s="2" t="s">
        <v>43</v>
      </c>
      <c r="C521" s="45" t="str">
        <f t="shared" si="1"/>
        <v>Jhinjoti_4</v>
      </c>
      <c r="D521" s="12" t="s">
        <v>698</v>
      </c>
      <c r="E521" s="2" t="s">
        <v>25</v>
      </c>
      <c r="F521" s="2" t="s">
        <v>26</v>
      </c>
    </row>
    <row r="522" ht="22.5" customHeight="1">
      <c r="A522" s="5" t="s">
        <v>694</v>
      </c>
      <c r="B522" s="2" t="s">
        <v>29</v>
      </c>
      <c r="C522" s="45" t="str">
        <f t="shared" si="1"/>
        <v>Jhinjoti_5</v>
      </c>
      <c r="D522" s="12" t="s">
        <v>699</v>
      </c>
      <c r="E522" s="2" t="s">
        <v>25</v>
      </c>
      <c r="F522" s="2" t="s">
        <v>426</v>
      </c>
    </row>
    <row r="523" ht="22.5" customHeight="1">
      <c r="A523" s="5" t="s">
        <v>694</v>
      </c>
      <c r="B523" s="2" t="s">
        <v>43</v>
      </c>
      <c r="C523" s="45" t="str">
        <f t="shared" si="1"/>
        <v>Jhinjoti_6</v>
      </c>
      <c r="D523" s="12" t="s">
        <v>700</v>
      </c>
      <c r="E523" s="2" t="s">
        <v>25</v>
      </c>
      <c r="F523" s="2" t="s">
        <v>701</v>
      </c>
    </row>
    <row r="524" ht="22.5" customHeight="1">
      <c r="A524" s="5" t="s">
        <v>694</v>
      </c>
      <c r="B524" s="2" t="s">
        <v>28</v>
      </c>
      <c r="C524" s="45" t="str">
        <f t="shared" si="1"/>
        <v>Jhinjoti_7</v>
      </c>
      <c r="D524" s="12" t="s">
        <v>702</v>
      </c>
      <c r="E524" s="2" t="s">
        <v>25</v>
      </c>
      <c r="F524" s="2" t="s">
        <v>193</v>
      </c>
    </row>
    <row r="525" ht="22.5" customHeight="1">
      <c r="A525" s="5" t="s">
        <v>694</v>
      </c>
      <c r="B525" s="2" t="s">
        <v>62</v>
      </c>
      <c r="C525" s="45" t="str">
        <f t="shared" si="1"/>
        <v>Jhinjoti_8</v>
      </c>
      <c r="D525" s="12" t="s">
        <v>703</v>
      </c>
      <c r="E525" s="2" t="s">
        <v>25</v>
      </c>
      <c r="F525" s="2" t="s">
        <v>153</v>
      </c>
      <c r="H525" s="2"/>
      <c r="I525" s="2" t="s">
        <v>154</v>
      </c>
    </row>
    <row r="526" ht="22.5" customHeight="1">
      <c r="A526" s="5" t="s">
        <v>694</v>
      </c>
      <c r="B526" s="2" t="s">
        <v>28</v>
      </c>
      <c r="C526" s="45" t="str">
        <f t="shared" si="1"/>
        <v>Jhinjoti_9</v>
      </c>
      <c r="D526" s="12" t="s">
        <v>704</v>
      </c>
      <c r="E526" s="2" t="s">
        <v>25</v>
      </c>
      <c r="F526" s="2" t="s">
        <v>705</v>
      </c>
    </row>
    <row r="527" ht="22.5" customHeight="1">
      <c r="A527" s="5" t="s">
        <v>694</v>
      </c>
      <c r="B527" s="2" t="s">
        <v>28</v>
      </c>
      <c r="C527" s="45" t="str">
        <f t="shared" si="1"/>
        <v>Jhinjoti_10</v>
      </c>
      <c r="D527" s="12" t="s">
        <v>706</v>
      </c>
      <c r="E527" s="2" t="s">
        <v>25</v>
      </c>
      <c r="F527" s="2" t="s">
        <v>707</v>
      </c>
    </row>
    <row r="528" ht="22.5" customHeight="1">
      <c r="A528" s="5" t="s">
        <v>708</v>
      </c>
      <c r="B528" s="2"/>
      <c r="C528" s="18" t="str">
        <f t="shared" si="1"/>
        <v>Jog_1</v>
      </c>
      <c r="D528" s="18"/>
      <c r="E528" s="8" t="s">
        <v>25</v>
      </c>
      <c r="F528" s="8" t="s">
        <v>69</v>
      </c>
      <c r="H528" s="2"/>
      <c r="I528" s="2" t="s">
        <v>27</v>
      </c>
    </row>
    <row r="529" ht="22.5" customHeight="1">
      <c r="A529" s="5" t="s">
        <v>708</v>
      </c>
      <c r="B529" s="2"/>
      <c r="C529" s="18" t="str">
        <f t="shared" si="1"/>
        <v>Jog_2</v>
      </c>
      <c r="D529" s="18"/>
      <c r="E529" s="8" t="s">
        <v>25</v>
      </c>
      <c r="F529" s="8" t="s">
        <v>56</v>
      </c>
      <c r="H529" s="2"/>
      <c r="I529" s="2" t="s">
        <v>27</v>
      </c>
    </row>
    <row r="530" ht="22.5" customHeight="1">
      <c r="A530" s="5" t="s">
        <v>708</v>
      </c>
      <c r="B530" s="2"/>
      <c r="C530" s="18" t="str">
        <f t="shared" si="1"/>
        <v>Jog_3</v>
      </c>
      <c r="D530" s="18"/>
      <c r="E530" s="8" t="s">
        <v>25</v>
      </c>
      <c r="F530" s="8" t="s">
        <v>56</v>
      </c>
      <c r="H530" s="2"/>
      <c r="I530" s="2" t="s">
        <v>27</v>
      </c>
    </row>
    <row r="531" ht="22.5" customHeight="1">
      <c r="A531" s="5" t="s">
        <v>708</v>
      </c>
      <c r="B531" s="2"/>
      <c r="C531" s="18" t="str">
        <f t="shared" si="1"/>
        <v>Jog_4</v>
      </c>
      <c r="D531" s="18"/>
      <c r="E531" s="8" t="s">
        <v>25</v>
      </c>
      <c r="F531" s="8" t="s">
        <v>56</v>
      </c>
      <c r="H531" s="2"/>
      <c r="I531" s="2" t="s">
        <v>27</v>
      </c>
    </row>
    <row r="532" ht="22.5" customHeight="1">
      <c r="A532" s="5" t="s">
        <v>708</v>
      </c>
      <c r="B532" s="2"/>
      <c r="C532" s="18" t="str">
        <f t="shared" si="1"/>
        <v>Jog_5</v>
      </c>
      <c r="D532" s="18"/>
      <c r="E532" s="8" t="s">
        <v>25</v>
      </c>
      <c r="F532" s="8" t="s">
        <v>123</v>
      </c>
      <c r="H532" s="2"/>
      <c r="I532" s="2" t="s">
        <v>27</v>
      </c>
    </row>
    <row r="533" ht="22.5" customHeight="1">
      <c r="A533" s="5" t="s">
        <v>708</v>
      </c>
      <c r="B533" s="2"/>
      <c r="C533" s="18" t="str">
        <f t="shared" si="1"/>
        <v>Jog_6</v>
      </c>
      <c r="D533" s="18"/>
      <c r="E533" s="8" t="s">
        <v>25</v>
      </c>
      <c r="F533" s="8" t="s">
        <v>709</v>
      </c>
      <c r="H533" s="2"/>
      <c r="I533" s="2" t="s">
        <v>27</v>
      </c>
    </row>
    <row r="534" ht="22.5" customHeight="1">
      <c r="A534" s="5" t="s">
        <v>708</v>
      </c>
      <c r="B534" s="2"/>
      <c r="C534" s="18" t="str">
        <f t="shared" si="1"/>
        <v>Jog_7</v>
      </c>
      <c r="D534" s="18"/>
      <c r="E534" s="8" t="s">
        <v>25</v>
      </c>
      <c r="F534" s="8" t="s">
        <v>710</v>
      </c>
      <c r="H534" s="2"/>
      <c r="I534" s="2" t="s">
        <v>27</v>
      </c>
    </row>
    <row r="535" ht="22.5" customHeight="1">
      <c r="A535" s="5" t="s">
        <v>708</v>
      </c>
      <c r="B535" s="2"/>
      <c r="C535" s="18" t="str">
        <f t="shared" si="1"/>
        <v>Jog_8</v>
      </c>
      <c r="D535" s="18"/>
      <c r="E535" s="8" t="s">
        <v>25</v>
      </c>
      <c r="F535" s="8" t="s">
        <v>37</v>
      </c>
      <c r="H535" s="2"/>
      <c r="I535" s="2" t="s">
        <v>27</v>
      </c>
    </row>
    <row r="536" ht="22.5" customHeight="1">
      <c r="A536" s="5" t="s">
        <v>708</v>
      </c>
      <c r="B536" s="2"/>
      <c r="C536" s="18" t="str">
        <f t="shared" si="1"/>
        <v>Jog_9</v>
      </c>
      <c r="D536" s="18"/>
      <c r="E536" s="8" t="s">
        <v>25</v>
      </c>
      <c r="F536" s="8" t="s">
        <v>380</v>
      </c>
      <c r="H536" s="2"/>
      <c r="I536" s="2" t="s">
        <v>27</v>
      </c>
    </row>
    <row r="537" ht="22.5" customHeight="1">
      <c r="A537" s="5" t="s">
        <v>708</v>
      </c>
      <c r="B537" s="2"/>
      <c r="C537" s="18" t="str">
        <f t="shared" si="1"/>
        <v>Jog_10</v>
      </c>
      <c r="D537" s="18"/>
      <c r="E537" s="8" t="s">
        <v>25</v>
      </c>
      <c r="F537" s="8" t="s">
        <v>39</v>
      </c>
      <c r="H537" s="2"/>
      <c r="I537" s="2" t="s">
        <v>27</v>
      </c>
    </row>
    <row r="538" ht="22.5" customHeight="1">
      <c r="A538" s="5" t="s">
        <v>711</v>
      </c>
      <c r="B538" s="2" t="s">
        <v>43</v>
      </c>
      <c r="C538" s="45" t="str">
        <f t="shared" si="1"/>
        <v>Jogkauns_1</v>
      </c>
      <c r="D538" s="12" t="s">
        <v>712</v>
      </c>
      <c r="E538" s="2" t="s">
        <v>25</v>
      </c>
      <c r="F538" s="2" t="s">
        <v>222</v>
      </c>
    </row>
    <row r="539" ht="22.5" customHeight="1">
      <c r="A539" s="5" t="s">
        <v>711</v>
      </c>
      <c r="B539" s="2" t="s">
        <v>43</v>
      </c>
      <c r="C539" s="45" t="str">
        <f t="shared" si="1"/>
        <v>Jogkauns_2</v>
      </c>
      <c r="D539" s="12" t="s">
        <v>713</v>
      </c>
      <c r="E539" s="2" t="s">
        <v>25</v>
      </c>
      <c r="F539" s="2" t="s">
        <v>52</v>
      </c>
    </row>
    <row r="540" ht="22.5" customHeight="1">
      <c r="A540" s="5" t="s">
        <v>711</v>
      </c>
      <c r="B540" s="2" t="s">
        <v>127</v>
      </c>
      <c r="C540" s="45" t="str">
        <f t="shared" si="1"/>
        <v>Jogkauns_3</v>
      </c>
      <c r="D540" s="12" t="s">
        <v>714</v>
      </c>
      <c r="E540" s="2" t="s">
        <v>25</v>
      </c>
      <c r="F540" s="2" t="s">
        <v>83</v>
      </c>
    </row>
    <row r="541" ht="22.5" customHeight="1">
      <c r="A541" s="5" t="s">
        <v>711</v>
      </c>
      <c r="B541" s="2" t="s">
        <v>32</v>
      </c>
      <c r="C541" s="45" t="str">
        <f t="shared" si="1"/>
        <v>Jogkauns_4</v>
      </c>
      <c r="D541" s="12" t="s">
        <v>715</v>
      </c>
      <c r="E541" s="2" t="s">
        <v>25</v>
      </c>
      <c r="F541" s="2" t="s">
        <v>34</v>
      </c>
    </row>
    <row r="542" ht="22.5" customHeight="1">
      <c r="A542" s="5" t="s">
        <v>711</v>
      </c>
      <c r="B542" s="2" t="s">
        <v>43</v>
      </c>
      <c r="C542" s="45" t="str">
        <f t="shared" si="1"/>
        <v>Jogkauns_5</v>
      </c>
      <c r="D542" s="12" t="s">
        <v>716</v>
      </c>
      <c r="E542" s="2" t="s">
        <v>25</v>
      </c>
      <c r="F542" s="2" t="s">
        <v>160</v>
      </c>
    </row>
    <row r="543" ht="22.5" customHeight="1">
      <c r="A543" s="5" t="s">
        <v>711</v>
      </c>
      <c r="B543" s="2" t="s">
        <v>29</v>
      </c>
      <c r="C543" s="45" t="str">
        <f t="shared" si="1"/>
        <v>Jogkauns_6</v>
      </c>
      <c r="D543" s="12" t="s">
        <v>717</v>
      </c>
      <c r="E543" s="2" t="s">
        <v>25</v>
      </c>
      <c r="F543" s="2" t="s">
        <v>142</v>
      </c>
    </row>
    <row r="544" ht="22.5" customHeight="1">
      <c r="A544" s="5" t="s">
        <v>711</v>
      </c>
      <c r="B544" s="2" t="s">
        <v>62</v>
      </c>
      <c r="C544" s="45" t="str">
        <f t="shared" si="1"/>
        <v>Jogkauns_7</v>
      </c>
      <c r="D544" s="12" t="s">
        <v>718</v>
      </c>
      <c r="E544" s="2" t="s">
        <v>25</v>
      </c>
      <c r="F544" s="2" t="s">
        <v>153</v>
      </c>
      <c r="H544" s="2"/>
      <c r="I544" s="2" t="s">
        <v>154</v>
      </c>
    </row>
    <row r="545" ht="22.5" customHeight="1">
      <c r="A545" s="5" t="s">
        <v>711</v>
      </c>
      <c r="B545" s="2" t="s">
        <v>43</v>
      </c>
      <c r="C545" s="45" t="str">
        <f t="shared" si="1"/>
        <v>Jogkauns_8</v>
      </c>
      <c r="D545" s="12" t="s">
        <v>719</v>
      </c>
      <c r="E545" s="2" t="s">
        <v>25</v>
      </c>
      <c r="F545" s="2" t="s">
        <v>720</v>
      </c>
    </row>
    <row r="546" ht="22.5" customHeight="1">
      <c r="A546" s="5" t="s">
        <v>711</v>
      </c>
      <c r="B546" s="2" t="s">
        <v>127</v>
      </c>
      <c r="C546" s="45" t="str">
        <f t="shared" si="1"/>
        <v>Jogkauns_9</v>
      </c>
      <c r="D546" s="12" t="s">
        <v>721</v>
      </c>
      <c r="E546" s="2" t="s">
        <v>25</v>
      </c>
      <c r="F546" s="2" t="s">
        <v>244</v>
      </c>
    </row>
    <row r="547" ht="22.5" customHeight="1">
      <c r="A547" s="5" t="s">
        <v>711</v>
      </c>
      <c r="B547" s="2" t="s">
        <v>32</v>
      </c>
      <c r="C547" s="45" t="str">
        <f t="shared" si="1"/>
        <v>Jogkauns_10</v>
      </c>
      <c r="D547" s="12" t="s">
        <v>722</v>
      </c>
      <c r="E547" s="2" t="s">
        <v>25</v>
      </c>
      <c r="F547" s="2" t="s">
        <v>379</v>
      </c>
    </row>
    <row r="548" ht="22.5" customHeight="1">
      <c r="A548" s="5" t="s">
        <v>723</v>
      </c>
      <c r="B548" s="2" t="s">
        <v>43</v>
      </c>
      <c r="C548" s="45" t="str">
        <f t="shared" si="1"/>
        <v>Kafi_1</v>
      </c>
      <c r="D548" s="12" t="s">
        <v>724</v>
      </c>
      <c r="E548" s="2" t="s">
        <v>25</v>
      </c>
      <c r="F548" s="2" t="s">
        <v>52</v>
      </c>
    </row>
    <row r="549" ht="22.5" customHeight="1">
      <c r="A549" s="5" t="s">
        <v>723</v>
      </c>
      <c r="B549" s="2" t="s">
        <v>24</v>
      </c>
      <c r="C549" s="45" t="str">
        <f t="shared" si="1"/>
        <v>Kafi_2</v>
      </c>
      <c r="D549" s="12" t="s">
        <v>725</v>
      </c>
      <c r="E549" s="2" t="s">
        <v>162</v>
      </c>
      <c r="F549" s="2" t="s">
        <v>726</v>
      </c>
    </row>
    <row r="550" ht="22.5" customHeight="1">
      <c r="A550" s="5" t="s">
        <v>723</v>
      </c>
      <c r="B550" s="2" t="s">
        <v>32</v>
      </c>
      <c r="C550" s="45" t="str">
        <f t="shared" si="1"/>
        <v>Kafi_3</v>
      </c>
      <c r="D550" s="12" t="s">
        <v>727</v>
      </c>
      <c r="E550" s="2" t="s">
        <v>236</v>
      </c>
      <c r="F550" s="2" t="s">
        <v>728</v>
      </c>
    </row>
    <row r="551" ht="22.5" customHeight="1">
      <c r="A551" s="5" t="s">
        <v>723</v>
      </c>
      <c r="B551" s="2" t="s">
        <v>28</v>
      </c>
      <c r="C551" s="45" t="str">
        <f t="shared" si="1"/>
        <v>Kafi_4</v>
      </c>
      <c r="D551" s="12" t="s">
        <v>729</v>
      </c>
      <c r="E551" s="2" t="s">
        <v>167</v>
      </c>
      <c r="F551" s="2" t="s">
        <v>168</v>
      </c>
    </row>
    <row r="552" ht="22.5" customHeight="1">
      <c r="A552" s="5" t="s">
        <v>723</v>
      </c>
      <c r="B552" s="2" t="s">
        <v>32</v>
      </c>
      <c r="C552" s="45" t="str">
        <f t="shared" si="1"/>
        <v>Kafi_5</v>
      </c>
      <c r="D552" s="12" t="s">
        <v>730</v>
      </c>
      <c r="E552" s="2" t="s">
        <v>114</v>
      </c>
      <c r="F552" s="2" t="s">
        <v>211</v>
      </c>
    </row>
    <row r="553" ht="22.5" customHeight="1">
      <c r="A553" s="5" t="s">
        <v>723</v>
      </c>
      <c r="B553" s="2" t="s">
        <v>38</v>
      </c>
      <c r="C553" s="45" t="str">
        <f t="shared" si="1"/>
        <v>Kafi_6</v>
      </c>
      <c r="D553" s="12" t="s">
        <v>731</v>
      </c>
      <c r="E553" s="2" t="s">
        <v>25</v>
      </c>
      <c r="F553" s="2" t="s">
        <v>153</v>
      </c>
      <c r="H553" s="2"/>
      <c r="I553" s="2" t="s">
        <v>154</v>
      </c>
    </row>
    <row r="554" ht="22.5" customHeight="1">
      <c r="A554" s="5" t="s">
        <v>723</v>
      </c>
      <c r="B554" s="2" t="s">
        <v>24</v>
      </c>
      <c r="C554" s="45" t="str">
        <f t="shared" si="1"/>
        <v>Kafi_7</v>
      </c>
      <c r="D554" s="12" t="s">
        <v>732</v>
      </c>
      <c r="E554" s="2" t="s">
        <v>25</v>
      </c>
      <c r="F554" s="2" t="s">
        <v>56</v>
      </c>
    </row>
    <row r="555" ht="22.5" customHeight="1">
      <c r="A555" s="5" t="s">
        <v>723</v>
      </c>
      <c r="B555" s="2" t="s">
        <v>24</v>
      </c>
      <c r="C555" s="18" t="str">
        <f t="shared" si="1"/>
        <v>Kafi_8</v>
      </c>
      <c r="D555" s="15" t="s">
        <v>733</v>
      </c>
      <c r="E555" s="2" t="s">
        <v>25</v>
      </c>
      <c r="F555" s="2" t="s">
        <v>37</v>
      </c>
    </row>
    <row r="556" ht="22.5" customHeight="1">
      <c r="A556" s="5" t="s">
        <v>723</v>
      </c>
      <c r="B556" s="2" t="s">
        <v>28</v>
      </c>
      <c r="C556" s="45" t="str">
        <f t="shared" si="1"/>
        <v>Kafi_9</v>
      </c>
      <c r="D556" s="12" t="s">
        <v>734</v>
      </c>
      <c r="E556" s="2" t="s">
        <v>25</v>
      </c>
      <c r="F556" s="2" t="s">
        <v>26</v>
      </c>
    </row>
    <row r="557" ht="22.5" customHeight="1">
      <c r="A557" s="5" t="s">
        <v>723</v>
      </c>
      <c r="B557" s="2" t="s">
        <v>43</v>
      </c>
      <c r="C557" s="45" t="str">
        <f t="shared" si="1"/>
        <v>Kafi_10</v>
      </c>
      <c r="D557" s="12" t="s">
        <v>735</v>
      </c>
      <c r="E557" s="2" t="s">
        <v>25</v>
      </c>
      <c r="F557" s="2" t="s">
        <v>83</v>
      </c>
    </row>
    <row r="558" ht="22.5" customHeight="1">
      <c r="A558" s="5" t="s">
        <v>736</v>
      </c>
      <c r="B558" s="2" t="s">
        <v>43</v>
      </c>
      <c r="C558" s="45" t="str">
        <f t="shared" si="1"/>
        <v>Kamod_1</v>
      </c>
      <c r="D558" s="12" t="s">
        <v>737</v>
      </c>
      <c r="E558" s="2" t="s">
        <v>25</v>
      </c>
      <c r="F558" s="2" t="s">
        <v>94</v>
      </c>
    </row>
    <row r="559" ht="22.5" customHeight="1">
      <c r="A559" s="5" t="s">
        <v>736</v>
      </c>
      <c r="B559" s="2" t="s">
        <v>32</v>
      </c>
      <c r="C559" s="45" t="str">
        <f t="shared" si="1"/>
        <v>Kamod_2</v>
      </c>
      <c r="D559" s="12" t="s">
        <v>738</v>
      </c>
      <c r="E559" s="2" t="s">
        <v>25</v>
      </c>
      <c r="F559" s="2" t="s">
        <v>37</v>
      </c>
    </row>
    <row r="560" ht="22.5" customHeight="1">
      <c r="A560" s="5" t="s">
        <v>736</v>
      </c>
      <c r="B560" s="2" t="s">
        <v>2386</v>
      </c>
      <c r="C560" s="45" t="str">
        <f t="shared" si="1"/>
        <v>Kamod_3</v>
      </c>
      <c r="D560" s="12" t="s">
        <v>739</v>
      </c>
      <c r="E560" s="2" t="s">
        <v>25</v>
      </c>
      <c r="F560" s="2" t="s">
        <v>233</v>
      </c>
    </row>
    <row r="561" ht="22.5" customHeight="1">
      <c r="A561" s="5" t="s">
        <v>736</v>
      </c>
      <c r="B561" s="2" t="s">
        <v>28</v>
      </c>
      <c r="C561" s="45" t="str">
        <f t="shared" si="1"/>
        <v>Kamod_4</v>
      </c>
      <c r="D561" s="12" t="s">
        <v>740</v>
      </c>
      <c r="E561" s="2" t="s">
        <v>25</v>
      </c>
      <c r="F561" s="2" t="s">
        <v>741</v>
      </c>
    </row>
    <row r="562" ht="22.5" customHeight="1">
      <c r="A562" s="5" t="s">
        <v>736</v>
      </c>
      <c r="B562" s="2" t="s">
        <v>32</v>
      </c>
      <c r="C562" s="45" t="str">
        <f t="shared" si="1"/>
        <v>Kamod_5</v>
      </c>
      <c r="D562" s="12" t="s">
        <v>742</v>
      </c>
      <c r="E562" s="2" t="s">
        <v>25</v>
      </c>
      <c r="F562" s="2" t="s">
        <v>233</v>
      </c>
    </row>
    <row r="563" ht="22.5" customHeight="1">
      <c r="A563" s="5" t="s">
        <v>736</v>
      </c>
      <c r="B563" s="2" t="s">
        <v>43</v>
      </c>
      <c r="C563" s="45" t="str">
        <f t="shared" si="1"/>
        <v>Kamod_6</v>
      </c>
      <c r="D563" s="12" t="s">
        <v>743</v>
      </c>
      <c r="E563" s="2" t="s">
        <v>25</v>
      </c>
      <c r="F563" s="2" t="s">
        <v>83</v>
      </c>
    </row>
    <row r="564" ht="22.5" customHeight="1">
      <c r="A564" s="5" t="s">
        <v>736</v>
      </c>
      <c r="B564" s="2" t="s">
        <v>28</v>
      </c>
      <c r="C564" s="45" t="str">
        <f t="shared" si="1"/>
        <v>Kamod_7</v>
      </c>
      <c r="D564" s="12" t="s">
        <v>744</v>
      </c>
      <c r="E564" s="2" t="s">
        <v>25</v>
      </c>
      <c r="F564" s="2" t="s">
        <v>34</v>
      </c>
    </row>
    <row r="565" ht="22.5" customHeight="1">
      <c r="A565" s="5" t="s">
        <v>736</v>
      </c>
      <c r="B565" s="2" t="s">
        <v>127</v>
      </c>
      <c r="C565" s="45" t="str">
        <f t="shared" si="1"/>
        <v>Kamod_8</v>
      </c>
      <c r="D565" s="12" t="s">
        <v>745</v>
      </c>
      <c r="E565" s="2" t="s">
        <v>25</v>
      </c>
      <c r="F565" s="2" t="s">
        <v>206</v>
      </c>
    </row>
    <row r="566" ht="22.5" customHeight="1">
      <c r="A566" s="5" t="s">
        <v>736</v>
      </c>
      <c r="B566" s="2" t="s">
        <v>67</v>
      </c>
      <c r="C566" s="45" t="str">
        <f t="shared" si="1"/>
        <v>Kamod_9</v>
      </c>
      <c r="D566" s="12" t="s">
        <v>746</v>
      </c>
      <c r="E566" s="2" t="s">
        <v>25</v>
      </c>
      <c r="F566" s="2" t="s">
        <v>68</v>
      </c>
    </row>
    <row r="567" ht="22.5" customHeight="1">
      <c r="A567" s="5" t="s">
        <v>736</v>
      </c>
      <c r="B567" s="2" t="s">
        <v>32</v>
      </c>
      <c r="C567" s="45" t="str">
        <f t="shared" si="1"/>
        <v>Kamod_10</v>
      </c>
      <c r="D567" s="12" t="s">
        <v>747</v>
      </c>
      <c r="E567" s="2" t="s">
        <v>25</v>
      </c>
      <c r="F567" s="2" t="s">
        <v>748</v>
      </c>
    </row>
    <row r="568" ht="22.5" customHeight="1">
      <c r="A568" s="5" t="s">
        <v>749</v>
      </c>
      <c r="B568" s="2" t="s">
        <v>32</v>
      </c>
      <c r="C568" s="45" t="str">
        <f t="shared" si="1"/>
        <v>Kaunsi Kanada_1</v>
      </c>
      <c r="D568" s="12" t="s">
        <v>750</v>
      </c>
      <c r="E568" s="2" t="s">
        <v>25</v>
      </c>
      <c r="F568" s="2" t="s">
        <v>34</v>
      </c>
      <c r="H568" s="2"/>
      <c r="I568" s="2" t="s">
        <v>42</v>
      </c>
    </row>
    <row r="569" ht="22.5" customHeight="1">
      <c r="A569" s="5" t="s">
        <v>749</v>
      </c>
      <c r="B569" s="2" t="s">
        <v>43</v>
      </c>
      <c r="C569" s="45" t="str">
        <f t="shared" si="1"/>
        <v>Kaunsi Kanada_2</v>
      </c>
      <c r="D569" s="12" t="s">
        <v>751</v>
      </c>
      <c r="E569" s="2" t="s">
        <v>25</v>
      </c>
      <c r="F569" s="2" t="s">
        <v>52</v>
      </c>
      <c r="H569" s="2"/>
      <c r="I569" s="2" t="s">
        <v>80</v>
      </c>
    </row>
    <row r="570" ht="22.5" customHeight="1">
      <c r="A570" s="5" t="s">
        <v>749</v>
      </c>
      <c r="B570" s="2" t="s">
        <v>127</v>
      </c>
      <c r="C570" s="45" t="str">
        <f t="shared" si="1"/>
        <v>Kaunsi Kanada_3</v>
      </c>
      <c r="D570" s="12" t="s">
        <v>752</v>
      </c>
      <c r="E570" s="2" t="s">
        <v>25</v>
      </c>
      <c r="F570" s="2" t="s">
        <v>248</v>
      </c>
      <c r="H570" s="2"/>
      <c r="I570" s="2" t="s">
        <v>171</v>
      </c>
    </row>
    <row r="571" ht="22.5" customHeight="1">
      <c r="A571" s="5" t="s">
        <v>749</v>
      </c>
      <c r="B571" s="2" t="s">
        <v>24</v>
      </c>
      <c r="C571" s="45" t="str">
        <f t="shared" si="1"/>
        <v>Kaunsi Kanada_4</v>
      </c>
      <c r="D571" s="12" t="s">
        <v>753</v>
      </c>
      <c r="E571" s="2" t="s">
        <v>114</v>
      </c>
      <c r="F571" s="2" t="s">
        <v>180</v>
      </c>
    </row>
    <row r="572" ht="22.5" customHeight="1">
      <c r="A572" s="5" t="s">
        <v>749</v>
      </c>
      <c r="B572" s="2" t="s">
        <v>28</v>
      </c>
      <c r="C572" s="45" t="str">
        <f t="shared" si="1"/>
        <v>Kaunsi Kanada_5</v>
      </c>
      <c r="D572" s="12" t="s">
        <v>754</v>
      </c>
      <c r="E572" s="2" t="s">
        <v>91</v>
      </c>
      <c r="F572" s="2" t="s">
        <v>755</v>
      </c>
    </row>
    <row r="573" ht="22.5" customHeight="1">
      <c r="A573" s="5" t="s">
        <v>749</v>
      </c>
      <c r="B573" s="2" t="s">
        <v>43</v>
      </c>
      <c r="C573" s="45" t="str">
        <f t="shared" si="1"/>
        <v>Kaunsi Kanada_6</v>
      </c>
      <c r="D573" s="12" t="s">
        <v>756</v>
      </c>
      <c r="E573" s="2" t="s">
        <v>25</v>
      </c>
      <c r="F573" s="2" t="s">
        <v>94</v>
      </c>
      <c r="H573" s="2"/>
      <c r="I573" s="2" t="s">
        <v>42</v>
      </c>
    </row>
    <row r="574" ht="22.5" customHeight="1">
      <c r="A574" s="5" t="s">
        <v>749</v>
      </c>
      <c r="B574" s="2" t="s">
        <v>127</v>
      </c>
      <c r="C574" s="45" t="str">
        <f t="shared" si="1"/>
        <v>Kaunsi Kanada_7</v>
      </c>
      <c r="D574" s="12" t="s">
        <v>757</v>
      </c>
      <c r="E574" s="2" t="s">
        <v>25</v>
      </c>
      <c r="F574" s="2" t="s">
        <v>575</v>
      </c>
    </row>
    <row r="575" ht="22.5" customHeight="1">
      <c r="A575" s="5" t="s">
        <v>749</v>
      </c>
      <c r="B575" s="2" t="s">
        <v>127</v>
      </c>
      <c r="C575" s="45" t="str">
        <f t="shared" si="1"/>
        <v>Kaunsi Kanada_8</v>
      </c>
      <c r="D575" s="12" t="s">
        <v>758</v>
      </c>
      <c r="E575" s="2" t="s">
        <v>313</v>
      </c>
      <c r="F575" s="2" t="s">
        <v>759</v>
      </c>
    </row>
    <row r="576" ht="22.5" customHeight="1">
      <c r="A576" s="5" t="s">
        <v>749</v>
      </c>
      <c r="B576" s="2" t="s">
        <v>24</v>
      </c>
      <c r="C576" s="45" t="str">
        <f t="shared" si="1"/>
        <v>Kaunsi Kanada_9</v>
      </c>
      <c r="D576" s="12" t="s">
        <v>760</v>
      </c>
      <c r="E576" s="2" t="s">
        <v>25</v>
      </c>
      <c r="F576" s="2" t="s">
        <v>30</v>
      </c>
    </row>
    <row r="577" ht="22.5" customHeight="1">
      <c r="A577" s="5" t="s">
        <v>749</v>
      </c>
      <c r="B577" s="2" t="s">
        <v>32</v>
      </c>
      <c r="C577" s="45" t="str">
        <f t="shared" si="1"/>
        <v>Kaunsi Kanada_10</v>
      </c>
      <c r="D577" s="12" t="s">
        <v>761</v>
      </c>
      <c r="E577" s="2" t="s">
        <v>762</v>
      </c>
      <c r="F577" s="2" t="s">
        <v>763</v>
      </c>
    </row>
    <row r="578" ht="22.5" customHeight="1">
      <c r="A578" s="5" t="s">
        <v>764</v>
      </c>
      <c r="B578" s="2" t="s">
        <v>43</v>
      </c>
      <c r="C578" s="45" t="str">
        <f t="shared" si="1"/>
        <v>Kaushik Dhwani_1</v>
      </c>
      <c r="D578" s="12" t="s">
        <v>765</v>
      </c>
      <c r="E578" s="2" t="s">
        <v>25</v>
      </c>
      <c r="F578" s="2" t="s">
        <v>34</v>
      </c>
    </row>
    <row r="579" ht="22.5" customHeight="1">
      <c r="A579" s="5" t="s">
        <v>764</v>
      </c>
      <c r="B579" s="2" t="s">
        <v>24</v>
      </c>
      <c r="C579" s="45" t="str">
        <f t="shared" si="1"/>
        <v>Kaushik Dhwani_2</v>
      </c>
      <c r="D579" s="12" t="s">
        <v>766</v>
      </c>
      <c r="E579" s="2" t="s">
        <v>25</v>
      </c>
      <c r="F579" s="2" t="s">
        <v>33</v>
      </c>
    </row>
    <row r="580" ht="22.5" customHeight="1">
      <c r="A580" s="5" t="s">
        <v>764</v>
      </c>
      <c r="B580" s="2" t="s">
        <v>38</v>
      </c>
      <c r="C580" s="18" t="str">
        <f t="shared" si="1"/>
        <v>Kaushik Dhwani_3</v>
      </c>
      <c r="D580" s="15" t="s">
        <v>767</v>
      </c>
      <c r="E580" s="2" t="s">
        <v>25</v>
      </c>
      <c r="F580" s="2" t="s">
        <v>157</v>
      </c>
    </row>
    <row r="581" ht="22.5" customHeight="1">
      <c r="A581" s="5" t="s">
        <v>764</v>
      </c>
      <c r="B581" s="2" t="s">
        <v>32</v>
      </c>
      <c r="C581" s="45" t="str">
        <f t="shared" si="1"/>
        <v>Kaushik Dhwani_4</v>
      </c>
      <c r="D581" s="12" t="s">
        <v>768</v>
      </c>
      <c r="E581" s="2" t="s">
        <v>25</v>
      </c>
      <c r="F581" s="2" t="s">
        <v>34</v>
      </c>
    </row>
    <row r="582" ht="22.5" customHeight="1">
      <c r="A582" s="5" t="s">
        <v>764</v>
      </c>
      <c r="B582" s="2" t="s">
        <v>24</v>
      </c>
      <c r="C582" s="18" t="str">
        <f t="shared" si="1"/>
        <v>Kaushik Dhwani_5</v>
      </c>
      <c r="D582" s="15" t="s">
        <v>769</v>
      </c>
      <c r="E582" s="2" t="s">
        <v>25</v>
      </c>
      <c r="F582" s="2" t="s">
        <v>37</v>
      </c>
    </row>
    <row r="583" ht="22.5" customHeight="1">
      <c r="A583" s="5" t="s">
        <v>764</v>
      </c>
      <c r="B583" s="2" t="s">
        <v>28</v>
      </c>
      <c r="C583" s="45" t="str">
        <f t="shared" si="1"/>
        <v>Kaushik Dhwani_6</v>
      </c>
      <c r="D583" s="12" t="s">
        <v>770</v>
      </c>
      <c r="E583" s="2" t="s">
        <v>167</v>
      </c>
      <c r="F583" s="2" t="s">
        <v>771</v>
      </c>
    </row>
    <row r="584" ht="22.5" customHeight="1">
      <c r="A584" s="5" t="s">
        <v>764</v>
      </c>
      <c r="B584" s="2" t="s">
        <v>32</v>
      </c>
      <c r="C584" s="45" t="str">
        <f t="shared" si="1"/>
        <v>Kaushik Dhwani_7</v>
      </c>
      <c r="D584" s="12" t="s">
        <v>772</v>
      </c>
      <c r="E584" s="2" t="s">
        <v>25</v>
      </c>
      <c r="F584" s="8" t="s">
        <v>54</v>
      </c>
    </row>
    <row r="585" ht="22.5" customHeight="1">
      <c r="A585" s="5" t="s">
        <v>764</v>
      </c>
      <c r="B585" s="2" t="s">
        <v>127</v>
      </c>
      <c r="C585" s="45" t="str">
        <f t="shared" si="1"/>
        <v>Kaushik Dhwani_8</v>
      </c>
      <c r="D585" s="12" t="s">
        <v>773</v>
      </c>
      <c r="E585" s="2" t="s">
        <v>25</v>
      </c>
      <c r="F585" s="2" t="s">
        <v>774</v>
      </c>
    </row>
    <row r="586" ht="22.5" customHeight="1">
      <c r="A586" s="5" t="s">
        <v>764</v>
      </c>
      <c r="B586" s="2" t="s">
        <v>24</v>
      </c>
      <c r="C586" s="45" t="str">
        <f t="shared" si="1"/>
        <v>Kaushik Dhwani_9</v>
      </c>
      <c r="D586" s="12" t="s">
        <v>775</v>
      </c>
      <c r="E586" s="2" t="s">
        <v>25</v>
      </c>
      <c r="F586" s="2" t="s">
        <v>233</v>
      </c>
    </row>
    <row r="587" ht="22.5" customHeight="1">
      <c r="A587" s="5" t="s">
        <v>764</v>
      </c>
      <c r="B587" s="2" t="s">
        <v>24</v>
      </c>
      <c r="C587" s="45" t="str">
        <f t="shared" si="1"/>
        <v>Kaushik Dhwani_10</v>
      </c>
      <c r="D587" s="12" t="s">
        <v>776</v>
      </c>
      <c r="E587" s="2" t="s">
        <v>25</v>
      </c>
      <c r="F587" s="2" t="s">
        <v>777</v>
      </c>
    </row>
    <row r="588" ht="22.5" customHeight="1">
      <c r="A588" s="5" t="s">
        <v>778</v>
      </c>
      <c r="B588" s="2"/>
      <c r="C588" s="18" t="str">
        <f t="shared" si="1"/>
        <v>Kedar_1</v>
      </c>
      <c r="D588" s="18"/>
      <c r="E588" s="8" t="s">
        <v>25</v>
      </c>
      <c r="F588" s="8" t="s">
        <v>26</v>
      </c>
      <c r="H588" s="2"/>
      <c r="I588" s="2" t="s">
        <v>27</v>
      </c>
    </row>
    <row r="589" ht="22.5" customHeight="1">
      <c r="A589" s="5" t="s">
        <v>778</v>
      </c>
      <c r="B589" s="2"/>
      <c r="C589" s="18" t="str">
        <f t="shared" si="1"/>
        <v>Kedar_2</v>
      </c>
      <c r="D589" s="18"/>
      <c r="E589" s="8" t="s">
        <v>25</v>
      </c>
      <c r="F589" s="8" t="s">
        <v>48</v>
      </c>
      <c r="H589" s="2"/>
      <c r="I589" s="2" t="s">
        <v>27</v>
      </c>
    </row>
    <row r="590" ht="22.5" customHeight="1">
      <c r="A590" s="5" t="s">
        <v>778</v>
      </c>
      <c r="B590" s="2"/>
      <c r="C590" s="18" t="str">
        <f t="shared" si="1"/>
        <v>Kedar_3</v>
      </c>
      <c r="D590" s="18"/>
      <c r="E590" s="8" t="s">
        <v>25</v>
      </c>
      <c r="F590" s="8" t="s">
        <v>76</v>
      </c>
      <c r="H590" s="2"/>
      <c r="I590" s="2" t="s">
        <v>27</v>
      </c>
    </row>
    <row r="591" ht="22.5" customHeight="1">
      <c r="A591" s="5" t="s">
        <v>778</v>
      </c>
      <c r="B591" s="2"/>
      <c r="C591" s="18" t="str">
        <f t="shared" si="1"/>
        <v>Kedar_4</v>
      </c>
      <c r="D591" s="18"/>
      <c r="E591" s="8" t="s">
        <v>25</v>
      </c>
      <c r="F591" s="8" t="s">
        <v>76</v>
      </c>
      <c r="H591" s="2"/>
      <c r="I591" s="2" t="s">
        <v>27</v>
      </c>
    </row>
    <row r="592" ht="22.5" customHeight="1">
      <c r="A592" s="5" t="s">
        <v>778</v>
      </c>
      <c r="B592" s="2"/>
      <c r="C592" s="18" t="str">
        <f t="shared" si="1"/>
        <v>Kedar_5</v>
      </c>
      <c r="D592" s="18"/>
      <c r="E592" s="8" t="s">
        <v>25</v>
      </c>
      <c r="F592" s="8" t="s">
        <v>76</v>
      </c>
      <c r="H592" s="2"/>
      <c r="I592" s="2" t="s">
        <v>27</v>
      </c>
    </row>
    <row r="593" ht="22.5" customHeight="1">
      <c r="A593" s="5" t="s">
        <v>778</v>
      </c>
      <c r="B593" s="2"/>
      <c r="C593" s="18" t="str">
        <f t="shared" si="1"/>
        <v>Kedar_6</v>
      </c>
      <c r="D593" s="18"/>
      <c r="E593" s="8" t="s">
        <v>25</v>
      </c>
      <c r="F593" s="8" t="s">
        <v>76</v>
      </c>
      <c r="H593" s="2"/>
      <c r="I593" s="2" t="s">
        <v>27</v>
      </c>
    </row>
    <row r="594" ht="22.5" customHeight="1">
      <c r="A594" s="5" t="s">
        <v>778</v>
      </c>
      <c r="B594" s="2"/>
      <c r="C594" s="18" t="str">
        <f t="shared" si="1"/>
        <v>Kedar_7</v>
      </c>
      <c r="D594" s="18"/>
      <c r="E594" s="8" t="s">
        <v>25</v>
      </c>
      <c r="F594" s="8" t="s">
        <v>76</v>
      </c>
      <c r="H594" s="2"/>
      <c r="I594" s="2" t="s">
        <v>27</v>
      </c>
    </row>
    <row r="595" ht="22.5" customHeight="1">
      <c r="A595" s="5" t="s">
        <v>778</v>
      </c>
      <c r="B595" s="2"/>
      <c r="C595" s="18" t="str">
        <f t="shared" si="1"/>
        <v>Kedar_8</v>
      </c>
      <c r="D595" s="18"/>
      <c r="E595" s="8" t="s">
        <v>25</v>
      </c>
      <c r="F595" s="8" t="s">
        <v>56</v>
      </c>
      <c r="H595" s="2"/>
      <c r="I595" s="2" t="s">
        <v>27</v>
      </c>
    </row>
    <row r="596" ht="22.5" customHeight="1">
      <c r="A596" s="5" t="s">
        <v>778</v>
      </c>
      <c r="B596" s="2"/>
      <c r="C596" s="18" t="str">
        <f t="shared" si="1"/>
        <v>Kedar_9</v>
      </c>
      <c r="D596" s="18"/>
      <c r="E596" s="8" t="s">
        <v>25</v>
      </c>
      <c r="F596" s="8" t="s">
        <v>34</v>
      </c>
      <c r="H596" s="2"/>
      <c r="I596" s="2" t="s">
        <v>27</v>
      </c>
    </row>
    <row r="597" ht="22.5" customHeight="1">
      <c r="A597" s="5" t="s">
        <v>778</v>
      </c>
      <c r="B597" s="2"/>
      <c r="C597" s="18" t="str">
        <f t="shared" si="1"/>
        <v>Kedar_10</v>
      </c>
      <c r="D597" s="18"/>
      <c r="E597" s="8" t="s">
        <v>25</v>
      </c>
      <c r="F597" s="8" t="s">
        <v>37</v>
      </c>
      <c r="H597" s="2"/>
      <c r="I597" s="2" t="s">
        <v>27</v>
      </c>
    </row>
    <row r="598" ht="22.5" customHeight="1">
      <c r="A598" s="5" t="s">
        <v>779</v>
      </c>
      <c r="B598" s="2"/>
      <c r="C598" s="18" t="str">
        <f t="shared" si="1"/>
        <v>Khamaj_1</v>
      </c>
      <c r="D598" s="18"/>
      <c r="E598" s="8" t="s">
        <v>25</v>
      </c>
      <c r="F598" s="8" t="s">
        <v>76</v>
      </c>
      <c r="H598" s="2"/>
      <c r="I598" s="2" t="s">
        <v>27</v>
      </c>
    </row>
    <row r="599" ht="22.5" customHeight="1">
      <c r="A599" s="5" t="s">
        <v>779</v>
      </c>
      <c r="B599" s="2"/>
      <c r="C599" s="18" t="str">
        <f t="shared" si="1"/>
        <v>Khamaj_2</v>
      </c>
      <c r="D599" s="18"/>
      <c r="E599" s="8" t="s">
        <v>25</v>
      </c>
      <c r="F599" s="8" t="s">
        <v>76</v>
      </c>
      <c r="H599" s="2"/>
      <c r="I599" s="2" t="s">
        <v>27</v>
      </c>
    </row>
    <row r="600" ht="22.5" customHeight="1">
      <c r="A600" s="5" t="s">
        <v>779</v>
      </c>
      <c r="B600" s="2"/>
      <c r="C600" s="18" t="str">
        <f t="shared" si="1"/>
        <v>Khamaj_3</v>
      </c>
      <c r="D600" s="18"/>
      <c r="E600" s="8" t="s">
        <v>25</v>
      </c>
      <c r="F600" s="8" t="s">
        <v>76</v>
      </c>
      <c r="H600" s="2"/>
      <c r="I600" s="2" t="s">
        <v>27</v>
      </c>
    </row>
    <row r="601" ht="22.5" customHeight="1">
      <c r="A601" s="5" t="s">
        <v>779</v>
      </c>
      <c r="B601" s="2"/>
      <c r="C601" s="18" t="str">
        <f t="shared" si="1"/>
        <v>Khamaj_4</v>
      </c>
      <c r="D601" s="18"/>
      <c r="E601" s="8" t="s">
        <v>25</v>
      </c>
      <c r="F601" s="8" t="s">
        <v>76</v>
      </c>
      <c r="H601" s="2"/>
      <c r="I601" s="2" t="s">
        <v>27</v>
      </c>
    </row>
    <row r="602" ht="22.5" customHeight="1">
      <c r="A602" s="5" t="s">
        <v>779</v>
      </c>
      <c r="B602" s="2"/>
      <c r="C602" s="18" t="str">
        <f t="shared" si="1"/>
        <v>Khamaj_5</v>
      </c>
      <c r="D602" s="18"/>
      <c r="E602" s="8" t="s">
        <v>25</v>
      </c>
      <c r="F602" s="8" t="s">
        <v>76</v>
      </c>
      <c r="H602" s="2"/>
      <c r="I602" s="2" t="s">
        <v>27</v>
      </c>
    </row>
    <row r="603" ht="22.5" customHeight="1">
      <c r="A603" s="5" t="s">
        <v>779</v>
      </c>
      <c r="B603" s="2"/>
      <c r="C603" s="18" t="str">
        <f t="shared" si="1"/>
        <v>Khamaj_6</v>
      </c>
      <c r="D603" s="18"/>
      <c r="E603" s="8" t="s">
        <v>25</v>
      </c>
      <c r="F603" s="8" t="s">
        <v>37</v>
      </c>
      <c r="H603" s="2"/>
      <c r="I603" s="2" t="s">
        <v>27</v>
      </c>
    </row>
    <row r="604" ht="22.5" customHeight="1">
      <c r="A604" s="5" t="s">
        <v>779</v>
      </c>
      <c r="B604" s="2"/>
      <c r="C604" s="18" t="str">
        <f t="shared" si="1"/>
        <v>Khamaj_7</v>
      </c>
      <c r="D604" s="18"/>
      <c r="E604" s="8" t="s">
        <v>25</v>
      </c>
      <c r="F604" s="8" t="s">
        <v>37</v>
      </c>
      <c r="H604" s="2"/>
      <c r="I604" s="2" t="s">
        <v>27</v>
      </c>
    </row>
    <row r="605" ht="22.5" customHeight="1">
      <c r="A605" s="5" t="s">
        <v>779</v>
      </c>
      <c r="B605" s="2"/>
      <c r="C605" s="18" t="str">
        <f t="shared" si="1"/>
        <v>Khamaj_8</v>
      </c>
      <c r="D605" s="18"/>
      <c r="E605" s="8" t="s">
        <v>25</v>
      </c>
      <c r="F605" s="8" t="s">
        <v>37</v>
      </c>
      <c r="H605" s="2"/>
      <c r="I605" s="2" t="s">
        <v>27</v>
      </c>
    </row>
    <row r="606" ht="22.5" customHeight="1">
      <c r="A606" s="5" t="s">
        <v>779</v>
      </c>
      <c r="B606" s="2"/>
      <c r="C606" s="18" t="str">
        <f t="shared" si="1"/>
        <v>Khamaj_9</v>
      </c>
      <c r="D606" s="18"/>
      <c r="E606" s="8" t="s">
        <v>25</v>
      </c>
      <c r="F606" s="8" t="s">
        <v>37</v>
      </c>
      <c r="H606" s="2"/>
      <c r="I606" s="2" t="s">
        <v>27</v>
      </c>
    </row>
    <row r="607" ht="22.5" customHeight="1">
      <c r="A607" s="5" t="s">
        <v>779</v>
      </c>
      <c r="B607" s="2"/>
      <c r="C607" s="18" t="str">
        <f t="shared" si="1"/>
        <v>Khamaj_10</v>
      </c>
      <c r="D607" s="18"/>
      <c r="E607" s="8" t="s">
        <v>25</v>
      </c>
      <c r="F607" s="8" t="s">
        <v>37</v>
      </c>
      <c r="H607" s="2"/>
      <c r="I607" s="2" t="s">
        <v>27</v>
      </c>
    </row>
    <row r="608" ht="22.5" customHeight="1">
      <c r="A608" s="5" t="s">
        <v>780</v>
      </c>
      <c r="B608" s="2" t="s">
        <v>24</v>
      </c>
      <c r="C608" s="45" t="str">
        <f t="shared" si="1"/>
        <v>Khambhavati_1</v>
      </c>
      <c r="D608" s="12" t="s">
        <v>781</v>
      </c>
      <c r="E608" s="2" t="s">
        <v>25</v>
      </c>
      <c r="F608" s="2" t="s">
        <v>26</v>
      </c>
    </row>
    <row r="609" ht="22.5" customHeight="1">
      <c r="A609" s="5" t="s">
        <v>780</v>
      </c>
      <c r="B609" s="2" t="s">
        <v>32</v>
      </c>
      <c r="C609" s="45" t="str">
        <f t="shared" si="1"/>
        <v>Khambhavati_2</v>
      </c>
      <c r="D609" s="12" t="s">
        <v>782</v>
      </c>
      <c r="E609" s="2" t="s">
        <v>25</v>
      </c>
      <c r="F609" s="2" t="s">
        <v>112</v>
      </c>
    </row>
    <row r="610" ht="22.5" customHeight="1">
      <c r="A610" s="5" t="s">
        <v>780</v>
      </c>
      <c r="B610" s="2" t="s">
        <v>38</v>
      </c>
      <c r="C610" s="45" t="str">
        <f t="shared" si="1"/>
        <v>Khambhavati_3</v>
      </c>
      <c r="D610" s="12" t="s">
        <v>783</v>
      </c>
      <c r="E610" s="2" t="s">
        <v>25</v>
      </c>
      <c r="F610" s="2" t="s">
        <v>75</v>
      </c>
    </row>
    <row r="611" ht="22.5" customHeight="1">
      <c r="A611" s="5" t="s">
        <v>780</v>
      </c>
      <c r="B611" s="2" t="s">
        <v>38</v>
      </c>
      <c r="C611" s="45" t="str">
        <f t="shared" si="1"/>
        <v>Khambhavati_4</v>
      </c>
      <c r="D611" s="12" t="s">
        <v>784</v>
      </c>
      <c r="E611" s="2" t="s">
        <v>25</v>
      </c>
      <c r="F611" s="2" t="s">
        <v>134</v>
      </c>
    </row>
    <row r="612" ht="22.5" customHeight="1">
      <c r="A612" s="5" t="s">
        <v>780</v>
      </c>
      <c r="B612" s="2" t="s">
        <v>38</v>
      </c>
      <c r="C612" s="45" t="str">
        <f t="shared" si="1"/>
        <v>Khambhavati_5</v>
      </c>
      <c r="D612" s="12" t="s">
        <v>785</v>
      </c>
      <c r="E612" s="2" t="s">
        <v>25</v>
      </c>
      <c r="F612" s="2" t="s">
        <v>786</v>
      </c>
    </row>
    <row r="613" ht="22.5" customHeight="1">
      <c r="A613" s="5" t="s">
        <v>780</v>
      </c>
      <c r="B613" s="2" t="s">
        <v>43</v>
      </c>
      <c r="C613" s="45" t="str">
        <f t="shared" si="1"/>
        <v>Khambhavati_6</v>
      </c>
      <c r="D613" s="12" t="s">
        <v>787</v>
      </c>
      <c r="E613" s="2" t="s">
        <v>25</v>
      </c>
      <c r="F613" s="2" t="s">
        <v>788</v>
      </c>
    </row>
    <row r="614" ht="22.5" customHeight="1">
      <c r="A614" s="5" t="s">
        <v>780</v>
      </c>
      <c r="B614" s="2" t="s">
        <v>32</v>
      </c>
      <c r="C614" s="45" t="str">
        <f t="shared" si="1"/>
        <v>Khambhavati_7</v>
      </c>
      <c r="D614" s="12" t="s">
        <v>789</v>
      </c>
      <c r="E614" s="2" t="s">
        <v>25</v>
      </c>
      <c r="F614" s="2" t="s">
        <v>301</v>
      </c>
    </row>
    <row r="615" ht="22.5" customHeight="1">
      <c r="A615" s="5" t="s">
        <v>780</v>
      </c>
      <c r="B615" s="2" t="s">
        <v>38</v>
      </c>
      <c r="C615" s="45" t="str">
        <f t="shared" si="1"/>
        <v>Khambhavati_8</v>
      </c>
      <c r="D615" s="12" t="s">
        <v>790</v>
      </c>
      <c r="E615" s="2" t="s">
        <v>25</v>
      </c>
      <c r="F615" s="2" t="s">
        <v>126</v>
      </c>
    </row>
    <row r="616" ht="22.5" customHeight="1">
      <c r="A616" s="5" t="s">
        <v>791</v>
      </c>
      <c r="B616" s="2" t="s">
        <v>43</v>
      </c>
      <c r="C616" s="45" t="str">
        <f t="shared" si="1"/>
        <v>Kirwani_1</v>
      </c>
      <c r="D616" s="12" t="s">
        <v>792</v>
      </c>
      <c r="E616" s="2" t="s">
        <v>25</v>
      </c>
      <c r="F616" s="2" t="s">
        <v>160</v>
      </c>
    </row>
    <row r="617" ht="22.5" customHeight="1">
      <c r="A617" s="5" t="s">
        <v>791</v>
      </c>
      <c r="B617" s="2" t="s">
        <v>28</v>
      </c>
      <c r="C617" s="45" t="str">
        <f t="shared" si="1"/>
        <v>Kirwani_2</v>
      </c>
      <c r="D617" s="12" t="s">
        <v>793</v>
      </c>
      <c r="E617" s="2" t="s">
        <v>167</v>
      </c>
      <c r="F617" s="2" t="s">
        <v>771</v>
      </c>
    </row>
    <row r="618" ht="22.5" customHeight="1">
      <c r="A618" s="5" t="s">
        <v>791</v>
      </c>
      <c r="B618" s="2" t="s">
        <v>32</v>
      </c>
      <c r="C618" s="45" t="str">
        <f t="shared" si="1"/>
        <v>Kirwani_3</v>
      </c>
      <c r="D618" s="12" t="s">
        <v>794</v>
      </c>
      <c r="E618" s="2" t="s">
        <v>25</v>
      </c>
      <c r="F618" s="2" t="s">
        <v>34</v>
      </c>
    </row>
    <row r="619" ht="22.5" customHeight="1">
      <c r="A619" s="5" t="s">
        <v>791</v>
      </c>
      <c r="B619" s="2" t="s">
        <v>24</v>
      </c>
      <c r="C619" s="45" t="str">
        <f t="shared" si="1"/>
        <v>Kirwani_4</v>
      </c>
      <c r="D619" s="12" t="s">
        <v>795</v>
      </c>
      <c r="E619" s="2" t="s">
        <v>25</v>
      </c>
      <c r="F619" s="2" t="s">
        <v>26</v>
      </c>
    </row>
    <row r="620" ht="22.5" customHeight="1">
      <c r="A620" s="5" t="s">
        <v>791</v>
      </c>
      <c r="B620" s="2" t="s">
        <v>32</v>
      </c>
      <c r="C620" s="45" t="str">
        <f t="shared" si="1"/>
        <v>Kirwani_5</v>
      </c>
      <c r="D620" s="12" t="s">
        <v>796</v>
      </c>
      <c r="E620" s="2" t="s">
        <v>25</v>
      </c>
      <c r="F620" s="2" t="s">
        <v>797</v>
      </c>
    </row>
    <row r="621" ht="22.5" customHeight="1">
      <c r="A621" s="5" t="s">
        <v>791</v>
      </c>
      <c r="B621" s="2" t="s">
        <v>38</v>
      </c>
      <c r="C621" s="45" t="str">
        <f t="shared" si="1"/>
        <v>Kirwani_6</v>
      </c>
      <c r="D621" s="12" t="s">
        <v>798</v>
      </c>
      <c r="E621" s="2" t="s">
        <v>25</v>
      </c>
      <c r="F621" s="2" t="s">
        <v>153</v>
      </c>
      <c r="H621" s="2"/>
      <c r="I621" s="2" t="s">
        <v>154</v>
      </c>
    </row>
    <row r="622" ht="22.5" customHeight="1">
      <c r="A622" s="5" t="s">
        <v>791</v>
      </c>
      <c r="B622" s="2" t="s">
        <v>32</v>
      </c>
      <c r="C622" s="45" t="str">
        <f t="shared" si="1"/>
        <v>Kirwani_7</v>
      </c>
      <c r="D622" s="27" t="s">
        <v>799</v>
      </c>
      <c r="E622" s="2" t="s">
        <v>25</v>
      </c>
      <c r="F622" s="2" t="s">
        <v>34</v>
      </c>
    </row>
    <row r="623" ht="22.5" customHeight="1">
      <c r="A623" s="5" t="s">
        <v>791</v>
      </c>
      <c r="B623" s="2" t="s">
        <v>43</v>
      </c>
      <c r="C623" s="45" t="str">
        <f t="shared" si="1"/>
        <v>Kirwani_8</v>
      </c>
      <c r="D623" s="12" t="s">
        <v>800</v>
      </c>
      <c r="E623" s="2" t="s">
        <v>25</v>
      </c>
      <c r="F623" s="2" t="s">
        <v>801</v>
      </c>
    </row>
    <row r="624" ht="22.5" customHeight="1">
      <c r="A624" s="5" t="s">
        <v>791</v>
      </c>
      <c r="B624" s="2" t="s">
        <v>24</v>
      </c>
      <c r="C624" s="46" t="str">
        <f t="shared" si="1"/>
        <v>Kirwani_9</v>
      </c>
      <c r="D624" s="13" t="s">
        <v>802</v>
      </c>
      <c r="E624" s="2" t="s">
        <v>25</v>
      </c>
      <c r="F624" s="2" t="s">
        <v>34</v>
      </c>
    </row>
    <row r="625" ht="22.5" customHeight="1">
      <c r="A625" s="5" t="s">
        <v>791</v>
      </c>
      <c r="B625" s="2" t="s">
        <v>29</v>
      </c>
      <c r="C625" s="45" t="str">
        <f t="shared" si="1"/>
        <v>Kirwani_10</v>
      </c>
      <c r="D625" s="12" t="s">
        <v>803</v>
      </c>
      <c r="E625" s="2" t="s">
        <v>25</v>
      </c>
      <c r="F625" s="2" t="s">
        <v>804</v>
      </c>
    </row>
    <row r="626" ht="22.5" customHeight="1">
      <c r="A626" s="5" t="s">
        <v>805</v>
      </c>
      <c r="B626" s="2"/>
      <c r="C626" s="18" t="str">
        <f t="shared" si="1"/>
        <v>Lalit_1</v>
      </c>
      <c r="D626" s="18"/>
      <c r="E626" s="8" t="s">
        <v>25</v>
      </c>
      <c r="F626" s="8" t="s">
        <v>73</v>
      </c>
      <c r="H626" s="2"/>
      <c r="I626" s="2" t="s">
        <v>27</v>
      </c>
    </row>
    <row r="627" ht="22.5" customHeight="1">
      <c r="A627" s="5" t="s">
        <v>805</v>
      </c>
      <c r="B627" s="2"/>
      <c r="C627" s="18" t="str">
        <f t="shared" si="1"/>
        <v>Lalit_2</v>
      </c>
      <c r="D627" s="18"/>
      <c r="E627" s="8" t="s">
        <v>25</v>
      </c>
      <c r="F627" s="8" t="s">
        <v>75</v>
      </c>
      <c r="H627" s="2"/>
      <c r="I627" s="2" t="s">
        <v>27</v>
      </c>
    </row>
    <row r="628" ht="22.5" customHeight="1">
      <c r="A628" s="5" t="s">
        <v>805</v>
      </c>
      <c r="B628" s="2"/>
      <c r="C628" s="18" t="str">
        <f t="shared" si="1"/>
        <v>Lalit_3</v>
      </c>
      <c r="D628" s="18"/>
      <c r="E628" s="8" t="s">
        <v>25</v>
      </c>
      <c r="F628" s="8" t="s">
        <v>75</v>
      </c>
      <c r="H628" s="2"/>
      <c r="I628" s="2" t="s">
        <v>27</v>
      </c>
    </row>
    <row r="629" ht="22.5" customHeight="1">
      <c r="A629" s="5" t="s">
        <v>805</v>
      </c>
      <c r="B629" s="2"/>
      <c r="C629" s="18" t="str">
        <f t="shared" si="1"/>
        <v>Lalit_4</v>
      </c>
      <c r="D629" s="18"/>
      <c r="E629" s="8" t="s">
        <v>25</v>
      </c>
      <c r="F629" s="8" t="s">
        <v>98</v>
      </c>
      <c r="H629" s="2"/>
      <c r="I629" s="2" t="s">
        <v>27</v>
      </c>
    </row>
    <row r="630" ht="22.5" customHeight="1">
      <c r="A630" s="5" t="s">
        <v>805</v>
      </c>
      <c r="B630" s="2"/>
      <c r="C630" s="18" t="str">
        <f t="shared" si="1"/>
        <v>Lalit_5</v>
      </c>
      <c r="D630" s="18"/>
      <c r="E630" s="8" t="s">
        <v>25</v>
      </c>
      <c r="F630" s="8" t="s">
        <v>98</v>
      </c>
      <c r="H630" s="2"/>
      <c r="I630" s="2" t="s">
        <v>27</v>
      </c>
    </row>
    <row r="631" ht="22.5" customHeight="1">
      <c r="A631" s="5" t="s">
        <v>805</v>
      </c>
      <c r="B631" s="2"/>
      <c r="C631" s="18" t="str">
        <f t="shared" si="1"/>
        <v>Lalit_6</v>
      </c>
      <c r="D631" s="18"/>
      <c r="E631" s="8" t="s">
        <v>25</v>
      </c>
      <c r="F631" s="8" t="s">
        <v>30</v>
      </c>
      <c r="H631" s="2"/>
      <c r="I631" s="2" t="s">
        <v>27</v>
      </c>
    </row>
    <row r="632" ht="22.5" customHeight="1">
      <c r="A632" s="5" t="s">
        <v>805</v>
      </c>
      <c r="B632" s="2"/>
      <c r="C632" s="18" t="str">
        <f t="shared" si="1"/>
        <v>Lalit_7</v>
      </c>
      <c r="D632" s="18"/>
      <c r="E632" s="8" t="s">
        <v>25</v>
      </c>
      <c r="F632" s="8" t="s">
        <v>94</v>
      </c>
      <c r="H632" s="2"/>
      <c r="I632" s="2" t="s">
        <v>27</v>
      </c>
    </row>
    <row r="633" ht="22.5" customHeight="1">
      <c r="A633" s="5" t="s">
        <v>805</v>
      </c>
      <c r="B633" s="2"/>
      <c r="C633" s="18" t="str">
        <f t="shared" si="1"/>
        <v>Lalit_8</v>
      </c>
      <c r="D633" s="18"/>
      <c r="E633" s="8" t="s">
        <v>25</v>
      </c>
      <c r="F633" s="8" t="s">
        <v>34</v>
      </c>
      <c r="H633" s="2"/>
      <c r="I633" s="2" t="s">
        <v>27</v>
      </c>
    </row>
    <row r="634" ht="22.5" customHeight="1">
      <c r="A634" s="5" t="s">
        <v>805</v>
      </c>
      <c r="B634" s="2"/>
      <c r="C634" s="18" t="str">
        <f t="shared" si="1"/>
        <v>Lalit_9</v>
      </c>
      <c r="D634" s="18"/>
      <c r="E634" s="8" t="s">
        <v>25</v>
      </c>
      <c r="F634" s="8" t="s">
        <v>70</v>
      </c>
      <c r="H634" s="2"/>
      <c r="I634" s="2" t="s">
        <v>27</v>
      </c>
    </row>
    <row r="635" ht="22.5" customHeight="1">
      <c r="A635" s="5" t="s">
        <v>805</v>
      </c>
      <c r="B635" s="2"/>
      <c r="C635" s="18" t="str">
        <f t="shared" si="1"/>
        <v>Lalit_10</v>
      </c>
      <c r="D635" s="18"/>
      <c r="E635" s="8" t="s">
        <v>25</v>
      </c>
      <c r="F635" s="8" t="s">
        <v>37</v>
      </c>
      <c r="H635" s="2"/>
      <c r="I635" s="2" t="s">
        <v>27</v>
      </c>
    </row>
    <row r="636" ht="22.5" customHeight="1">
      <c r="A636" s="5" t="s">
        <v>806</v>
      </c>
      <c r="B636" s="2" t="s">
        <v>29</v>
      </c>
      <c r="C636" s="45" t="str">
        <f t="shared" si="1"/>
        <v>Lanka Dahan Sarang_1</v>
      </c>
      <c r="D636" s="12" t="s">
        <v>807</v>
      </c>
      <c r="E636" s="2" t="s">
        <v>25</v>
      </c>
      <c r="F636" s="2" t="s">
        <v>248</v>
      </c>
    </row>
    <row r="637" ht="22.5" customHeight="1">
      <c r="A637" s="5" t="s">
        <v>806</v>
      </c>
      <c r="B637" s="2" t="s">
        <v>127</v>
      </c>
      <c r="C637" s="45" t="str">
        <f t="shared" si="1"/>
        <v>Lanka Dahan Sarang_2</v>
      </c>
      <c r="D637" s="12" t="s">
        <v>808</v>
      </c>
      <c r="E637" s="2" t="s">
        <v>25</v>
      </c>
      <c r="F637" s="2" t="s">
        <v>809</v>
      </c>
    </row>
    <row r="638" ht="22.5" customHeight="1">
      <c r="A638" s="5" t="s">
        <v>806</v>
      </c>
      <c r="B638" s="2" t="s">
        <v>43</v>
      </c>
      <c r="C638" s="45" t="str">
        <f t="shared" si="1"/>
        <v>Lanka Dahan Sarang_3</v>
      </c>
      <c r="D638" s="12" t="s">
        <v>810</v>
      </c>
      <c r="E638" s="2" t="s">
        <v>25</v>
      </c>
      <c r="F638" s="2" t="s">
        <v>193</v>
      </c>
    </row>
    <row r="639" ht="22.5" customHeight="1">
      <c r="A639" s="5" t="s">
        <v>806</v>
      </c>
      <c r="B639" s="2" t="s">
        <v>43</v>
      </c>
      <c r="C639" s="45" t="str">
        <f t="shared" si="1"/>
        <v>Lanka Dahan Sarang_4</v>
      </c>
      <c r="D639" s="12" t="s">
        <v>811</v>
      </c>
      <c r="E639" s="2" t="s">
        <v>25</v>
      </c>
      <c r="F639" s="2" t="s">
        <v>812</v>
      </c>
    </row>
    <row r="640" ht="22.5" customHeight="1">
      <c r="A640" s="5" t="s">
        <v>806</v>
      </c>
      <c r="B640" s="2" t="s">
        <v>24</v>
      </c>
      <c r="C640" s="45" t="str">
        <f t="shared" si="1"/>
        <v>Lanka Dahan Sarang_5</v>
      </c>
      <c r="D640" s="12" t="s">
        <v>813</v>
      </c>
      <c r="E640" s="2" t="s">
        <v>25</v>
      </c>
      <c r="F640" s="2" t="s">
        <v>814</v>
      </c>
    </row>
    <row r="641" ht="22.5" customHeight="1">
      <c r="A641" s="5" t="s">
        <v>806</v>
      </c>
      <c r="B641" s="2" t="s">
        <v>28</v>
      </c>
      <c r="C641" s="45" t="str">
        <f t="shared" si="1"/>
        <v>Lanka Dahan Sarang_6</v>
      </c>
      <c r="D641" s="12" t="s">
        <v>815</v>
      </c>
      <c r="E641" s="2" t="s">
        <v>167</v>
      </c>
      <c r="F641" s="2" t="s">
        <v>816</v>
      </c>
    </row>
    <row r="642" ht="22.5" customHeight="1">
      <c r="A642" s="5" t="s">
        <v>806</v>
      </c>
      <c r="B642" s="2" t="s">
        <v>36</v>
      </c>
      <c r="C642" s="45" t="str">
        <f t="shared" si="1"/>
        <v>Lanka Dahan Sarang_7</v>
      </c>
      <c r="D642" s="12" t="s">
        <v>817</v>
      </c>
      <c r="E642" s="2" t="s">
        <v>162</v>
      </c>
      <c r="F642" s="2" t="s">
        <v>818</v>
      </c>
    </row>
    <row r="643" ht="22.5" customHeight="1">
      <c r="A643" s="5" t="s">
        <v>806</v>
      </c>
      <c r="B643" s="2" t="s">
        <v>36</v>
      </c>
      <c r="C643" s="18" t="str">
        <f t="shared" si="1"/>
        <v>Lanka Dahan Sarang_8</v>
      </c>
      <c r="D643" s="15" t="s">
        <v>819</v>
      </c>
      <c r="E643" s="2" t="s">
        <v>25</v>
      </c>
      <c r="F643" s="2" t="s">
        <v>820</v>
      </c>
      <c r="L643" s="2" t="s">
        <v>61</v>
      </c>
    </row>
    <row r="644" ht="22.5" customHeight="1">
      <c r="A644" s="5" t="s">
        <v>806</v>
      </c>
      <c r="B644" s="2" t="s">
        <v>28</v>
      </c>
      <c r="C644" s="45" t="str">
        <f t="shared" si="1"/>
        <v>Lanka Dahan Sarang_9</v>
      </c>
      <c r="D644" s="12" t="s">
        <v>821</v>
      </c>
      <c r="E644" s="2" t="s">
        <v>91</v>
      </c>
      <c r="F644" s="2" t="s">
        <v>822</v>
      </c>
    </row>
    <row r="645" ht="22.5" customHeight="1">
      <c r="A645" s="5" t="s">
        <v>823</v>
      </c>
      <c r="B645" s="2"/>
      <c r="C645" s="18" t="str">
        <f t="shared" si="1"/>
        <v>Madhukauns_1</v>
      </c>
      <c r="D645" s="18"/>
      <c r="E645" s="8" t="s">
        <v>25</v>
      </c>
      <c r="F645" s="8" t="s">
        <v>824</v>
      </c>
      <c r="H645" s="2"/>
      <c r="I645" s="2" t="s">
        <v>27</v>
      </c>
    </row>
    <row r="646" ht="22.5" customHeight="1">
      <c r="A646" s="5" t="s">
        <v>823</v>
      </c>
      <c r="B646" s="2"/>
      <c r="C646" s="18" t="str">
        <f t="shared" si="1"/>
        <v>Madhukauns_2</v>
      </c>
      <c r="D646" s="18"/>
      <c r="E646" s="8" t="s">
        <v>25</v>
      </c>
      <c r="F646" s="8" t="s">
        <v>31</v>
      </c>
      <c r="H646" s="2"/>
      <c r="I646" s="2" t="s">
        <v>27</v>
      </c>
    </row>
    <row r="647" ht="22.5" customHeight="1">
      <c r="A647" s="5" t="s">
        <v>823</v>
      </c>
      <c r="B647" s="2"/>
      <c r="C647" s="18" t="str">
        <f t="shared" si="1"/>
        <v>Madhukauns_3</v>
      </c>
      <c r="D647" s="18"/>
      <c r="E647" s="8" t="s">
        <v>25</v>
      </c>
      <c r="F647" s="8" t="s">
        <v>142</v>
      </c>
      <c r="H647" s="2"/>
      <c r="I647" s="2" t="s">
        <v>27</v>
      </c>
    </row>
    <row r="648" ht="22.5" customHeight="1">
      <c r="A648" s="5" t="s">
        <v>823</v>
      </c>
      <c r="B648" s="2"/>
      <c r="C648" s="18" t="str">
        <f t="shared" si="1"/>
        <v>Madhukauns_4</v>
      </c>
      <c r="D648" s="18"/>
      <c r="E648" s="8" t="s">
        <v>25</v>
      </c>
      <c r="F648" s="8" t="s">
        <v>142</v>
      </c>
      <c r="H648" s="2"/>
      <c r="I648" s="2" t="s">
        <v>27</v>
      </c>
    </row>
    <row r="649" ht="22.5" customHeight="1">
      <c r="A649" s="5" t="s">
        <v>823</v>
      </c>
      <c r="B649" s="2"/>
      <c r="C649" s="18" t="str">
        <f t="shared" si="1"/>
        <v>Madhukauns_5</v>
      </c>
      <c r="D649" s="18"/>
      <c r="E649" s="8" t="s">
        <v>25</v>
      </c>
      <c r="F649" s="8" t="s">
        <v>286</v>
      </c>
      <c r="H649" s="2"/>
      <c r="I649" s="2" t="s">
        <v>27</v>
      </c>
    </row>
    <row r="650" ht="22.5" customHeight="1">
      <c r="A650" s="5" t="s">
        <v>823</v>
      </c>
      <c r="B650" s="2"/>
      <c r="C650" s="18" t="str">
        <f t="shared" si="1"/>
        <v>Madhukauns_6</v>
      </c>
      <c r="D650" s="18"/>
      <c r="E650" s="8" t="s">
        <v>25</v>
      </c>
      <c r="F650" s="8" t="s">
        <v>69</v>
      </c>
      <c r="H650" s="2"/>
      <c r="I650" s="2" t="s">
        <v>27</v>
      </c>
    </row>
    <row r="651" ht="22.5" customHeight="1">
      <c r="A651" s="5" t="s">
        <v>823</v>
      </c>
      <c r="B651" s="2"/>
      <c r="C651" s="18" t="str">
        <f t="shared" si="1"/>
        <v>Madhukauns_7</v>
      </c>
      <c r="D651" s="18"/>
      <c r="E651" s="8" t="s">
        <v>25</v>
      </c>
      <c r="F651" s="8" t="s">
        <v>64</v>
      </c>
      <c r="H651" s="2"/>
      <c r="I651" s="2" t="s">
        <v>27</v>
      </c>
    </row>
    <row r="652" ht="22.5" customHeight="1">
      <c r="A652" s="5" t="s">
        <v>823</v>
      </c>
      <c r="B652" s="2"/>
      <c r="C652" s="18" t="str">
        <f t="shared" si="1"/>
        <v>Madhukauns_8</v>
      </c>
      <c r="D652" s="18"/>
      <c r="E652" s="8" t="s">
        <v>25</v>
      </c>
      <c r="F652" s="8" t="s">
        <v>64</v>
      </c>
      <c r="H652" s="2"/>
      <c r="I652" s="2" t="s">
        <v>27</v>
      </c>
    </row>
    <row r="653" ht="22.5" customHeight="1">
      <c r="A653" s="5" t="s">
        <v>823</v>
      </c>
      <c r="B653" s="2"/>
      <c r="C653" s="18" t="str">
        <f t="shared" si="1"/>
        <v>Madhukauns_9</v>
      </c>
      <c r="D653" s="18"/>
      <c r="E653" s="8" t="s">
        <v>25</v>
      </c>
      <c r="F653" s="8" t="s">
        <v>64</v>
      </c>
      <c r="H653" s="2"/>
      <c r="I653" s="2" t="s">
        <v>27</v>
      </c>
    </row>
    <row r="654" ht="22.5" customHeight="1">
      <c r="A654" s="5" t="s">
        <v>823</v>
      </c>
      <c r="B654" s="2"/>
      <c r="C654" s="18" t="str">
        <f t="shared" si="1"/>
        <v>Madhukauns_10</v>
      </c>
      <c r="D654" s="18"/>
      <c r="E654" s="8" t="s">
        <v>25</v>
      </c>
      <c r="F654" s="8" t="s">
        <v>710</v>
      </c>
      <c r="H654" s="2"/>
      <c r="I654" s="2" t="s">
        <v>27</v>
      </c>
    </row>
    <row r="655" ht="22.5" customHeight="1">
      <c r="A655" s="5" t="s">
        <v>825</v>
      </c>
      <c r="B655" s="2" t="s">
        <v>38</v>
      </c>
      <c r="C655" s="45" t="str">
        <f t="shared" si="1"/>
        <v>Madhumand Sarang_1</v>
      </c>
      <c r="D655" s="12" t="s">
        <v>826</v>
      </c>
      <c r="E655" s="2" t="s">
        <v>25</v>
      </c>
      <c r="F655" s="2" t="s">
        <v>64</v>
      </c>
    </row>
    <row r="656" ht="22.5" customHeight="1">
      <c r="A656" s="5" t="s">
        <v>825</v>
      </c>
      <c r="B656" s="2" t="s">
        <v>24</v>
      </c>
      <c r="C656" s="45" t="str">
        <f t="shared" si="1"/>
        <v>Madhumand Sarang_2</v>
      </c>
      <c r="D656" s="12" t="s">
        <v>827</v>
      </c>
      <c r="E656" s="2" t="s">
        <v>25</v>
      </c>
      <c r="F656" s="2" t="s">
        <v>56</v>
      </c>
    </row>
    <row r="657" ht="22.5" customHeight="1">
      <c r="A657" s="5" t="s">
        <v>825</v>
      </c>
      <c r="B657" s="2" t="s">
        <v>67</v>
      </c>
      <c r="C657" s="45" t="str">
        <f t="shared" si="1"/>
        <v>Madhumand Sarang_3</v>
      </c>
      <c r="D657" s="12" t="s">
        <v>828</v>
      </c>
      <c r="E657" s="2" t="s">
        <v>25</v>
      </c>
      <c r="F657" s="2" t="s">
        <v>68</v>
      </c>
    </row>
    <row r="658" ht="22.5" customHeight="1">
      <c r="A658" s="5" t="s">
        <v>825</v>
      </c>
      <c r="B658" s="2" t="s">
        <v>32</v>
      </c>
      <c r="C658" s="45" t="str">
        <f t="shared" si="1"/>
        <v>Madhumand Sarang_4</v>
      </c>
      <c r="D658" s="12" t="s">
        <v>829</v>
      </c>
      <c r="E658" s="2" t="s">
        <v>25</v>
      </c>
      <c r="F658" s="2" t="s">
        <v>830</v>
      </c>
    </row>
    <row r="659" ht="22.5" customHeight="1">
      <c r="A659" s="5" t="s">
        <v>825</v>
      </c>
      <c r="B659" s="2" t="s">
        <v>127</v>
      </c>
      <c r="C659" s="45" t="str">
        <f t="shared" si="1"/>
        <v>Madhumand Sarang_5</v>
      </c>
      <c r="D659" s="12" t="s">
        <v>831</v>
      </c>
      <c r="E659" s="2" t="s">
        <v>25</v>
      </c>
      <c r="F659" s="2" t="s">
        <v>832</v>
      </c>
    </row>
    <row r="660" ht="22.5" customHeight="1">
      <c r="A660" s="5" t="s">
        <v>825</v>
      </c>
      <c r="B660" s="2" t="s">
        <v>38</v>
      </c>
      <c r="C660" s="45" t="str">
        <f t="shared" si="1"/>
        <v>Madhumand Sarang_6</v>
      </c>
      <c r="D660" s="12" t="s">
        <v>833</v>
      </c>
      <c r="E660" s="2" t="s">
        <v>25</v>
      </c>
      <c r="F660" s="2" t="s">
        <v>75</v>
      </c>
    </row>
    <row r="661" ht="22.5" customHeight="1">
      <c r="A661" s="5" t="s">
        <v>825</v>
      </c>
      <c r="B661" s="2" t="s">
        <v>28</v>
      </c>
      <c r="C661" s="45" t="str">
        <f t="shared" si="1"/>
        <v>Madhumand Sarang_7</v>
      </c>
      <c r="D661" s="12" t="s">
        <v>834</v>
      </c>
      <c r="E661" s="2" t="s">
        <v>25</v>
      </c>
      <c r="F661" s="2" t="s">
        <v>66</v>
      </c>
    </row>
    <row r="662" ht="22.5" customHeight="1">
      <c r="A662" s="5" t="s">
        <v>825</v>
      </c>
      <c r="B662" s="2" t="s">
        <v>43</v>
      </c>
      <c r="C662" s="45" t="str">
        <f t="shared" si="1"/>
        <v>Madhumand Sarang_8</v>
      </c>
      <c r="D662" s="12" t="s">
        <v>835</v>
      </c>
      <c r="E662" s="2" t="s">
        <v>25</v>
      </c>
      <c r="F662" s="2" t="s">
        <v>52</v>
      </c>
    </row>
    <row r="663" ht="22.5" customHeight="1">
      <c r="A663" s="5" t="s">
        <v>825</v>
      </c>
      <c r="B663" s="2" t="s">
        <v>24</v>
      </c>
      <c r="C663" s="45" t="str">
        <f t="shared" si="1"/>
        <v>Madhumand Sarang_9</v>
      </c>
      <c r="D663" s="12" t="s">
        <v>836</v>
      </c>
      <c r="E663" s="2" t="s">
        <v>114</v>
      </c>
      <c r="F663" s="2" t="s">
        <v>612</v>
      </c>
    </row>
    <row r="664" ht="22.5" customHeight="1">
      <c r="A664" s="5" t="s">
        <v>825</v>
      </c>
      <c r="B664" s="2" t="s">
        <v>38</v>
      </c>
      <c r="C664" s="45" t="str">
        <f t="shared" si="1"/>
        <v>Madhumand Sarang_10</v>
      </c>
      <c r="D664" s="12" t="s">
        <v>837</v>
      </c>
      <c r="E664" s="2" t="s">
        <v>25</v>
      </c>
      <c r="F664" s="2" t="s">
        <v>134</v>
      </c>
    </row>
    <row r="665" ht="22.5" customHeight="1">
      <c r="A665" s="5" t="s">
        <v>838</v>
      </c>
      <c r="B665" s="2" t="s">
        <v>28</v>
      </c>
      <c r="C665" s="45" t="str">
        <f t="shared" si="1"/>
        <v>Madhuvanti_1</v>
      </c>
      <c r="D665" s="12" t="s">
        <v>839</v>
      </c>
      <c r="E665" s="2" t="s">
        <v>167</v>
      </c>
      <c r="F665" s="2" t="s">
        <v>168</v>
      </c>
    </row>
    <row r="666" ht="22.5" customHeight="1">
      <c r="A666" s="5" t="s">
        <v>838</v>
      </c>
      <c r="B666" s="2" t="s">
        <v>32</v>
      </c>
      <c r="C666" s="45" t="str">
        <f t="shared" si="1"/>
        <v>Madhuvanti_2</v>
      </c>
      <c r="D666" s="12" t="s">
        <v>840</v>
      </c>
      <c r="E666" s="2" t="s">
        <v>25</v>
      </c>
      <c r="F666" s="2" t="s">
        <v>508</v>
      </c>
    </row>
    <row r="667" ht="22.5" customHeight="1">
      <c r="A667" s="5" t="s">
        <v>838</v>
      </c>
      <c r="B667" s="2" t="s">
        <v>38</v>
      </c>
      <c r="C667" s="45" t="str">
        <f t="shared" si="1"/>
        <v>Madhuvanti_3</v>
      </c>
      <c r="D667" s="12" t="s">
        <v>841</v>
      </c>
      <c r="E667" s="2" t="s">
        <v>25</v>
      </c>
      <c r="F667" s="2" t="s">
        <v>157</v>
      </c>
    </row>
    <row r="668" ht="22.5" customHeight="1">
      <c r="A668" s="5" t="s">
        <v>838</v>
      </c>
      <c r="B668" s="2" t="s">
        <v>32</v>
      </c>
      <c r="C668" s="45" t="str">
        <f t="shared" si="1"/>
        <v>Madhuvanti_4</v>
      </c>
      <c r="D668" s="12" t="s">
        <v>842</v>
      </c>
      <c r="E668" s="2" t="s">
        <v>167</v>
      </c>
      <c r="F668" s="2" t="s">
        <v>816</v>
      </c>
    </row>
    <row r="669" ht="22.5" customHeight="1">
      <c r="A669" s="5" t="s">
        <v>838</v>
      </c>
      <c r="B669" s="2" t="s">
        <v>24</v>
      </c>
      <c r="C669" s="45" t="str">
        <f t="shared" si="1"/>
        <v>Madhuvanti_5</v>
      </c>
      <c r="D669" s="12" t="s">
        <v>843</v>
      </c>
      <c r="E669" s="2" t="s">
        <v>25</v>
      </c>
      <c r="F669" s="2" t="s">
        <v>56</v>
      </c>
    </row>
    <row r="670" ht="22.5" customHeight="1">
      <c r="A670" s="5" t="s">
        <v>838</v>
      </c>
      <c r="B670" s="2" t="s">
        <v>43</v>
      </c>
      <c r="C670" s="45" t="str">
        <f t="shared" si="1"/>
        <v>Madhuvanti_6</v>
      </c>
      <c r="D670" s="12" t="s">
        <v>844</v>
      </c>
      <c r="E670" s="2" t="s">
        <v>25</v>
      </c>
      <c r="F670" s="2" t="s">
        <v>845</v>
      </c>
    </row>
    <row r="671" ht="22.5" customHeight="1">
      <c r="A671" s="5" t="s">
        <v>838</v>
      </c>
      <c r="B671" s="2" t="s">
        <v>38</v>
      </c>
      <c r="C671" s="45" t="str">
        <f t="shared" si="1"/>
        <v>Madhuvanti_7</v>
      </c>
      <c r="D671" s="12" t="s">
        <v>846</v>
      </c>
      <c r="E671" s="2" t="s">
        <v>25</v>
      </c>
      <c r="F671" s="2" t="s">
        <v>558</v>
      </c>
    </row>
    <row r="672" ht="22.5" customHeight="1">
      <c r="A672" s="5" t="s">
        <v>838</v>
      </c>
      <c r="B672" s="2" t="s">
        <v>32</v>
      </c>
      <c r="C672" s="45" t="str">
        <f t="shared" si="1"/>
        <v>Madhuvanti_8</v>
      </c>
      <c r="D672" s="12" t="s">
        <v>847</v>
      </c>
      <c r="E672" s="2" t="s">
        <v>25</v>
      </c>
      <c r="F672" s="2" t="s">
        <v>34</v>
      </c>
    </row>
    <row r="673" ht="22.5" customHeight="1">
      <c r="A673" s="5" t="s">
        <v>838</v>
      </c>
      <c r="B673" s="2" t="s">
        <v>38</v>
      </c>
      <c r="C673" s="45" t="str">
        <f t="shared" si="1"/>
        <v>Madhuvanti_9</v>
      </c>
      <c r="D673" s="12" t="s">
        <v>848</v>
      </c>
      <c r="E673" s="2" t="s">
        <v>25</v>
      </c>
      <c r="F673" s="2" t="s">
        <v>142</v>
      </c>
    </row>
    <row r="674" ht="22.5" customHeight="1">
      <c r="A674" s="5" t="s">
        <v>838</v>
      </c>
      <c r="B674" s="2"/>
      <c r="C674" s="18" t="str">
        <f t="shared" si="1"/>
        <v>Madhuvanti_10</v>
      </c>
      <c r="D674" s="18"/>
      <c r="E674" s="8" t="s">
        <v>25</v>
      </c>
      <c r="F674" s="8" t="s">
        <v>26</v>
      </c>
      <c r="H674" s="2"/>
      <c r="I674" s="2" t="s">
        <v>27</v>
      </c>
    </row>
    <row r="675" ht="22.5" customHeight="1">
      <c r="A675" s="5" t="s">
        <v>838</v>
      </c>
      <c r="B675" s="2"/>
      <c r="C675" s="18" t="str">
        <f t="shared" si="1"/>
        <v>Madhuvanti_11</v>
      </c>
      <c r="D675" s="18"/>
      <c r="E675" s="8" t="s">
        <v>25</v>
      </c>
      <c r="F675" s="8" t="s">
        <v>142</v>
      </c>
      <c r="H675" s="2"/>
      <c r="I675" s="2" t="s">
        <v>27</v>
      </c>
    </row>
    <row r="676" ht="22.5" customHeight="1">
      <c r="A676" s="5" t="s">
        <v>838</v>
      </c>
      <c r="B676" s="2"/>
      <c r="C676" s="18" t="str">
        <f t="shared" si="1"/>
        <v>Madhuvanti_12</v>
      </c>
      <c r="D676" s="18"/>
      <c r="E676" s="8" t="s">
        <v>25</v>
      </c>
      <c r="F676" s="8" t="s">
        <v>849</v>
      </c>
      <c r="H676" s="2"/>
      <c r="I676" s="2" t="s">
        <v>27</v>
      </c>
    </row>
    <row r="677" ht="22.5" customHeight="1">
      <c r="A677" s="5" t="s">
        <v>838</v>
      </c>
      <c r="B677" s="2"/>
      <c r="C677" s="18" t="str">
        <f t="shared" si="1"/>
        <v>Madhuvanti_13</v>
      </c>
      <c r="D677" s="18"/>
      <c r="E677" s="8" t="s">
        <v>25</v>
      </c>
      <c r="F677" s="8" t="s">
        <v>30</v>
      </c>
      <c r="H677" s="2"/>
      <c r="I677" s="2" t="s">
        <v>27</v>
      </c>
    </row>
    <row r="678" ht="22.5" customHeight="1">
      <c r="A678" s="5" t="s">
        <v>838</v>
      </c>
      <c r="B678" s="2"/>
      <c r="C678" s="18" t="str">
        <f t="shared" si="1"/>
        <v>Madhuvanti_14</v>
      </c>
      <c r="D678" s="18"/>
      <c r="E678" s="8" t="s">
        <v>25</v>
      </c>
      <c r="F678" s="8" t="s">
        <v>56</v>
      </c>
      <c r="H678" s="2"/>
      <c r="I678" s="2" t="s">
        <v>27</v>
      </c>
    </row>
    <row r="679" ht="22.5" customHeight="1">
      <c r="A679" s="5" t="s">
        <v>838</v>
      </c>
      <c r="B679" s="2"/>
      <c r="C679" s="18" t="str">
        <f t="shared" si="1"/>
        <v>Madhuvanti_15</v>
      </c>
      <c r="D679" s="18"/>
      <c r="E679" s="8" t="s">
        <v>25</v>
      </c>
      <c r="F679" s="8" t="s">
        <v>56</v>
      </c>
      <c r="H679" s="2"/>
      <c r="I679" s="2" t="s">
        <v>27</v>
      </c>
    </row>
    <row r="680" ht="22.5" customHeight="1">
      <c r="A680" s="5" t="s">
        <v>838</v>
      </c>
      <c r="B680" s="2"/>
      <c r="C680" s="18" t="str">
        <f t="shared" si="1"/>
        <v>Madhuvanti_16</v>
      </c>
      <c r="D680" s="18"/>
      <c r="E680" s="8" t="s">
        <v>25</v>
      </c>
      <c r="F680" s="8" t="s">
        <v>850</v>
      </c>
      <c r="H680" s="2"/>
      <c r="I680" s="2" t="s">
        <v>27</v>
      </c>
    </row>
    <row r="681" ht="22.5" customHeight="1">
      <c r="A681" s="5" t="s">
        <v>838</v>
      </c>
      <c r="B681" s="2"/>
      <c r="C681" s="18" t="str">
        <f t="shared" si="1"/>
        <v>Madhuvanti_17</v>
      </c>
      <c r="D681" s="18"/>
      <c r="E681" s="8" t="s">
        <v>25</v>
      </c>
      <c r="F681" s="8" t="s">
        <v>157</v>
      </c>
      <c r="H681" s="2"/>
      <c r="I681" s="2" t="s">
        <v>27</v>
      </c>
    </row>
    <row r="682" ht="22.5" customHeight="1">
      <c r="A682" s="5" t="s">
        <v>838</v>
      </c>
      <c r="B682" s="2"/>
      <c r="C682" s="18" t="str">
        <f t="shared" si="1"/>
        <v>Madhuvanti_18</v>
      </c>
      <c r="D682" s="18"/>
      <c r="E682" s="8" t="s">
        <v>25</v>
      </c>
      <c r="F682" s="8" t="s">
        <v>157</v>
      </c>
      <c r="H682" s="2"/>
      <c r="I682" s="2" t="s">
        <v>27</v>
      </c>
    </row>
    <row r="683" ht="22.5" customHeight="1">
      <c r="A683" s="5" t="s">
        <v>838</v>
      </c>
      <c r="B683" s="2"/>
      <c r="C683" s="18" t="str">
        <f t="shared" si="1"/>
        <v>Madhuvanti_19</v>
      </c>
      <c r="D683" s="18"/>
      <c r="E683" s="8" t="s">
        <v>25</v>
      </c>
      <c r="F683" s="8" t="s">
        <v>157</v>
      </c>
      <c r="H683" s="2"/>
      <c r="I683" s="2" t="s">
        <v>27</v>
      </c>
    </row>
    <row r="684" ht="22.5" customHeight="1">
      <c r="A684" s="5" t="s">
        <v>851</v>
      </c>
      <c r="B684" s="2" t="s">
        <v>62</v>
      </c>
      <c r="C684" s="45" t="str">
        <f t="shared" si="1"/>
        <v>Malgunji_1</v>
      </c>
      <c r="D684" s="12" t="s">
        <v>852</v>
      </c>
      <c r="E684" s="2" t="s">
        <v>25</v>
      </c>
      <c r="F684" s="2" t="s">
        <v>153</v>
      </c>
      <c r="H684" s="2"/>
      <c r="I684" s="2" t="s">
        <v>154</v>
      </c>
    </row>
    <row r="685" ht="22.5" customHeight="1">
      <c r="A685" s="5" t="s">
        <v>851</v>
      </c>
      <c r="B685" s="2" t="s">
        <v>127</v>
      </c>
      <c r="C685" s="45" t="str">
        <f t="shared" si="1"/>
        <v>Malgunji_2</v>
      </c>
      <c r="D685" s="12" t="s">
        <v>853</v>
      </c>
      <c r="E685" s="2" t="s">
        <v>25</v>
      </c>
      <c r="F685" s="2" t="s">
        <v>850</v>
      </c>
    </row>
    <row r="686" ht="22.5" customHeight="1">
      <c r="A686" s="5" t="s">
        <v>851</v>
      </c>
      <c r="B686" s="2" t="s">
        <v>29</v>
      </c>
      <c r="C686" s="45" t="str">
        <f t="shared" si="1"/>
        <v>Malgunji_3</v>
      </c>
      <c r="D686" s="12" t="s">
        <v>854</v>
      </c>
      <c r="E686" s="2" t="s">
        <v>25</v>
      </c>
      <c r="F686" s="2" t="s">
        <v>373</v>
      </c>
    </row>
    <row r="687" ht="22.5" customHeight="1">
      <c r="A687" s="5" t="s">
        <v>851</v>
      </c>
      <c r="B687" s="2" t="s">
        <v>32</v>
      </c>
      <c r="C687" s="45" t="str">
        <f t="shared" si="1"/>
        <v>Malgunji_4</v>
      </c>
      <c r="D687" s="12" t="s">
        <v>855</v>
      </c>
      <c r="E687" s="2" t="s">
        <v>25</v>
      </c>
      <c r="F687" s="2" t="s">
        <v>577</v>
      </c>
    </row>
    <row r="688" ht="22.5" customHeight="1">
      <c r="A688" s="5" t="s">
        <v>851</v>
      </c>
      <c r="B688" s="2" t="s">
        <v>32</v>
      </c>
      <c r="C688" s="45" t="str">
        <f t="shared" si="1"/>
        <v>Malgunji_5</v>
      </c>
      <c r="D688" s="12" t="s">
        <v>856</v>
      </c>
      <c r="E688" s="2" t="s">
        <v>25</v>
      </c>
      <c r="F688" s="8" t="s">
        <v>419</v>
      </c>
    </row>
    <row r="689" ht="22.5" customHeight="1">
      <c r="A689" s="5" t="s">
        <v>851</v>
      </c>
      <c r="B689" s="2" t="s">
        <v>32</v>
      </c>
      <c r="C689" s="45" t="str">
        <f t="shared" si="1"/>
        <v>Malgunji_6</v>
      </c>
      <c r="D689" s="12" t="s">
        <v>857</v>
      </c>
      <c r="E689" s="2" t="s">
        <v>114</v>
      </c>
      <c r="F689" s="2" t="s">
        <v>211</v>
      </c>
    </row>
    <row r="690" ht="22.5" customHeight="1">
      <c r="A690" s="5" t="s">
        <v>851</v>
      </c>
      <c r="B690" s="28" t="s">
        <v>43</v>
      </c>
      <c r="C690" s="45" t="str">
        <f t="shared" si="1"/>
        <v>Malgunji_7</v>
      </c>
      <c r="D690" s="12" t="s">
        <v>858</v>
      </c>
      <c r="E690" s="2" t="s">
        <v>25</v>
      </c>
      <c r="F690" s="2" t="s">
        <v>376</v>
      </c>
    </row>
    <row r="691" ht="22.5" customHeight="1">
      <c r="A691" s="5" t="s">
        <v>851</v>
      </c>
      <c r="B691" s="2" t="s">
        <v>24</v>
      </c>
      <c r="C691" s="45" t="str">
        <f t="shared" si="1"/>
        <v>Malgunji_8</v>
      </c>
      <c r="D691" s="12" t="s">
        <v>859</v>
      </c>
      <c r="E691" s="2" t="s">
        <v>25</v>
      </c>
      <c r="F691" s="2" t="s">
        <v>429</v>
      </c>
    </row>
    <row r="692" ht="22.5" customHeight="1">
      <c r="A692" s="5" t="s">
        <v>851</v>
      </c>
      <c r="B692" s="2" t="s">
        <v>58</v>
      </c>
      <c r="C692" s="45" t="str">
        <f t="shared" si="1"/>
        <v>Malgunji_9</v>
      </c>
      <c r="D692" s="12" t="s">
        <v>860</v>
      </c>
      <c r="E692" s="2" t="s">
        <v>25</v>
      </c>
      <c r="F692" s="2" t="s">
        <v>861</v>
      </c>
    </row>
    <row r="693" ht="22.5" customHeight="1">
      <c r="A693" s="5" t="s">
        <v>862</v>
      </c>
      <c r="B693" s="2"/>
      <c r="C693" s="18" t="str">
        <f t="shared" si="1"/>
        <v>Malkauns_1</v>
      </c>
      <c r="D693" s="18"/>
      <c r="E693" s="8" t="s">
        <v>25</v>
      </c>
      <c r="F693" s="8" t="s">
        <v>863</v>
      </c>
      <c r="H693" s="2"/>
      <c r="I693" s="2" t="s">
        <v>27</v>
      </c>
    </row>
    <row r="694" ht="22.5" customHeight="1">
      <c r="A694" s="5" t="s">
        <v>862</v>
      </c>
      <c r="B694" s="2"/>
      <c r="C694" s="18" t="str">
        <f t="shared" si="1"/>
        <v>Malkauns_2</v>
      </c>
      <c r="D694" s="18"/>
      <c r="E694" s="8" t="s">
        <v>25</v>
      </c>
      <c r="F694" s="8" t="s">
        <v>233</v>
      </c>
      <c r="H694" s="2"/>
      <c r="I694" s="2" t="s">
        <v>27</v>
      </c>
    </row>
    <row r="695" ht="22.5" customHeight="1">
      <c r="A695" s="5" t="s">
        <v>862</v>
      </c>
      <c r="B695" s="2"/>
      <c r="C695" s="18" t="str">
        <f t="shared" si="1"/>
        <v>Malkauns_3</v>
      </c>
      <c r="D695" s="18"/>
      <c r="E695" s="8" t="s">
        <v>25</v>
      </c>
      <c r="F695" s="8" t="s">
        <v>142</v>
      </c>
      <c r="H695" s="2"/>
      <c r="I695" s="2" t="s">
        <v>27</v>
      </c>
    </row>
    <row r="696" ht="22.5" customHeight="1">
      <c r="A696" s="5" t="s">
        <v>862</v>
      </c>
      <c r="B696" s="2"/>
      <c r="C696" s="18" t="str">
        <f t="shared" si="1"/>
        <v>Malkauns_4</v>
      </c>
      <c r="D696" s="18"/>
      <c r="E696" s="8" t="s">
        <v>25</v>
      </c>
      <c r="F696" s="8" t="s">
        <v>94</v>
      </c>
      <c r="H696" s="2"/>
      <c r="I696" s="2" t="s">
        <v>27</v>
      </c>
    </row>
    <row r="697" ht="22.5" customHeight="1">
      <c r="A697" s="5" t="s">
        <v>862</v>
      </c>
      <c r="B697" s="2"/>
      <c r="C697" s="18" t="str">
        <f t="shared" si="1"/>
        <v>Malkauns_5</v>
      </c>
      <c r="D697" s="18"/>
      <c r="E697" s="8" t="s">
        <v>25</v>
      </c>
      <c r="F697" s="8" t="s">
        <v>34</v>
      </c>
      <c r="H697" s="2"/>
      <c r="I697" s="2" t="s">
        <v>27</v>
      </c>
    </row>
    <row r="698" ht="22.5" customHeight="1">
      <c r="A698" s="5" t="s">
        <v>862</v>
      </c>
      <c r="B698" s="2"/>
      <c r="C698" s="18" t="str">
        <f t="shared" si="1"/>
        <v>Malkauns_6</v>
      </c>
      <c r="D698" s="18"/>
      <c r="E698" s="8" t="s">
        <v>25</v>
      </c>
      <c r="F698" s="8" t="s">
        <v>102</v>
      </c>
      <c r="H698" s="2"/>
      <c r="I698" s="2" t="s">
        <v>27</v>
      </c>
    </row>
    <row r="699" ht="22.5" customHeight="1">
      <c r="A699" s="5" t="s">
        <v>862</v>
      </c>
      <c r="B699" s="2"/>
      <c r="C699" s="18" t="str">
        <f t="shared" si="1"/>
        <v>Malkauns_7</v>
      </c>
      <c r="D699" s="18"/>
      <c r="E699" s="8" t="s">
        <v>25</v>
      </c>
      <c r="F699" s="8" t="s">
        <v>83</v>
      </c>
      <c r="H699" s="2"/>
      <c r="I699" s="2" t="s">
        <v>27</v>
      </c>
    </row>
    <row r="700" ht="22.5" customHeight="1">
      <c r="A700" s="5" t="s">
        <v>862</v>
      </c>
      <c r="B700" s="2"/>
      <c r="C700" s="18" t="str">
        <f t="shared" si="1"/>
        <v>Malkauns_8</v>
      </c>
      <c r="D700" s="18"/>
      <c r="E700" s="8" t="s">
        <v>25</v>
      </c>
      <c r="F700" s="8" t="s">
        <v>103</v>
      </c>
      <c r="H700" s="2"/>
      <c r="I700" s="2" t="s">
        <v>27</v>
      </c>
    </row>
    <row r="701" ht="22.5" customHeight="1">
      <c r="A701" s="5" t="s">
        <v>862</v>
      </c>
      <c r="B701" s="2"/>
      <c r="C701" s="18" t="str">
        <f t="shared" si="1"/>
        <v>Malkauns_9</v>
      </c>
      <c r="D701" s="18"/>
      <c r="E701" s="8" t="s">
        <v>25</v>
      </c>
      <c r="F701" s="8" t="s">
        <v>864</v>
      </c>
      <c r="H701" s="2"/>
      <c r="I701" s="2" t="s">
        <v>27</v>
      </c>
    </row>
    <row r="702" ht="22.5" customHeight="1">
      <c r="A702" s="5" t="s">
        <v>862</v>
      </c>
      <c r="B702" s="2"/>
      <c r="C702" s="18" t="str">
        <f t="shared" si="1"/>
        <v>Malkauns_10</v>
      </c>
      <c r="D702" s="18"/>
      <c r="E702" s="8" t="s">
        <v>25</v>
      </c>
      <c r="F702" s="8" t="s">
        <v>37</v>
      </c>
      <c r="H702" s="2"/>
      <c r="I702" s="2" t="s">
        <v>27</v>
      </c>
    </row>
    <row r="703" ht="22.5" customHeight="1">
      <c r="A703" s="5" t="s">
        <v>865</v>
      </c>
      <c r="B703" s="2" t="s">
        <v>24</v>
      </c>
      <c r="C703" s="18" t="str">
        <f t="shared" si="1"/>
        <v>Mand_1</v>
      </c>
      <c r="D703" s="15" t="s">
        <v>866</v>
      </c>
      <c r="E703" s="2" t="s">
        <v>25</v>
      </c>
      <c r="F703" s="2" t="s">
        <v>37</v>
      </c>
    </row>
    <row r="704" ht="22.5" customHeight="1">
      <c r="A704" s="5" t="s">
        <v>865</v>
      </c>
      <c r="B704" s="2" t="s">
        <v>28</v>
      </c>
      <c r="C704" s="45" t="str">
        <f t="shared" si="1"/>
        <v>Mand_2</v>
      </c>
      <c r="D704" s="12" t="s">
        <v>867</v>
      </c>
      <c r="E704" s="2" t="s">
        <v>91</v>
      </c>
      <c r="F704" s="2" t="s">
        <v>361</v>
      </c>
    </row>
    <row r="705" ht="22.5" customHeight="1">
      <c r="A705" s="5" t="s">
        <v>865</v>
      </c>
      <c r="B705" s="2" t="s">
        <v>38</v>
      </c>
      <c r="C705" s="45" t="str">
        <f t="shared" si="1"/>
        <v>Mand_3</v>
      </c>
      <c r="D705" s="12" t="s">
        <v>868</v>
      </c>
      <c r="E705" s="2" t="s">
        <v>25</v>
      </c>
      <c r="F705" s="2" t="s">
        <v>153</v>
      </c>
      <c r="H705" s="2"/>
      <c r="I705" s="2" t="s">
        <v>154</v>
      </c>
    </row>
    <row r="706" ht="22.5" customHeight="1">
      <c r="A706" s="5" t="s">
        <v>865</v>
      </c>
      <c r="B706" s="2" t="s">
        <v>2386</v>
      </c>
      <c r="C706" s="45" t="str">
        <f t="shared" si="1"/>
        <v>Mand_4</v>
      </c>
      <c r="D706" s="12" t="s">
        <v>869</v>
      </c>
      <c r="E706" s="2" t="s">
        <v>114</v>
      </c>
      <c r="F706" s="2" t="s">
        <v>612</v>
      </c>
    </row>
    <row r="707" ht="22.5" customHeight="1">
      <c r="A707" s="5" t="s">
        <v>865</v>
      </c>
      <c r="B707" s="2" t="s">
        <v>32</v>
      </c>
      <c r="C707" s="45" t="str">
        <f t="shared" si="1"/>
        <v>Mand_5</v>
      </c>
      <c r="D707" s="12" t="s">
        <v>870</v>
      </c>
      <c r="E707" s="2" t="s">
        <v>25</v>
      </c>
      <c r="F707" s="2" t="s">
        <v>871</v>
      </c>
    </row>
    <row r="708" ht="22.5" customHeight="1">
      <c r="A708" s="5" t="s">
        <v>865</v>
      </c>
      <c r="B708" s="2" t="s">
        <v>24</v>
      </c>
      <c r="C708" s="45" t="str">
        <f t="shared" si="1"/>
        <v>Mand_6</v>
      </c>
      <c r="D708" s="12" t="s">
        <v>872</v>
      </c>
      <c r="E708" s="2" t="s">
        <v>25</v>
      </c>
      <c r="F708" s="2" t="s">
        <v>871</v>
      </c>
    </row>
    <row r="709" ht="22.5" customHeight="1">
      <c r="A709" s="5" t="s">
        <v>865</v>
      </c>
      <c r="B709" s="2" t="s">
        <v>2386</v>
      </c>
      <c r="C709" s="45" t="str">
        <f t="shared" si="1"/>
        <v>Mand_7</v>
      </c>
      <c r="D709" s="12" t="s">
        <v>873</v>
      </c>
      <c r="E709" s="2" t="s">
        <v>25</v>
      </c>
      <c r="F709" s="2" t="s">
        <v>871</v>
      </c>
    </row>
    <row r="710" ht="22.5" customHeight="1">
      <c r="A710" s="5" t="s">
        <v>865</v>
      </c>
      <c r="B710" s="2" t="s">
        <v>43</v>
      </c>
      <c r="C710" s="18" t="str">
        <f t="shared" si="1"/>
        <v>Mand_8</v>
      </c>
      <c r="D710" s="15" t="s">
        <v>874</v>
      </c>
      <c r="E710" s="2" t="s">
        <v>25</v>
      </c>
      <c r="F710" s="2" t="s">
        <v>110</v>
      </c>
    </row>
    <row r="711" ht="22.5" customHeight="1">
      <c r="A711" s="5" t="s">
        <v>865</v>
      </c>
      <c r="B711" s="2" t="s">
        <v>24</v>
      </c>
      <c r="C711" s="45" t="str">
        <f t="shared" si="1"/>
        <v>Mand_9</v>
      </c>
      <c r="D711" s="12" t="s">
        <v>875</v>
      </c>
      <c r="E711" s="2" t="s">
        <v>25</v>
      </c>
      <c r="F711" s="2" t="s">
        <v>871</v>
      </c>
    </row>
    <row r="712" ht="22.5" customHeight="1">
      <c r="A712" s="5" t="s">
        <v>876</v>
      </c>
      <c r="B712" s="21" t="s">
        <v>43</v>
      </c>
      <c r="C712" s="18" t="str">
        <f t="shared" si="1"/>
        <v>Manj Khamaj_1</v>
      </c>
      <c r="D712" s="15" t="s">
        <v>877</v>
      </c>
      <c r="E712" s="2" t="s">
        <v>25</v>
      </c>
      <c r="F712" s="2" t="s">
        <v>157</v>
      </c>
    </row>
    <row r="713" ht="22.5" customHeight="1">
      <c r="A713" s="5" t="s">
        <v>876</v>
      </c>
      <c r="B713" s="2" t="s">
        <v>32</v>
      </c>
      <c r="C713" s="45" t="str">
        <f t="shared" si="1"/>
        <v>Manj Khamaj_2</v>
      </c>
      <c r="D713" s="12" t="s">
        <v>878</v>
      </c>
      <c r="E713" s="2" t="s">
        <v>25</v>
      </c>
      <c r="F713" s="2" t="s">
        <v>233</v>
      </c>
    </row>
    <row r="714" ht="22.5" customHeight="1">
      <c r="A714" s="5" t="s">
        <v>876</v>
      </c>
      <c r="B714" s="2" t="s">
        <v>32</v>
      </c>
      <c r="C714" s="45" t="str">
        <f t="shared" si="1"/>
        <v>Manj Khamaj_3</v>
      </c>
      <c r="D714" s="12" t="s">
        <v>879</v>
      </c>
      <c r="E714" s="2" t="s">
        <v>25</v>
      </c>
      <c r="F714" s="2" t="s">
        <v>37</v>
      </c>
    </row>
    <row r="715" ht="22.5" customHeight="1">
      <c r="A715" s="5" t="s">
        <v>876</v>
      </c>
      <c r="B715" s="2" t="s">
        <v>58</v>
      </c>
      <c r="C715" s="45" t="str">
        <f t="shared" si="1"/>
        <v>Manj Khamaj_4</v>
      </c>
      <c r="D715" s="12" t="s">
        <v>880</v>
      </c>
      <c r="E715" s="2" t="s">
        <v>25</v>
      </c>
      <c r="F715" s="2" t="s">
        <v>881</v>
      </c>
    </row>
    <row r="716" ht="22.5" customHeight="1">
      <c r="A716" s="5" t="s">
        <v>876</v>
      </c>
      <c r="B716" s="21" t="s">
        <v>89</v>
      </c>
      <c r="C716" s="45" t="str">
        <f t="shared" si="1"/>
        <v>Manj Khamaj_5</v>
      </c>
      <c r="D716" s="12" t="s">
        <v>882</v>
      </c>
      <c r="E716" s="2" t="s">
        <v>114</v>
      </c>
      <c r="F716" s="2" t="s">
        <v>170</v>
      </c>
    </row>
    <row r="717" ht="22.5" customHeight="1">
      <c r="A717" s="5" t="s">
        <v>876</v>
      </c>
      <c r="B717" s="2" t="s">
        <v>32</v>
      </c>
      <c r="C717" s="45" t="str">
        <f t="shared" si="1"/>
        <v>Manj Khamaj_6</v>
      </c>
      <c r="D717" s="12" t="s">
        <v>883</v>
      </c>
      <c r="E717" s="2" t="s">
        <v>762</v>
      </c>
      <c r="F717" s="2" t="s">
        <v>763</v>
      </c>
    </row>
    <row r="718" ht="22.5" customHeight="1">
      <c r="A718" s="5" t="s">
        <v>876</v>
      </c>
      <c r="B718" s="2" t="s">
        <v>2386</v>
      </c>
      <c r="C718" s="45" t="str">
        <f t="shared" si="1"/>
        <v>Manj Khamaj_7</v>
      </c>
      <c r="D718" s="12" t="s">
        <v>884</v>
      </c>
      <c r="E718" s="2" t="s">
        <v>114</v>
      </c>
      <c r="F718" s="2" t="s">
        <v>211</v>
      </c>
    </row>
    <row r="719" ht="22.5" customHeight="1">
      <c r="A719" s="5" t="s">
        <v>876</v>
      </c>
      <c r="B719" s="2" t="s">
        <v>28</v>
      </c>
      <c r="C719" s="45" t="str">
        <f t="shared" si="1"/>
        <v>Manj Khamaj_8</v>
      </c>
      <c r="D719" s="12" t="s">
        <v>885</v>
      </c>
      <c r="E719" s="2" t="s">
        <v>167</v>
      </c>
      <c r="F719" s="2" t="s">
        <v>168</v>
      </c>
    </row>
    <row r="720" ht="22.5" customHeight="1">
      <c r="A720" s="5" t="s">
        <v>876</v>
      </c>
      <c r="B720" s="2" t="s">
        <v>38</v>
      </c>
      <c r="C720" s="45" t="str">
        <f t="shared" si="1"/>
        <v>Manj Khamaj_9</v>
      </c>
      <c r="D720" s="12" t="s">
        <v>886</v>
      </c>
      <c r="E720" s="2" t="s">
        <v>25</v>
      </c>
      <c r="F720" s="2" t="s">
        <v>153</v>
      </c>
      <c r="H720" s="2"/>
      <c r="I720" s="2" t="s">
        <v>154</v>
      </c>
    </row>
    <row r="721" ht="22.5" customHeight="1">
      <c r="A721" s="5" t="s">
        <v>876</v>
      </c>
      <c r="B721" s="21" t="s">
        <v>2386</v>
      </c>
      <c r="C721" s="45" t="str">
        <f t="shared" si="1"/>
        <v>Manj Khamaj_10</v>
      </c>
      <c r="D721" s="12" t="s">
        <v>887</v>
      </c>
      <c r="E721" s="2" t="s">
        <v>25</v>
      </c>
      <c r="F721" s="2" t="s">
        <v>233</v>
      </c>
    </row>
    <row r="722" ht="22.5" customHeight="1">
      <c r="A722" s="5" t="s">
        <v>888</v>
      </c>
      <c r="B722" s="2"/>
      <c r="C722" s="18" t="str">
        <f t="shared" si="1"/>
        <v>Maru Bihag_1</v>
      </c>
      <c r="D722" s="18"/>
      <c r="E722" s="8" t="s">
        <v>25</v>
      </c>
      <c r="F722" s="8" t="s">
        <v>26</v>
      </c>
      <c r="H722" s="2"/>
      <c r="I722" s="2" t="s">
        <v>27</v>
      </c>
    </row>
    <row r="723" ht="22.5" customHeight="1">
      <c r="A723" s="5" t="s">
        <v>888</v>
      </c>
      <c r="B723" s="2"/>
      <c r="C723" s="18" t="str">
        <f t="shared" si="1"/>
        <v>Maru Bihag_2</v>
      </c>
      <c r="D723" s="18"/>
      <c r="E723" s="8" t="s">
        <v>25</v>
      </c>
      <c r="F723" s="8" t="s">
        <v>26</v>
      </c>
      <c r="H723" s="2"/>
      <c r="I723" s="2" t="s">
        <v>27</v>
      </c>
    </row>
    <row r="724" ht="22.5" customHeight="1">
      <c r="A724" s="5" t="s">
        <v>888</v>
      </c>
      <c r="B724" s="2"/>
      <c r="C724" s="18" t="str">
        <f t="shared" si="1"/>
        <v>Maru Bihag_3</v>
      </c>
      <c r="D724" s="18"/>
      <c r="E724" s="8" t="s">
        <v>25</v>
      </c>
      <c r="F724" s="8" t="s">
        <v>26</v>
      </c>
      <c r="H724" s="2"/>
      <c r="I724" s="2" t="s">
        <v>27</v>
      </c>
    </row>
    <row r="725" ht="22.5" customHeight="1">
      <c r="A725" s="5" t="s">
        <v>888</v>
      </c>
      <c r="B725" s="2"/>
      <c r="C725" s="18" t="str">
        <f t="shared" si="1"/>
        <v>Maru Bihag_4</v>
      </c>
      <c r="D725" s="18"/>
      <c r="E725" s="8" t="s">
        <v>25</v>
      </c>
      <c r="F725" s="8" t="s">
        <v>142</v>
      </c>
      <c r="H725" s="2"/>
      <c r="I725" s="2" t="s">
        <v>27</v>
      </c>
    </row>
    <row r="726" ht="22.5" customHeight="1">
      <c r="A726" s="5" t="s">
        <v>888</v>
      </c>
      <c r="B726" s="2"/>
      <c r="C726" s="18" t="str">
        <f t="shared" si="1"/>
        <v>Maru Bihag_5</v>
      </c>
      <c r="D726" s="18"/>
      <c r="E726" s="8" t="s">
        <v>25</v>
      </c>
      <c r="F726" s="8" t="s">
        <v>64</v>
      </c>
      <c r="H726" s="2"/>
      <c r="I726" s="2" t="s">
        <v>27</v>
      </c>
    </row>
    <row r="727" ht="22.5" customHeight="1">
      <c r="A727" s="5" t="s">
        <v>888</v>
      </c>
      <c r="B727" s="2"/>
      <c r="C727" s="18" t="str">
        <f t="shared" si="1"/>
        <v>Maru Bihag_6</v>
      </c>
      <c r="D727" s="18"/>
      <c r="E727" s="8" t="s">
        <v>25</v>
      </c>
      <c r="F727" s="8" t="s">
        <v>30</v>
      </c>
      <c r="H727" s="2"/>
      <c r="I727" s="2" t="s">
        <v>27</v>
      </c>
    </row>
    <row r="728" ht="22.5" customHeight="1">
      <c r="A728" s="5" t="s">
        <v>888</v>
      </c>
      <c r="B728" s="2"/>
      <c r="C728" s="18" t="str">
        <f t="shared" si="1"/>
        <v>Maru Bihag_7</v>
      </c>
      <c r="D728" s="18"/>
      <c r="E728" s="8" t="s">
        <v>25</v>
      </c>
      <c r="F728" s="8" t="s">
        <v>56</v>
      </c>
      <c r="H728" s="2"/>
      <c r="I728" s="2" t="s">
        <v>27</v>
      </c>
    </row>
    <row r="729" ht="22.5" customHeight="1">
      <c r="A729" s="5" t="s">
        <v>888</v>
      </c>
      <c r="B729" s="2"/>
      <c r="C729" s="18" t="str">
        <f t="shared" si="1"/>
        <v>Maru Bihag_8</v>
      </c>
      <c r="D729" s="18"/>
      <c r="E729" s="8" t="s">
        <v>25</v>
      </c>
      <c r="F729" s="8" t="s">
        <v>157</v>
      </c>
      <c r="H729" s="2"/>
      <c r="I729" s="2" t="s">
        <v>27</v>
      </c>
    </row>
    <row r="730" ht="22.5" customHeight="1">
      <c r="A730" s="5" t="s">
        <v>888</v>
      </c>
      <c r="B730" s="2"/>
      <c r="C730" s="18" t="str">
        <f t="shared" si="1"/>
        <v>Maru Bihag_9</v>
      </c>
      <c r="D730" s="18"/>
      <c r="E730" s="8" t="s">
        <v>25</v>
      </c>
      <c r="F730" s="8" t="s">
        <v>157</v>
      </c>
      <c r="H730" s="2"/>
      <c r="I730" s="2" t="s">
        <v>27</v>
      </c>
    </row>
    <row r="731" ht="22.5" customHeight="1">
      <c r="A731" s="5" t="s">
        <v>888</v>
      </c>
      <c r="B731" s="2"/>
      <c r="C731" s="18" t="str">
        <f t="shared" si="1"/>
        <v>Maru Bihag_10</v>
      </c>
      <c r="D731" s="18"/>
      <c r="E731" s="8" t="s">
        <v>25</v>
      </c>
      <c r="F731" s="8" t="s">
        <v>37</v>
      </c>
      <c r="H731" s="2"/>
      <c r="I731" s="2" t="s">
        <v>27</v>
      </c>
    </row>
    <row r="732" ht="22.5" customHeight="1">
      <c r="A732" s="5" t="s">
        <v>889</v>
      </c>
      <c r="B732" s="2"/>
      <c r="C732" s="18" t="str">
        <f t="shared" si="1"/>
        <v>Marwa_1</v>
      </c>
      <c r="D732" s="18"/>
      <c r="E732" s="8" t="s">
        <v>25</v>
      </c>
      <c r="F732" s="8" t="s">
        <v>890</v>
      </c>
      <c r="H732" s="2"/>
      <c r="I732" s="2" t="s">
        <v>27</v>
      </c>
    </row>
    <row r="733" ht="22.5" customHeight="1">
      <c r="A733" s="5" t="s">
        <v>889</v>
      </c>
      <c r="B733" s="2"/>
      <c r="C733" s="18" t="str">
        <f t="shared" si="1"/>
        <v>Marwa_2</v>
      </c>
      <c r="D733" s="18"/>
      <c r="E733" s="8" t="s">
        <v>25</v>
      </c>
      <c r="F733" s="8" t="s">
        <v>286</v>
      </c>
      <c r="H733" s="2"/>
      <c r="I733" s="2" t="s">
        <v>27</v>
      </c>
    </row>
    <row r="734" ht="22.5" customHeight="1">
      <c r="A734" s="5" t="s">
        <v>889</v>
      </c>
      <c r="B734" s="2"/>
      <c r="C734" s="18" t="str">
        <f t="shared" si="1"/>
        <v>Marwa_3</v>
      </c>
      <c r="D734" s="18"/>
      <c r="E734" s="8" t="s">
        <v>25</v>
      </c>
      <c r="F734" s="8" t="s">
        <v>69</v>
      </c>
      <c r="H734" s="2"/>
      <c r="I734" s="2" t="s">
        <v>27</v>
      </c>
    </row>
    <row r="735" ht="22.5" customHeight="1">
      <c r="A735" s="5" t="s">
        <v>889</v>
      </c>
      <c r="B735" s="2"/>
      <c r="C735" s="18" t="str">
        <f t="shared" si="1"/>
        <v>Marwa_4</v>
      </c>
      <c r="D735" s="18"/>
      <c r="E735" s="8" t="s">
        <v>25</v>
      </c>
      <c r="F735" s="8" t="s">
        <v>143</v>
      </c>
      <c r="H735" s="2"/>
      <c r="I735" s="2" t="s">
        <v>27</v>
      </c>
    </row>
    <row r="736" ht="22.5" customHeight="1">
      <c r="A736" s="5" t="s">
        <v>889</v>
      </c>
      <c r="B736" s="2"/>
      <c r="C736" s="18" t="str">
        <f t="shared" si="1"/>
        <v>Marwa_5</v>
      </c>
      <c r="D736" s="18"/>
      <c r="E736" s="8" t="s">
        <v>25</v>
      </c>
      <c r="F736" s="8" t="s">
        <v>56</v>
      </c>
      <c r="H736" s="2"/>
      <c r="I736" s="2" t="s">
        <v>27</v>
      </c>
    </row>
    <row r="737" ht="22.5" customHeight="1">
      <c r="A737" s="5" t="s">
        <v>889</v>
      </c>
      <c r="B737" s="2"/>
      <c r="C737" s="18" t="str">
        <f t="shared" si="1"/>
        <v>Marwa_6</v>
      </c>
      <c r="D737" s="18"/>
      <c r="E737" s="8" t="s">
        <v>25</v>
      </c>
      <c r="F737" s="8" t="s">
        <v>34</v>
      </c>
      <c r="H737" s="2"/>
      <c r="I737" s="2" t="s">
        <v>27</v>
      </c>
    </row>
    <row r="738" ht="22.5" customHeight="1">
      <c r="A738" s="5" t="s">
        <v>889</v>
      </c>
      <c r="B738" s="2"/>
      <c r="C738" s="18" t="str">
        <f t="shared" si="1"/>
        <v>Marwa_7</v>
      </c>
      <c r="D738" s="18"/>
      <c r="E738" s="8" t="s">
        <v>25</v>
      </c>
      <c r="F738" s="8" t="s">
        <v>34</v>
      </c>
      <c r="H738" s="2"/>
      <c r="I738" s="2" t="s">
        <v>27</v>
      </c>
    </row>
    <row r="739" ht="22.5" customHeight="1">
      <c r="A739" s="5" t="s">
        <v>889</v>
      </c>
      <c r="B739" s="2"/>
      <c r="C739" s="18" t="str">
        <f t="shared" si="1"/>
        <v>Marwa_8</v>
      </c>
      <c r="D739" s="18"/>
      <c r="E739" s="8" t="s">
        <v>25</v>
      </c>
      <c r="F739" s="8" t="s">
        <v>709</v>
      </c>
      <c r="H739" s="2"/>
      <c r="I739" s="2" t="s">
        <v>27</v>
      </c>
    </row>
    <row r="740" ht="22.5" customHeight="1">
      <c r="A740" s="5" t="s">
        <v>889</v>
      </c>
      <c r="B740" s="2"/>
      <c r="C740" s="18" t="str">
        <f t="shared" si="1"/>
        <v>Marwa_9</v>
      </c>
      <c r="D740" s="18"/>
      <c r="E740" s="8" t="s">
        <v>25</v>
      </c>
      <c r="F740" s="8" t="s">
        <v>70</v>
      </c>
      <c r="H740" s="2"/>
      <c r="I740" s="2" t="s">
        <v>27</v>
      </c>
    </row>
    <row r="741" ht="22.5" customHeight="1">
      <c r="A741" s="5" t="s">
        <v>889</v>
      </c>
      <c r="B741" s="2"/>
      <c r="C741" s="18" t="str">
        <f t="shared" si="1"/>
        <v>Marwa_10</v>
      </c>
      <c r="D741" s="18"/>
      <c r="E741" s="8" t="s">
        <v>25</v>
      </c>
      <c r="F741" s="8" t="s">
        <v>71</v>
      </c>
      <c r="H741" s="2"/>
      <c r="I741" s="2" t="s">
        <v>27</v>
      </c>
    </row>
    <row r="742" ht="22.5" customHeight="1">
      <c r="A742" s="5" t="s">
        <v>891</v>
      </c>
      <c r="B742" s="2" t="s">
        <v>36</v>
      </c>
      <c r="C742" s="45" t="str">
        <f t="shared" si="1"/>
        <v>Megh_1</v>
      </c>
      <c r="D742" s="12" t="s">
        <v>892</v>
      </c>
      <c r="E742" s="2" t="s">
        <v>162</v>
      </c>
      <c r="F742" s="2" t="s">
        <v>163</v>
      </c>
    </row>
    <row r="743" ht="22.5" customHeight="1">
      <c r="A743" s="5" t="s">
        <v>891</v>
      </c>
      <c r="B743" s="2" t="s">
        <v>24</v>
      </c>
      <c r="C743" s="45" t="str">
        <f t="shared" si="1"/>
        <v>Megh_2</v>
      </c>
      <c r="D743" s="12" t="s">
        <v>893</v>
      </c>
      <c r="E743" s="2" t="s">
        <v>25</v>
      </c>
      <c r="F743" s="2" t="s">
        <v>69</v>
      </c>
    </row>
    <row r="744" ht="22.5" customHeight="1">
      <c r="A744" s="5" t="s">
        <v>891</v>
      </c>
      <c r="B744" s="2" t="s">
        <v>43</v>
      </c>
      <c r="C744" s="45" t="str">
        <f t="shared" si="1"/>
        <v>Megh_3</v>
      </c>
      <c r="D744" s="12" t="s">
        <v>894</v>
      </c>
      <c r="E744" s="2" t="s">
        <v>25</v>
      </c>
      <c r="F744" s="2" t="s">
        <v>94</v>
      </c>
    </row>
    <row r="745" ht="22.5" customHeight="1">
      <c r="A745" s="5" t="s">
        <v>891</v>
      </c>
      <c r="B745" s="2" t="s">
        <v>32</v>
      </c>
      <c r="C745" s="45" t="str">
        <f t="shared" si="1"/>
        <v>Megh_4</v>
      </c>
      <c r="D745" s="12" t="s">
        <v>895</v>
      </c>
      <c r="E745" s="2" t="s">
        <v>25</v>
      </c>
      <c r="F745" s="2" t="s">
        <v>864</v>
      </c>
    </row>
    <row r="746" ht="22.5" customHeight="1">
      <c r="A746" s="5" t="s">
        <v>891</v>
      </c>
      <c r="B746" s="2" t="s">
        <v>38</v>
      </c>
      <c r="C746" s="18" t="str">
        <f t="shared" si="1"/>
        <v>Megh_5</v>
      </c>
      <c r="D746" s="15" t="s">
        <v>896</v>
      </c>
      <c r="E746" s="2" t="s">
        <v>25</v>
      </c>
      <c r="F746" s="2" t="s">
        <v>157</v>
      </c>
    </row>
    <row r="747" ht="22.5" customHeight="1">
      <c r="A747" s="5" t="s">
        <v>891</v>
      </c>
      <c r="B747" s="2" t="s">
        <v>32</v>
      </c>
      <c r="C747" s="45" t="str">
        <f t="shared" si="1"/>
        <v>Megh_6</v>
      </c>
      <c r="D747" s="12" t="s">
        <v>897</v>
      </c>
      <c r="E747" s="2" t="s">
        <v>25</v>
      </c>
      <c r="F747" s="2" t="s">
        <v>34</v>
      </c>
    </row>
    <row r="748" ht="22.5" customHeight="1">
      <c r="A748" s="5" t="s">
        <v>891</v>
      </c>
      <c r="B748" s="2" t="s">
        <v>38</v>
      </c>
      <c r="C748" s="45" t="str">
        <f t="shared" si="1"/>
        <v>Megh_7</v>
      </c>
      <c r="D748" s="12" t="s">
        <v>898</v>
      </c>
      <c r="E748" s="2" t="s">
        <v>25</v>
      </c>
      <c r="F748" s="2" t="s">
        <v>134</v>
      </c>
    </row>
    <row r="749" ht="22.5" customHeight="1">
      <c r="A749" s="5" t="s">
        <v>891</v>
      </c>
      <c r="B749" s="2" t="s">
        <v>38</v>
      </c>
      <c r="C749" s="45" t="str">
        <f t="shared" si="1"/>
        <v>Megh_8</v>
      </c>
      <c r="D749" s="12" t="s">
        <v>899</v>
      </c>
      <c r="E749" s="2" t="s">
        <v>25</v>
      </c>
      <c r="F749" s="2" t="s">
        <v>412</v>
      </c>
    </row>
    <row r="750" ht="22.5" customHeight="1">
      <c r="A750" s="5" t="s">
        <v>891</v>
      </c>
      <c r="B750" s="2" t="s">
        <v>24</v>
      </c>
      <c r="C750" s="18" t="str">
        <f t="shared" si="1"/>
        <v>Megh_9</v>
      </c>
      <c r="D750" s="15" t="s">
        <v>900</v>
      </c>
      <c r="E750" s="2" t="s">
        <v>25</v>
      </c>
      <c r="F750" s="2" t="s">
        <v>37</v>
      </c>
    </row>
    <row r="751" ht="22.5" customHeight="1">
      <c r="A751" s="5" t="s">
        <v>891</v>
      </c>
      <c r="B751" s="2" t="s">
        <v>32</v>
      </c>
      <c r="C751" s="45" t="str">
        <f t="shared" si="1"/>
        <v>Megh_10</v>
      </c>
      <c r="D751" s="12" t="s">
        <v>901</v>
      </c>
      <c r="E751" s="8" t="s">
        <v>25</v>
      </c>
      <c r="F751" s="2" t="s">
        <v>297</v>
      </c>
    </row>
    <row r="752" ht="22.5" customHeight="1">
      <c r="A752" s="5" t="s">
        <v>902</v>
      </c>
      <c r="B752" s="2" t="s">
        <v>43</v>
      </c>
      <c r="C752" s="45" t="str">
        <f t="shared" si="1"/>
        <v>Megh Malhar_1</v>
      </c>
      <c r="D752" s="12" t="s">
        <v>903</v>
      </c>
      <c r="E752" s="2" t="s">
        <v>25</v>
      </c>
      <c r="F752" s="2" t="s">
        <v>34</v>
      </c>
    </row>
    <row r="753" ht="22.5" customHeight="1">
      <c r="A753" s="5" t="s">
        <v>902</v>
      </c>
      <c r="B753" s="2" t="s">
        <v>38</v>
      </c>
      <c r="C753" s="45" t="str">
        <f t="shared" si="1"/>
        <v>Megh Malhar_2</v>
      </c>
      <c r="D753" s="12" t="s">
        <v>904</v>
      </c>
      <c r="E753" s="2" t="s">
        <v>25</v>
      </c>
      <c r="F753" s="2" t="s">
        <v>134</v>
      </c>
    </row>
    <row r="754" ht="22.5" customHeight="1">
      <c r="A754" s="5" t="s">
        <v>902</v>
      </c>
      <c r="B754" s="2" t="s">
        <v>38</v>
      </c>
      <c r="C754" s="45" t="str">
        <f t="shared" si="1"/>
        <v>Megh Malhar_3</v>
      </c>
      <c r="D754" s="12" t="s">
        <v>905</v>
      </c>
      <c r="E754" s="2" t="s">
        <v>25</v>
      </c>
      <c r="F754" s="2" t="s">
        <v>906</v>
      </c>
    </row>
    <row r="755" ht="22.5" customHeight="1">
      <c r="A755" s="5" t="s">
        <v>902</v>
      </c>
      <c r="B755" s="2" t="s">
        <v>127</v>
      </c>
      <c r="C755" s="45" t="str">
        <f t="shared" si="1"/>
        <v>Megh Malhar_4</v>
      </c>
      <c r="D755" s="12" t="s">
        <v>907</v>
      </c>
      <c r="E755" s="2" t="s">
        <v>25</v>
      </c>
      <c r="F755" s="2" t="s">
        <v>575</v>
      </c>
    </row>
    <row r="756" ht="22.5" customHeight="1">
      <c r="A756" s="5" t="s">
        <v>902</v>
      </c>
      <c r="B756" s="2" t="s">
        <v>38</v>
      </c>
      <c r="C756" s="45" t="str">
        <f t="shared" si="1"/>
        <v>Megh Malhar_5</v>
      </c>
      <c r="D756" s="12" t="s">
        <v>908</v>
      </c>
      <c r="E756" s="2" t="s">
        <v>25</v>
      </c>
      <c r="F756" s="2" t="s">
        <v>909</v>
      </c>
    </row>
    <row r="757" ht="22.5" customHeight="1">
      <c r="A757" s="5" t="s">
        <v>902</v>
      </c>
      <c r="B757" s="2" t="s">
        <v>24</v>
      </c>
      <c r="C757" s="45" t="str">
        <f t="shared" si="1"/>
        <v>Megh Malhar_6</v>
      </c>
      <c r="D757" s="12" t="s">
        <v>910</v>
      </c>
      <c r="E757" s="2" t="s">
        <v>25</v>
      </c>
      <c r="F757" s="2" t="s">
        <v>26</v>
      </c>
    </row>
    <row r="758" ht="22.5" customHeight="1">
      <c r="A758" s="5" t="s">
        <v>911</v>
      </c>
      <c r="C758" s="18" t="str">
        <f t="shared" si="1"/>
        <v>Miyan ki Malhar_1</v>
      </c>
      <c r="D758" s="18"/>
      <c r="E758" s="8" t="s">
        <v>25</v>
      </c>
      <c r="F758" s="8" t="s">
        <v>26</v>
      </c>
      <c r="H758" s="2"/>
      <c r="I758" s="2" t="s">
        <v>27</v>
      </c>
    </row>
    <row r="759" ht="22.5" customHeight="1">
      <c r="A759" s="5" t="s">
        <v>911</v>
      </c>
      <c r="B759" s="2"/>
      <c r="C759" s="18" t="str">
        <f t="shared" si="1"/>
        <v>Miyan ki Malhar_2</v>
      </c>
      <c r="D759" s="18"/>
      <c r="E759" s="8" t="s">
        <v>25</v>
      </c>
      <c r="F759" s="8" t="s">
        <v>26</v>
      </c>
      <c r="H759" s="2"/>
      <c r="I759" s="2" t="s">
        <v>27</v>
      </c>
    </row>
    <row r="760" ht="22.5" customHeight="1">
      <c r="A760" s="5" t="s">
        <v>911</v>
      </c>
      <c r="B760" s="2"/>
      <c r="C760" s="18" t="str">
        <f t="shared" si="1"/>
        <v>Miyan ki Malhar_3</v>
      </c>
      <c r="D760" s="18"/>
      <c r="E760" s="8" t="s">
        <v>25</v>
      </c>
      <c r="F760" s="8" t="s">
        <v>68</v>
      </c>
      <c r="H760" s="2"/>
      <c r="I760" s="2" t="s">
        <v>27</v>
      </c>
    </row>
    <row r="761" ht="22.5" customHeight="1">
      <c r="A761" s="5" t="s">
        <v>911</v>
      </c>
      <c r="B761" s="2"/>
      <c r="C761" s="18" t="str">
        <f t="shared" si="1"/>
        <v>Miyan ki Malhar_4</v>
      </c>
      <c r="D761" s="18"/>
      <c r="E761" s="8" t="s">
        <v>25</v>
      </c>
      <c r="F761" s="8" t="s">
        <v>142</v>
      </c>
      <c r="H761" s="2"/>
      <c r="I761" s="2" t="s">
        <v>27</v>
      </c>
    </row>
    <row r="762" ht="22.5" customHeight="1">
      <c r="A762" s="5" t="s">
        <v>911</v>
      </c>
      <c r="B762" s="2"/>
      <c r="C762" s="18" t="str">
        <f t="shared" si="1"/>
        <v>Miyan ki Malhar_5</v>
      </c>
      <c r="D762" s="18"/>
      <c r="E762" s="8" t="s">
        <v>25</v>
      </c>
      <c r="F762" s="8" t="s">
        <v>143</v>
      </c>
      <c r="H762" s="2"/>
      <c r="I762" s="2" t="s">
        <v>27</v>
      </c>
    </row>
    <row r="763" ht="22.5" customHeight="1">
      <c r="A763" s="5" t="s">
        <v>911</v>
      </c>
      <c r="B763" s="2"/>
      <c r="C763" s="18" t="str">
        <f t="shared" si="1"/>
        <v>Miyan ki Malhar_6</v>
      </c>
      <c r="D763" s="18"/>
      <c r="E763" s="8" t="s">
        <v>25</v>
      </c>
      <c r="F763" s="8" t="s">
        <v>64</v>
      </c>
      <c r="H763" s="2"/>
      <c r="I763" s="2" t="s">
        <v>27</v>
      </c>
    </row>
    <row r="764" ht="22.5" customHeight="1">
      <c r="A764" s="5" t="s">
        <v>911</v>
      </c>
      <c r="B764" s="2"/>
      <c r="C764" s="18" t="str">
        <f t="shared" si="1"/>
        <v>Miyan ki Malhar_7</v>
      </c>
      <c r="D764" s="18"/>
      <c r="E764" s="8" t="s">
        <v>25</v>
      </c>
      <c r="F764" s="8" t="s">
        <v>56</v>
      </c>
      <c r="H764" s="2"/>
      <c r="I764" s="2" t="s">
        <v>27</v>
      </c>
    </row>
    <row r="765" ht="22.5" customHeight="1">
      <c r="A765" s="5" t="s">
        <v>911</v>
      </c>
      <c r="B765" s="2"/>
      <c r="C765" s="18" t="str">
        <f t="shared" si="1"/>
        <v>Miyan ki Malhar_8</v>
      </c>
      <c r="D765" s="18"/>
      <c r="E765" s="8" t="s">
        <v>25</v>
      </c>
      <c r="F765" s="8" t="s">
        <v>250</v>
      </c>
      <c r="H765" s="2"/>
      <c r="I765" s="2" t="s">
        <v>27</v>
      </c>
    </row>
    <row r="766" ht="22.5" customHeight="1">
      <c r="A766" s="5" t="s">
        <v>911</v>
      </c>
      <c r="B766" s="2"/>
      <c r="C766" s="18" t="str">
        <f t="shared" si="1"/>
        <v>Miyan ki Malhar_9</v>
      </c>
      <c r="D766" s="18"/>
      <c r="E766" s="8" t="s">
        <v>25</v>
      </c>
      <c r="F766" s="8" t="s">
        <v>34</v>
      </c>
      <c r="H766" s="2"/>
      <c r="I766" s="2" t="s">
        <v>27</v>
      </c>
    </row>
    <row r="767" ht="22.5" customHeight="1">
      <c r="A767" s="5" t="s">
        <v>911</v>
      </c>
      <c r="B767" s="2"/>
      <c r="C767" s="18" t="str">
        <f t="shared" si="1"/>
        <v>Miyan ki Malhar_10</v>
      </c>
      <c r="D767" s="18"/>
      <c r="E767" s="8" t="s">
        <v>25</v>
      </c>
      <c r="F767" s="8" t="s">
        <v>102</v>
      </c>
      <c r="H767" s="2"/>
      <c r="I767" s="2" t="s">
        <v>27</v>
      </c>
    </row>
    <row r="768" ht="22.5" customHeight="1">
      <c r="A768" s="5" t="s">
        <v>912</v>
      </c>
      <c r="B768" s="2" t="s">
        <v>28</v>
      </c>
      <c r="C768" s="45" t="str">
        <f t="shared" si="1"/>
        <v>Multani_1</v>
      </c>
      <c r="D768" s="12" t="s">
        <v>913</v>
      </c>
      <c r="E768" s="2" t="s">
        <v>25</v>
      </c>
      <c r="F768" s="2" t="s">
        <v>52</v>
      </c>
    </row>
    <row r="769" ht="22.5" customHeight="1">
      <c r="A769" s="5" t="s">
        <v>912</v>
      </c>
      <c r="B769" s="2" t="s">
        <v>32</v>
      </c>
      <c r="C769" s="45" t="str">
        <f t="shared" si="1"/>
        <v>Multani_2</v>
      </c>
      <c r="D769" s="12" t="s">
        <v>914</v>
      </c>
      <c r="E769" s="2" t="s">
        <v>25</v>
      </c>
      <c r="F769" s="2" t="s">
        <v>915</v>
      </c>
    </row>
    <row r="770" ht="22.5" customHeight="1">
      <c r="A770" s="5" t="s">
        <v>912</v>
      </c>
      <c r="B770" s="2" t="s">
        <v>28</v>
      </c>
      <c r="C770" s="45" t="str">
        <f t="shared" si="1"/>
        <v>Multani_3</v>
      </c>
      <c r="D770" s="12" t="s">
        <v>916</v>
      </c>
      <c r="E770" s="2" t="s">
        <v>167</v>
      </c>
      <c r="F770" s="2" t="s">
        <v>168</v>
      </c>
    </row>
    <row r="771" ht="22.5" customHeight="1">
      <c r="A771" s="5" t="s">
        <v>912</v>
      </c>
      <c r="B771" s="2" t="s">
        <v>28</v>
      </c>
      <c r="C771" s="45" t="str">
        <f t="shared" si="1"/>
        <v>Multani_4</v>
      </c>
      <c r="D771" s="12" t="s">
        <v>917</v>
      </c>
      <c r="E771" s="2" t="s">
        <v>25</v>
      </c>
      <c r="F771" s="2" t="s">
        <v>52</v>
      </c>
    </row>
    <row r="772" ht="22.5" customHeight="1">
      <c r="A772" s="5" t="s">
        <v>912</v>
      </c>
      <c r="B772" s="2" t="s">
        <v>43</v>
      </c>
      <c r="C772" s="45" t="str">
        <f t="shared" si="1"/>
        <v>Multani_5</v>
      </c>
      <c r="D772" s="12" t="s">
        <v>918</v>
      </c>
      <c r="E772" s="2" t="s">
        <v>25</v>
      </c>
      <c r="F772" s="2" t="s">
        <v>83</v>
      </c>
    </row>
    <row r="773" ht="22.5" customHeight="1">
      <c r="A773" s="5" t="s">
        <v>912</v>
      </c>
      <c r="B773" s="2" t="s">
        <v>62</v>
      </c>
      <c r="C773" s="45" t="str">
        <f t="shared" si="1"/>
        <v>Multani_6</v>
      </c>
      <c r="D773" s="12" t="s">
        <v>919</v>
      </c>
      <c r="E773" s="2" t="s">
        <v>25</v>
      </c>
      <c r="F773" s="2" t="s">
        <v>64</v>
      </c>
    </row>
    <row r="774" ht="22.5" customHeight="1">
      <c r="A774" s="5" t="s">
        <v>912</v>
      </c>
      <c r="B774" s="2" t="s">
        <v>38</v>
      </c>
      <c r="C774" s="18" t="str">
        <f t="shared" si="1"/>
        <v>Multani_7</v>
      </c>
      <c r="D774" s="15" t="s">
        <v>920</v>
      </c>
      <c r="E774" s="2" t="s">
        <v>25</v>
      </c>
      <c r="F774" s="2" t="s">
        <v>157</v>
      </c>
    </row>
    <row r="775" ht="22.5" customHeight="1">
      <c r="A775" s="5" t="s">
        <v>912</v>
      </c>
      <c r="B775" s="2" t="s">
        <v>43</v>
      </c>
      <c r="C775" s="45" t="str">
        <f t="shared" si="1"/>
        <v>Multani_8</v>
      </c>
      <c r="D775" s="12" t="s">
        <v>921</v>
      </c>
      <c r="E775" s="2" t="s">
        <v>25</v>
      </c>
      <c r="F775" s="2" t="s">
        <v>193</v>
      </c>
    </row>
    <row r="776" ht="22.5" customHeight="1">
      <c r="A776" s="5" t="s">
        <v>912</v>
      </c>
      <c r="B776" s="2" t="s">
        <v>43</v>
      </c>
      <c r="C776" s="45" t="str">
        <f t="shared" si="1"/>
        <v>Multani_9</v>
      </c>
      <c r="D776" s="27" t="s">
        <v>922</v>
      </c>
      <c r="E776" s="2" t="s">
        <v>25</v>
      </c>
      <c r="F776" s="2" t="s">
        <v>34</v>
      </c>
    </row>
    <row r="777" ht="22.5" customHeight="1">
      <c r="A777" s="5" t="s">
        <v>912</v>
      </c>
      <c r="B777" s="2" t="s">
        <v>67</v>
      </c>
      <c r="C777" s="45" t="str">
        <f t="shared" si="1"/>
        <v>Multani_10</v>
      </c>
      <c r="D777" s="12" t="s">
        <v>923</v>
      </c>
      <c r="E777" s="2" t="s">
        <v>25</v>
      </c>
      <c r="F777" s="2" t="s">
        <v>68</v>
      </c>
    </row>
    <row r="778" ht="22.5" customHeight="1">
      <c r="A778" s="5" t="s">
        <v>924</v>
      </c>
      <c r="B778" s="2" t="s">
        <v>24</v>
      </c>
      <c r="C778" s="45" t="str">
        <f t="shared" si="1"/>
        <v>Nand_1</v>
      </c>
      <c r="D778" s="12" t="s">
        <v>925</v>
      </c>
      <c r="E778" s="2" t="s">
        <v>25</v>
      </c>
      <c r="F778" s="2" t="s">
        <v>69</v>
      </c>
    </row>
    <row r="779" ht="22.5" customHeight="1">
      <c r="A779" s="5" t="s">
        <v>924</v>
      </c>
      <c r="B779" s="2" t="s">
        <v>43</v>
      </c>
      <c r="C779" s="45" t="str">
        <f t="shared" si="1"/>
        <v>Nand_2</v>
      </c>
      <c r="D779" s="12" t="s">
        <v>926</v>
      </c>
      <c r="E779" s="2" t="s">
        <v>25</v>
      </c>
      <c r="F779" s="2" t="s">
        <v>193</v>
      </c>
    </row>
    <row r="780" ht="22.5" customHeight="1">
      <c r="A780" s="5" t="s">
        <v>924</v>
      </c>
      <c r="B780" s="2" t="s">
        <v>38</v>
      </c>
      <c r="C780" s="45" t="str">
        <f t="shared" si="1"/>
        <v>Nand_3</v>
      </c>
      <c r="D780" s="12" t="s">
        <v>927</v>
      </c>
      <c r="E780" s="2" t="s">
        <v>25</v>
      </c>
      <c r="F780" s="2" t="s">
        <v>134</v>
      </c>
    </row>
    <row r="781" ht="22.5" customHeight="1">
      <c r="A781" s="5" t="s">
        <v>924</v>
      </c>
      <c r="B781" s="2" t="s">
        <v>24</v>
      </c>
      <c r="C781" s="45" t="str">
        <f t="shared" si="1"/>
        <v>Nand_4</v>
      </c>
      <c r="D781" s="12" t="s">
        <v>928</v>
      </c>
      <c r="E781" s="2" t="s">
        <v>25</v>
      </c>
      <c r="F781" s="2" t="s">
        <v>929</v>
      </c>
    </row>
    <row r="782" ht="22.5" customHeight="1">
      <c r="A782" s="5" t="s">
        <v>924</v>
      </c>
      <c r="B782" s="2" t="s">
        <v>28</v>
      </c>
      <c r="C782" s="45" t="str">
        <f t="shared" si="1"/>
        <v>Nand_5</v>
      </c>
      <c r="D782" s="12" t="s">
        <v>930</v>
      </c>
      <c r="E782" s="2" t="s">
        <v>25</v>
      </c>
      <c r="F782" s="8" t="s">
        <v>663</v>
      </c>
    </row>
    <row r="783" ht="22.5" customHeight="1">
      <c r="A783" s="5" t="s">
        <v>924</v>
      </c>
      <c r="B783" s="2" t="s">
        <v>28</v>
      </c>
      <c r="C783" s="45" t="str">
        <f t="shared" si="1"/>
        <v>Nand_6</v>
      </c>
      <c r="D783" s="12" t="s">
        <v>931</v>
      </c>
      <c r="E783" s="2" t="s">
        <v>25</v>
      </c>
      <c r="F783" s="2" t="s">
        <v>112</v>
      </c>
    </row>
    <row r="784" ht="22.5" customHeight="1">
      <c r="A784" s="5" t="s">
        <v>924</v>
      </c>
      <c r="B784" s="2" t="s">
        <v>43</v>
      </c>
      <c r="C784" s="45" t="str">
        <f t="shared" si="1"/>
        <v>Nand_7</v>
      </c>
      <c r="D784" s="12" t="s">
        <v>932</v>
      </c>
      <c r="E784" s="2" t="s">
        <v>25</v>
      </c>
      <c r="F784" s="2" t="s">
        <v>720</v>
      </c>
    </row>
    <row r="785" ht="22.5" customHeight="1">
      <c r="A785" s="5" t="s">
        <v>924</v>
      </c>
      <c r="B785" s="2" t="s">
        <v>29</v>
      </c>
      <c r="C785" s="45" t="str">
        <f t="shared" si="1"/>
        <v>Nand_8</v>
      </c>
      <c r="D785" s="12" t="s">
        <v>933</v>
      </c>
      <c r="E785" s="2" t="s">
        <v>25</v>
      </c>
      <c r="F785" s="2" t="s">
        <v>934</v>
      </c>
    </row>
    <row r="786" ht="22.5" customHeight="1">
      <c r="A786" s="5" t="s">
        <v>924</v>
      </c>
      <c r="B786" s="2" t="s">
        <v>67</v>
      </c>
      <c r="C786" s="45" t="str">
        <f t="shared" si="1"/>
        <v>Nand_9</v>
      </c>
      <c r="D786" s="12" t="s">
        <v>935</v>
      </c>
      <c r="E786" s="2" t="s">
        <v>25</v>
      </c>
      <c r="F786" s="2" t="s">
        <v>68</v>
      </c>
    </row>
    <row r="787" ht="22.5" customHeight="1">
      <c r="A787" s="5" t="s">
        <v>924</v>
      </c>
      <c r="B787" s="2" t="s">
        <v>38</v>
      </c>
      <c r="C787" s="45" t="str">
        <f t="shared" si="1"/>
        <v>Nand_10</v>
      </c>
      <c r="D787" s="12" t="s">
        <v>936</v>
      </c>
      <c r="E787" s="2" t="s">
        <v>25</v>
      </c>
      <c r="F787" s="2" t="s">
        <v>75</v>
      </c>
    </row>
    <row r="788" ht="22.5" customHeight="1">
      <c r="A788" s="5" t="s">
        <v>924</v>
      </c>
      <c r="B788" s="2" t="s">
        <v>43</v>
      </c>
      <c r="C788" s="45" t="str">
        <f t="shared" si="1"/>
        <v>Nand_11</v>
      </c>
      <c r="D788" s="12" t="s">
        <v>937</v>
      </c>
      <c r="E788" s="2" t="s">
        <v>25</v>
      </c>
      <c r="F788" s="2" t="s">
        <v>286</v>
      </c>
    </row>
    <row r="789" ht="22.5" customHeight="1">
      <c r="A789" s="5" t="s">
        <v>938</v>
      </c>
      <c r="B789" s="2" t="s">
        <v>62</v>
      </c>
      <c r="C789" s="45" t="str">
        <f t="shared" si="1"/>
        <v>Narayani_1</v>
      </c>
      <c r="D789" s="12" t="s">
        <v>939</v>
      </c>
      <c r="E789" s="2" t="s">
        <v>25</v>
      </c>
      <c r="F789" s="2" t="s">
        <v>153</v>
      </c>
      <c r="H789" s="2"/>
      <c r="I789" s="2" t="s">
        <v>154</v>
      </c>
    </row>
    <row r="790" ht="22.5" customHeight="1">
      <c r="A790" s="5" t="s">
        <v>938</v>
      </c>
      <c r="B790" s="2" t="s">
        <v>38</v>
      </c>
      <c r="C790" s="46" t="str">
        <f t="shared" si="1"/>
        <v>Narayani_2</v>
      </c>
      <c r="D790" s="13" t="s">
        <v>940</v>
      </c>
      <c r="E790" s="2" t="s">
        <v>25</v>
      </c>
      <c r="F790" s="2" t="s">
        <v>103</v>
      </c>
    </row>
    <row r="791" ht="22.5" customHeight="1">
      <c r="A791" s="5" t="s">
        <v>938</v>
      </c>
      <c r="B791" s="2" t="s">
        <v>24</v>
      </c>
      <c r="C791" s="46" t="str">
        <f t="shared" si="1"/>
        <v>Narayani_3</v>
      </c>
      <c r="D791" s="13" t="s">
        <v>941</v>
      </c>
      <c r="E791" s="2" t="s">
        <v>25</v>
      </c>
      <c r="F791" s="2" t="s">
        <v>517</v>
      </c>
    </row>
    <row r="792" ht="22.5" customHeight="1">
      <c r="A792" s="5" t="s">
        <v>938</v>
      </c>
      <c r="B792" s="2" t="s">
        <v>29</v>
      </c>
      <c r="C792" s="46" t="str">
        <f t="shared" si="1"/>
        <v>Narayani_4</v>
      </c>
      <c r="D792" s="13" t="s">
        <v>942</v>
      </c>
      <c r="E792" s="2" t="s">
        <v>25</v>
      </c>
      <c r="F792" s="2" t="s">
        <v>103</v>
      </c>
    </row>
    <row r="793" ht="22.5" customHeight="1">
      <c r="A793" s="5" t="s">
        <v>938</v>
      </c>
      <c r="B793" s="2" t="s">
        <v>32</v>
      </c>
      <c r="C793" s="45" t="str">
        <f t="shared" si="1"/>
        <v>Narayani_5</v>
      </c>
      <c r="D793" s="12" t="s">
        <v>943</v>
      </c>
      <c r="E793" s="2" t="s">
        <v>167</v>
      </c>
      <c r="F793" s="2" t="s">
        <v>944</v>
      </c>
    </row>
    <row r="794" ht="22.5" customHeight="1">
      <c r="A794" s="5" t="s">
        <v>938</v>
      </c>
      <c r="B794" s="2" t="s">
        <v>32</v>
      </c>
      <c r="C794" s="46" t="str">
        <f t="shared" si="1"/>
        <v>Narayani_6</v>
      </c>
      <c r="D794" s="13" t="s">
        <v>945</v>
      </c>
      <c r="E794" s="2" t="s">
        <v>25</v>
      </c>
      <c r="F794" s="2" t="s">
        <v>946</v>
      </c>
    </row>
    <row r="795" ht="22.5" customHeight="1">
      <c r="A795" s="5" t="s">
        <v>938</v>
      </c>
      <c r="B795" s="2" t="s">
        <v>43</v>
      </c>
      <c r="C795" s="46" t="str">
        <f t="shared" si="1"/>
        <v>Narayani_7</v>
      </c>
      <c r="D795" s="13" t="s">
        <v>947</v>
      </c>
      <c r="E795" s="2" t="s">
        <v>25</v>
      </c>
      <c r="F795" s="2" t="s">
        <v>948</v>
      </c>
    </row>
    <row r="796" ht="22.5" customHeight="1">
      <c r="A796" s="5" t="s">
        <v>938</v>
      </c>
      <c r="B796" s="2" t="s">
        <v>24</v>
      </c>
      <c r="C796" s="46" t="str">
        <f t="shared" si="1"/>
        <v>Narayani_8</v>
      </c>
      <c r="D796" s="13" t="s">
        <v>949</v>
      </c>
      <c r="E796" s="2" t="s">
        <v>25</v>
      </c>
      <c r="F796" s="8" t="s">
        <v>950</v>
      </c>
    </row>
    <row r="797" ht="22.5" customHeight="1">
      <c r="A797" s="5" t="s">
        <v>951</v>
      </c>
      <c r="B797" s="2" t="s">
        <v>24</v>
      </c>
      <c r="C797" s="18" t="str">
        <f t="shared" si="1"/>
        <v>Nat Bhairav_1</v>
      </c>
      <c r="D797" s="15" t="s">
        <v>952</v>
      </c>
      <c r="E797" s="2" t="s">
        <v>25</v>
      </c>
      <c r="F797" s="2" t="s">
        <v>37</v>
      </c>
    </row>
    <row r="798" ht="22.5" customHeight="1">
      <c r="A798" s="5" t="s">
        <v>951</v>
      </c>
      <c r="B798" s="2" t="s">
        <v>43</v>
      </c>
      <c r="C798" s="45" t="str">
        <f t="shared" si="1"/>
        <v>Nat Bhairav_2</v>
      </c>
      <c r="D798" s="12" t="s">
        <v>953</v>
      </c>
      <c r="E798" s="2" t="s">
        <v>25</v>
      </c>
      <c r="F798" s="2" t="s">
        <v>286</v>
      </c>
    </row>
    <row r="799" ht="22.5" customHeight="1">
      <c r="A799" s="5" t="s">
        <v>951</v>
      </c>
      <c r="B799" s="2" t="s">
        <v>24</v>
      </c>
      <c r="C799" s="45" t="str">
        <f t="shared" si="1"/>
        <v>Nat Bhairav_3</v>
      </c>
      <c r="D799" s="12" t="s">
        <v>954</v>
      </c>
      <c r="E799" s="2" t="s">
        <v>236</v>
      </c>
      <c r="F799" s="2" t="s">
        <v>237</v>
      </c>
    </row>
    <row r="800" ht="22.5" customHeight="1">
      <c r="A800" s="5" t="s">
        <v>951</v>
      </c>
      <c r="B800" s="2" t="s">
        <v>32</v>
      </c>
      <c r="C800" s="45" t="str">
        <f t="shared" si="1"/>
        <v>Nat Bhairav_4</v>
      </c>
      <c r="D800" s="12" t="s">
        <v>955</v>
      </c>
      <c r="E800" s="2" t="s">
        <v>25</v>
      </c>
      <c r="F800" s="2" t="s">
        <v>577</v>
      </c>
    </row>
    <row r="801" ht="22.5" customHeight="1">
      <c r="A801" s="5" t="s">
        <v>951</v>
      </c>
      <c r="B801" s="2" t="s">
        <v>38</v>
      </c>
      <c r="C801" s="18" t="str">
        <f t="shared" si="1"/>
        <v>Nat Bhairav_5</v>
      </c>
      <c r="D801" s="15" t="s">
        <v>956</v>
      </c>
      <c r="E801" s="2" t="s">
        <v>25</v>
      </c>
      <c r="F801" s="2" t="s">
        <v>157</v>
      </c>
    </row>
    <row r="802" ht="22.5" customHeight="1">
      <c r="A802" s="5" t="s">
        <v>951</v>
      </c>
      <c r="B802" s="2" t="s">
        <v>32</v>
      </c>
      <c r="C802" s="45" t="str">
        <f t="shared" si="1"/>
        <v>Nat Bhairav_6</v>
      </c>
      <c r="D802" s="12" t="s">
        <v>957</v>
      </c>
      <c r="E802" s="2" t="s">
        <v>25</v>
      </c>
      <c r="F802" s="2" t="s">
        <v>34</v>
      </c>
    </row>
    <row r="803" ht="22.5" customHeight="1">
      <c r="A803" s="5" t="s">
        <v>951</v>
      </c>
      <c r="B803" s="2" t="s">
        <v>24</v>
      </c>
      <c r="C803" s="45" t="str">
        <f t="shared" si="1"/>
        <v>Nat Bhairav_7</v>
      </c>
      <c r="D803" s="12" t="s">
        <v>958</v>
      </c>
      <c r="E803" s="2" t="s">
        <v>25</v>
      </c>
      <c r="F803" s="2" t="s">
        <v>69</v>
      </c>
    </row>
    <row r="804" ht="22.5" customHeight="1">
      <c r="A804" s="5" t="s">
        <v>951</v>
      </c>
      <c r="B804" s="2" t="s">
        <v>28</v>
      </c>
      <c r="C804" s="45" t="str">
        <f t="shared" si="1"/>
        <v>Nat Bhairav_8</v>
      </c>
      <c r="D804" s="12" t="s">
        <v>959</v>
      </c>
      <c r="E804" s="2" t="s">
        <v>91</v>
      </c>
      <c r="F804" s="2" t="s">
        <v>361</v>
      </c>
    </row>
    <row r="805" ht="22.5" customHeight="1">
      <c r="A805" s="5" t="s">
        <v>951</v>
      </c>
      <c r="B805" s="2" t="s">
        <v>28</v>
      </c>
      <c r="C805" s="45" t="str">
        <f t="shared" si="1"/>
        <v>Nat Bhairav_9</v>
      </c>
      <c r="D805" s="12" t="s">
        <v>960</v>
      </c>
      <c r="E805" s="2" t="s">
        <v>167</v>
      </c>
      <c r="F805" s="2" t="s">
        <v>168</v>
      </c>
    </row>
    <row r="806" ht="22.5" customHeight="1">
      <c r="A806" s="5" t="s">
        <v>951</v>
      </c>
      <c r="B806" s="2" t="s">
        <v>29</v>
      </c>
      <c r="C806" s="45" t="str">
        <f t="shared" si="1"/>
        <v>Nat Bhairav_10</v>
      </c>
      <c r="D806" s="12" t="s">
        <v>961</v>
      </c>
      <c r="E806" s="2" t="s">
        <v>25</v>
      </c>
      <c r="F806" s="2" t="s">
        <v>962</v>
      </c>
    </row>
    <row r="807" ht="22.5" customHeight="1">
      <c r="A807" s="5" t="s">
        <v>963</v>
      </c>
      <c r="B807" s="2" t="s">
        <v>43</v>
      </c>
      <c r="C807" s="45" t="str">
        <f t="shared" si="1"/>
        <v>Nayaki Kanada_1</v>
      </c>
      <c r="D807" s="12" t="s">
        <v>964</v>
      </c>
      <c r="E807" s="2" t="s">
        <v>25</v>
      </c>
      <c r="F807" s="2" t="s">
        <v>583</v>
      </c>
    </row>
    <row r="808" ht="22.5" customHeight="1">
      <c r="A808" s="5" t="s">
        <v>963</v>
      </c>
      <c r="B808" s="2" t="s">
        <v>28</v>
      </c>
      <c r="C808" s="45" t="str">
        <f t="shared" si="1"/>
        <v>Nayaki Kanada_2</v>
      </c>
      <c r="D808" s="12" t="s">
        <v>965</v>
      </c>
      <c r="E808" s="2" t="s">
        <v>25</v>
      </c>
      <c r="F808" s="2" t="s">
        <v>193</v>
      </c>
    </row>
    <row r="809" ht="22.5" customHeight="1">
      <c r="A809" s="5" t="s">
        <v>963</v>
      </c>
      <c r="B809" s="2" t="s">
        <v>127</v>
      </c>
      <c r="C809" s="45" t="str">
        <f t="shared" si="1"/>
        <v>Nayaki Kanada_3</v>
      </c>
      <c r="D809" s="12" t="s">
        <v>966</v>
      </c>
      <c r="E809" s="2" t="s">
        <v>25</v>
      </c>
      <c r="F809" s="2" t="s">
        <v>206</v>
      </c>
    </row>
    <row r="810" ht="22.5" customHeight="1">
      <c r="A810" s="5" t="s">
        <v>963</v>
      </c>
      <c r="B810" s="2" t="s">
        <v>32</v>
      </c>
      <c r="C810" s="45" t="str">
        <f t="shared" si="1"/>
        <v>Nayaki Kanada_4</v>
      </c>
      <c r="D810" s="12" t="s">
        <v>967</v>
      </c>
      <c r="E810" s="2" t="s">
        <v>25</v>
      </c>
      <c r="F810" s="2" t="s">
        <v>34</v>
      </c>
    </row>
    <row r="811" ht="22.5" customHeight="1">
      <c r="A811" s="5" t="s">
        <v>963</v>
      </c>
      <c r="B811" s="2" t="s">
        <v>29</v>
      </c>
      <c r="C811" s="45" t="str">
        <f t="shared" si="1"/>
        <v>Nayaki Kanada_5</v>
      </c>
      <c r="D811" s="12" t="s">
        <v>968</v>
      </c>
      <c r="E811" s="2" t="s">
        <v>25</v>
      </c>
      <c r="F811" s="2" t="s">
        <v>268</v>
      </c>
    </row>
    <row r="812" ht="22.5" customHeight="1">
      <c r="A812" s="5" t="s">
        <v>963</v>
      </c>
      <c r="B812" s="2" t="s">
        <v>38</v>
      </c>
      <c r="C812" s="45" t="str">
        <f t="shared" si="1"/>
        <v>Nayaki Kanada_6</v>
      </c>
      <c r="D812" s="12" t="s">
        <v>969</v>
      </c>
      <c r="E812" s="2" t="s">
        <v>25</v>
      </c>
      <c r="F812" s="2" t="s">
        <v>153</v>
      </c>
      <c r="H812" s="2"/>
      <c r="I812" s="2" t="s">
        <v>154</v>
      </c>
    </row>
    <row r="813" ht="22.5" customHeight="1">
      <c r="A813" s="5" t="s">
        <v>963</v>
      </c>
      <c r="B813" s="2" t="s">
        <v>38</v>
      </c>
      <c r="C813" s="45" t="str">
        <f t="shared" si="1"/>
        <v>Nayaki Kanada_7</v>
      </c>
      <c r="D813" s="12" t="s">
        <v>970</v>
      </c>
      <c r="E813" s="2" t="s">
        <v>25</v>
      </c>
      <c r="F813" s="2" t="s">
        <v>134</v>
      </c>
    </row>
    <row r="814" ht="22.5" customHeight="1">
      <c r="A814" s="5" t="s">
        <v>963</v>
      </c>
      <c r="B814" s="2" t="s">
        <v>43</v>
      </c>
      <c r="C814" s="45" t="str">
        <f t="shared" si="1"/>
        <v>Nayaki Kanada_8</v>
      </c>
      <c r="D814" s="12" t="s">
        <v>971</v>
      </c>
      <c r="E814" s="2" t="s">
        <v>25</v>
      </c>
      <c r="F814" s="2" t="s">
        <v>83</v>
      </c>
    </row>
    <row r="815" ht="22.5" customHeight="1">
      <c r="A815" s="5" t="s">
        <v>963</v>
      </c>
      <c r="B815" s="2" t="s">
        <v>127</v>
      </c>
      <c r="C815" s="45" t="str">
        <f t="shared" si="1"/>
        <v>Nayaki Kanada_9</v>
      </c>
      <c r="D815" s="12" t="s">
        <v>972</v>
      </c>
      <c r="E815" s="2" t="s">
        <v>25</v>
      </c>
      <c r="F815" s="2" t="s">
        <v>248</v>
      </c>
    </row>
    <row r="816" ht="22.5" customHeight="1">
      <c r="A816" s="5" t="s">
        <v>973</v>
      </c>
      <c r="B816" s="21" t="s">
        <v>43</v>
      </c>
      <c r="C816" s="46" t="str">
        <f t="shared" si="1"/>
        <v>Pahadi_1</v>
      </c>
      <c r="D816" s="13" t="s">
        <v>974</v>
      </c>
      <c r="E816" s="2" t="s">
        <v>25</v>
      </c>
      <c r="F816" s="2" t="s">
        <v>134</v>
      </c>
    </row>
    <row r="817" ht="22.5" customHeight="1">
      <c r="A817" s="5" t="s">
        <v>973</v>
      </c>
      <c r="B817" s="2" t="s">
        <v>24</v>
      </c>
      <c r="C817" s="46" t="str">
        <f t="shared" si="1"/>
        <v>Pahadi_2</v>
      </c>
      <c r="D817" s="13" t="s">
        <v>975</v>
      </c>
      <c r="E817" s="2" t="s">
        <v>25</v>
      </c>
      <c r="F817" s="2" t="s">
        <v>976</v>
      </c>
    </row>
    <row r="818" ht="22.5" customHeight="1">
      <c r="A818" s="5" t="s">
        <v>973</v>
      </c>
      <c r="B818" s="2" t="s">
        <v>32</v>
      </c>
      <c r="C818" s="46" t="str">
        <f t="shared" si="1"/>
        <v>Pahadi_3</v>
      </c>
      <c r="D818" s="13" t="s">
        <v>977</v>
      </c>
      <c r="E818" s="2" t="s">
        <v>225</v>
      </c>
      <c r="F818" s="2" t="s">
        <v>978</v>
      </c>
    </row>
    <row r="819" ht="22.5" customHeight="1">
      <c r="A819" s="5" t="s">
        <v>973</v>
      </c>
      <c r="B819" s="2" t="s">
        <v>38</v>
      </c>
      <c r="C819" s="18" t="str">
        <f t="shared" si="1"/>
        <v>Pahadi_4</v>
      </c>
      <c r="D819" s="15" t="s">
        <v>979</v>
      </c>
      <c r="E819" s="2" t="s">
        <v>25</v>
      </c>
      <c r="F819" s="2" t="s">
        <v>157</v>
      </c>
    </row>
    <row r="820" ht="22.5" customHeight="1">
      <c r="A820" s="5" t="s">
        <v>973</v>
      </c>
      <c r="B820" s="2" t="s">
        <v>32</v>
      </c>
      <c r="C820" s="18" t="str">
        <f t="shared" si="1"/>
        <v>Pahadi_5</v>
      </c>
      <c r="D820" s="15" t="s">
        <v>980</v>
      </c>
      <c r="E820" s="2" t="s">
        <v>25</v>
      </c>
      <c r="F820" s="2" t="s">
        <v>37</v>
      </c>
    </row>
    <row r="821" ht="22.5" customHeight="1">
      <c r="A821" s="5" t="s">
        <v>973</v>
      </c>
      <c r="B821" s="2" t="s">
        <v>89</v>
      </c>
      <c r="C821" s="46" t="str">
        <f t="shared" si="1"/>
        <v>Pahadi_6</v>
      </c>
      <c r="D821" s="13" t="s">
        <v>981</v>
      </c>
      <c r="E821" s="2" t="s">
        <v>167</v>
      </c>
      <c r="F821" s="2" t="s">
        <v>168</v>
      </c>
    </row>
    <row r="822" ht="22.5" customHeight="1">
      <c r="A822" s="5" t="s">
        <v>973</v>
      </c>
      <c r="B822" s="21" t="s">
        <v>89</v>
      </c>
      <c r="C822" s="46" t="str">
        <f t="shared" si="1"/>
        <v>Pahadi_7</v>
      </c>
      <c r="D822" s="13" t="s">
        <v>982</v>
      </c>
      <c r="E822" s="2" t="s">
        <v>25</v>
      </c>
      <c r="F822" s="2" t="s">
        <v>34</v>
      </c>
    </row>
    <row r="823" ht="22.5" customHeight="1">
      <c r="A823" s="5" t="s">
        <v>973</v>
      </c>
      <c r="B823" s="2" t="s">
        <v>89</v>
      </c>
      <c r="C823" s="47" t="str">
        <f t="shared" si="1"/>
        <v>Pahadi_8</v>
      </c>
      <c r="D823" s="17" t="s">
        <v>983</v>
      </c>
      <c r="E823" s="2" t="s">
        <v>167</v>
      </c>
      <c r="F823" s="2" t="s">
        <v>168</v>
      </c>
    </row>
    <row r="824" ht="22.5" customHeight="1">
      <c r="A824" s="5" t="s">
        <v>973</v>
      </c>
      <c r="B824" s="2" t="s">
        <v>67</v>
      </c>
      <c r="C824" s="46" t="str">
        <f t="shared" si="1"/>
        <v>Pahadi_9</v>
      </c>
      <c r="D824" s="13" t="s">
        <v>984</v>
      </c>
      <c r="E824" s="2" t="s">
        <v>25</v>
      </c>
      <c r="F824" s="2" t="s">
        <v>37</v>
      </c>
    </row>
    <row r="825" ht="22.5" customHeight="1">
      <c r="A825" s="5" t="s">
        <v>973</v>
      </c>
      <c r="B825" s="2" t="s">
        <v>28</v>
      </c>
      <c r="C825" s="46" t="str">
        <f t="shared" si="1"/>
        <v>Pahadi_10</v>
      </c>
      <c r="D825" s="13" t="s">
        <v>985</v>
      </c>
      <c r="E825" s="2" t="s">
        <v>167</v>
      </c>
      <c r="F825" s="2" t="s">
        <v>771</v>
      </c>
    </row>
    <row r="826" ht="22.5" customHeight="1">
      <c r="A826" s="5" t="s">
        <v>986</v>
      </c>
      <c r="B826" s="2" t="s">
        <v>38</v>
      </c>
      <c r="C826" s="45" t="str">
        <f t="shared" si="1"/>
        <v>Parameshwari_1</v>
      </c>
      <c r="D826" s="12" t="s">
        <v>987</v>
      </c>
      <c r="E826" s="2" t="s">
        <v>25</v>
      </c>
      <c r="F826" s="2" t="s">
        <v>412</v>
      </c>
    </row>
    <row r="827" ht="22.5" customHeight="1">
      <c r="A827" s="5" t="s">
        <v>986</v>
      </c>
      <c r="B827" s="2" t="s">
        <v>32</v>
      </c>
      <c r="C827" s="45" t="str">
        <f t="shared" si="1"/>
        <v>Parameshwari_2</v>
      </c>
      <c r="D827" s="12" t="s">
        <v>988</v>
      </c>
      <c r="E827" s="2" t="s">
        <v>25</v>
      </c>
      <c r="F827" s="2" t="s">
        <v>34</v>
      </c>
    </row>
    <row r="828" ht="22.5" customHeight="1">
      <c r="A828" s="5" t="s">
        <v>986</v>
      </c>
      <c r="B828" s="2" t="s">
        <v>32</v>
      </c>
      <c r="C828" s="45" t="str">
        <f t="shared" si="1"/>
        <v>Parameshwari_3</v>
      </c>
      <c r="D828" s="12" t="s">
        <v>989</v>
      </c>
      <c r="E828" s="2" t="s">
        <v>114</v>
      </c>
      <c r="F828" s="2" t="s">
        <v>990</v>
      </c>
    </row>
    <row r="829" ht="22.5" customHeight="1">
      <c r="A829" s="5" t="s">
        <v>986</v>
      </c>
      <c r="B829" s="2" t="s">
        <v>32</v>
      </c>
      <c r="C829" s="18" t="str">
        <f t="shared" si="1"/>
        <v>Parameshwari_4</v>
      </c>
      <c r="D829" s="15" t="s">
        <v>991</v>
      </c>
      <c r="E829" s="2" t="s">
        <v>25</v>
      </c>
      <c r="F829" s="8" t="s">
        <v>136</v>
      </c>
    </row>
    <row r="830" ht="22.5" customHeight="1">
      <c r="A830" s="5" t="s">
        <v>986</v>
      </c>
      <c r="B830" s="2" t="s">
        <v>32</v>
      </c>
      <c r="C830" s="45" t="str">
        <f t="shared" si="1"/>
        <v>Parameshwari_5</v>
      </c>
      <c r="D830" s="12" t="s">
        <v>992</v>
      </c>
      <c r="E830" s="2" t="s">
        <v>25</v>
      </c>
      <c r="F830" s="2" t="s">
        <v>101</v>
      </c>
    </row>
    <row r="831" ht="22.5" customHeight="1">
      <c r="A831" s="5" t="s">
        <v>986</v>
      </c>
      <c r="B831" s="2" t="s">
        <v>28</v>
      </c>
      <c r="C831" s="45" t="str">
        <f t="shared" si="1"/>
        <v>Parameshwari_6</v>
      </c>
      <c r="D831" s="12" t="s">
        <v>993</v>
      </c>
      <c r="E831" s="2" t="s">
        <v>167</v>
      </c>
      <c r="F831" s="2" t="s">
        <v>994</v>
      </c>
    </row>
    <row r="832" ht="22.5" customHeight="1">
      <c r="A832" s="5" t="s">
        <v>986</v>
      </c>
      <c r="B832" s="21" t="s">
        <v>32</v>
      </c>
      <c r="C832" s="45" t="str">
        <f t="shared" si="1"/>
        <v>Parameshwari_7</v>
      </c>
      <c r="D832" s="12" t="s">
        <v>995</v>
      </c>
      <c r="E832" s="2" t="s">
        <v>25</v>
      </c>
      <c r="F832" s="2" t="s">
        <v>142</v>
      </c>
    </row>
    <row r="833" ht="22.5" customHeight="1">
      <c r="A833" s="5" t="s">
        <v>986</v>
      </c>
      <c r="B833" s="2" t="s">
        <v>32</v>
      </c>
      <c r="C833" s="45" t="str">
        <f t="shared" si="1"/>
        <v>Parameshwari_8</v>
      </c>
      <c r="D833" s="12" t="s">
        <v>996</v>
      </c>
      <c r="E833" s="2" t="s">
        <v>25</v>
      </c>
      <c r="F833" s="2" t="s">
        <v>997</v>
      </c>
    </row>
    <row r="834" ht="22.5" customHeight="1">
      <c r="A834" s="5" t="s">
        <v>998</v>
      </c>
      <c r="B834" s="2" t="s">
        <v>28</v>
      </c>
      <c r="C834" s="45" t="str">
        <f t="shared" si="1"/>
        <v>Patdeep_1</v>
      </c>
      <c r="D834" s="12" t="s">
        <v>999</v>
      </c>
      <c r="E834" s="2" t="s">
        <v>25</v>
      </c>
      <c r="F834" s="2" t="s">
        <v>52</v>
      </c>
    </row>
    <row r="835" ht="22.5" customHeight="1">
      <c r="A835" s="5" t="s">
        <v>998</v>
      </c>
      <c r="B835" s="2" t="s">
        <v>32</v>
      </c>
      <c r="C835" s="45" t="str">
        <f t="shared" si="1"/>
        <v>Patdeep_2</v>
      </c>
      <c r="D835" s="12" t="s">
        <v>1000</v>
      </c>
      <c r="E835" s="2" t="s">
        <v>25</v>
      </c>
      <c r="F835" s="2" t="s">
        <v>34</v>
      </c>
    </row>
    <row r="836" ht="22.5" customHeight="1">
      <c r="A836" s="5" t="s">
        <v>998</v>
      </c>
      <c r="B836" s="2" t="s">
        <v>62</v>
      </c>
      <c r="C836" s="45" t="str">
        <f t="shared" si="1"/>
        <v>Patdeep_3</v>
      </c>
      <c r="D836" s="12" t="s">
        <v>1001</v>
      </c>
      <c r="E836" s="2" t="s">
        <v>162</v>
      </c>
      <c r="F836" s="2" t="s">
        <v>337</v>
      </c>
    </row>
    <row r="837" ht="22.5" customHeight="1">
      <c r="A837" s="5" t="s">
        <v>998</v>
      </c>
      <c r="B837" s="2" t="s">
        <v>127</v>
      </c>
      <c r="C837" s="45" t="str">
        <f t="shared" si="1"/>
        <v>Patdeep_4</v>
      </c>
      <c r="D837" s="12" t="s">
        <v>1002</v>
      </c>
      <c r="E837" s="2" t="s">
        <v>313</v>
      </c>
      <c r="F837" s="8" t="s">
        <v>759</v>
      </c>
    </row>
    <row r="838" ht="22.5" customHeight="1">
      <c r="A838" s="5" t="s">
        <v>998</v>
      </c>
      <c r="B838" s="2" t="s">
        <v>32</v>
      </c>
      <c r="C838" s="45" t="str">
        <f t="shared" si="1"/>
        <v>Patdeep_5</v>
      </c>
      <c r="D838" s="12" t="s">
        <v>1003</v>
      </c>
      <c r="E838" s="2" t="s">
        <v>25</v>
      </c>
      <c r="F838" s="2" t="s">
        <v>123</v>
      </c>
    </row>
    <row r="839" ht="22.5" customHeight="1">
      <c r="A839" s="5" t="s">
        <v>998</v>
      </c>
      <c r="B839" s="2" t="s">
        <v>38</v>
      </c>
      <c r="C839" s="45" t="str">
        <f t="shared" si="1"/>
        <v>Patdeep_6</v>
      </c>
      <c r="D839" s="12" t="s">
        <v>1004</v>
      </c>
      <c r="E839" s="2" t="s">
        <v>25</v>
      </c>
      <c r="F839" s="2" t="s">
        <v>134</v>
      </c>
    </row>
    <row r="840" ht="22.5" customHeight="1">
      <c r="A840" s="5" t="s">
        <v>998</v>
      </c>
      <c r="B840" s="2" t="s">
        <v>28</v>
      </c>
      <c r="C840" s="45" t="str">
        <f t="shared" si="1"/>
        <v>Patdeep_7</v>
      </c>
      <c r="D840" s="12" t="s">
        <v>1005</v>
      </c>
      <c r="E840" s="2" t="s">
        <v>167</v>
      </c>
      <c r="F840" s="2" t="s">
        <v>168</v>
      </c>
    </row>
    <row r="841" ht="22.5" customHeight="1">
      <c r="A841" s="5" t="s">
        <v>998</v>
      </c>
      <c r="B841" s="2" t="s">
        <v>28</v>
      </c>
      <c r="C841" s="45" t="str">
        <f t="shared" si="1"/>
        <v>Patdeep_8</v>
      </c>
      <c r="D841" s="12" t="s">
        <v>1006</v>
      </c>
      <c r="E841" s="2" t="s">
        <v>91</v>
      </c>
      <c r="F841" s="2" t="s">
        <v>1007</v>
      </c>
    </row>
    <row r="842" ht="22.5" customHeight="1">
      <c r="A842" s="5" t="s">
        <v>998</v>
      </c>
      <c r="B842" s="2" t="s">
        <v>38</v>
      </c>
      <c r="C842" s="45" t="str">
        <f t="shared" si="1"/>
        <v>Patdeep_9</v>
      </c>
      <c r="D842" s="12" t="s">
        <v>1008</v>
      </c>
      <c r="E842" s="2" t="s">
        <v>25</v>
      </c>
      <c r="F842" s="2" t="s">
        <v>1009</v>
      </c>
    </row>
    <row r="843" ht="22.5" customHeight="1">
      <c r="A843" s="5" t="s">
        <v>998</v>
      </c>
      <c r="B843" s="2" t="s">
        <v>24</v>
      </c>
      <c r="C843" s="18" t="str">
        <f t="shared" si="1"/>
        <v>Patdeep_10</v>
      </c>
      <c r="D843" s="15" t="s">
        <v>1010</v>
      </c>
      <c r="E843" s="2" t="s">
        <v>25</v>
      </c>
      <c r="F843" s="2" t="s">
        <v>37</v>
      </c>
    </row>
    <row r="844" ht="22.5" customHeight="1">
      <c r="A844" s="5" t="s">
        <v>1011</v>
      </c>
      <c r="B844" s="2" t="s">
        <v>32</v>
      </c>
      <c r="C844" s="46" t="str">
        <f t="shared" si="1"/>
        <v>Pilu_1</v>
      </c>
      <c r="D844" s="13" t="s">
        <v>1012</v>
      </c>
      <c r="E844" s="2" t="s">
        <v>114</v>
      </c>
      <c r="F844" s="2" t="s">
        <v>211</v>
      </c>
    </row>
    <row r="845" ht="22.5" customHeight="1">
      <c r="A845" s="5" t="s">
        <v>1011</v>
      </c>
      <c r="B845" s="2" t="s">
        <v>43</v>
      </c>
      <c r="C845" s="46" t="str">
        <f t="shared" si="1"/>
        <v>Pilu_2</v>
      </c>
      <c r="D845" s="13" t="s">
        <v>1013</v>
      </c>
      <c r="E845" s="2" t="s">
        <v>25</v>
      </c>
      <c r="F845" s="2" t="s">
        <v>52</v>
      </c>
    </row>
    <row r="846" ht="22.5" customHeight="1">
      <c r="A846" s="5" t="s">
        <v>1011</v>
      </c>
      <c r="B846" s="2" t="s">
        <v>24</v>
      </c>
      <c r="C846" s="18" t="str">
        <f t="shared" si="1"/>
        <v>Pilu_3</v>
      </c>
      <c r="D846" s="15" t="s">
        <v>1014</v>
      </c>
      <c r="E846" s="2" t="s">
        <v>25</v>
      </c>
      <c r="F846" s="2" t="s">
        <v>37</v>
      </c>
    </row>
    <row r="847" ht="22.5" customHeight="1">
      <c r="A847" s="5" t="s">
        <v>1011</v>
      </c>
      <c r="B847" s="21" t="s">
        <v>38</v>
      </c>
      <c r="C847" s="46" t="str">
        <f t="shared" si="1"/>
        <v>Pilu_4</v>
      </c>
      <c r="D847" s="13" t="s">
        <v>1015</v>
      </c>
      <c r="E847" s="2" t="s">
        <v>25</v>
      </c>
      <c r="F847" s="2" t="s">
        <v>157</v>
      </c>
    </row>
    <row r="848" ht="22.5" customHeight="1">
      <c r="A848" s="5" t="s">
        <v>1011</v>
      </c>
      <c r="B848" s="2" t="s">
        <v>62</v>
      </c>
      <c r="C848" s="45" t="str">
        <f t="shared" si="1"/>
        <v>Pilu_5</v>
      </c>
      <c r="D848" s="12" t="s">
        <v>1016</v>
      </c>
      <c r="E848" s="2" t="s">
        <v>25</v>
      </c>
      <c r="F848" s="2" t="s">
        <v>153</v>
      </c>
      <c r="H848" s="2"/>
      <c r="I848" s="2" t="s">
        <v>154</v>
      </c>
    </row>
    <row r="849" ht="22.5" customHeight="1">
      <c r="A849" s="5" t="s">
        <v>1011</v>
      </c>
      <c r="B849" s="2" t="s">
        <v>38</v>
      </c>
      <c r="C849" s="45" t="str">
        <f t="shared" si="1"/>
        <v>Pilu_6</v>
      </c>
      <c r="D849" s="12" t="s">
        <v>1017</v>
      </c>
      <c r="E849" s="2" t="s">
        <v>162</v>
      </c>
      <c r="F849" s="2" t="s">
        <v>271</v>
      </c>
    </row>
    <row r="850" ht="22.5" customHeight="1">
      <c r="A850" s="5" t="s">
        <v>1011</v>
      </c>
      <c r="B850" s="2" t="s">
        <v>24</v>
      </c>
      <c r="C850" s="45" t="str">
        <f t="shared" si="1"/>
        <v>Pilu_7</v>
      </c>
      <c r="D850" s="12" t="s">
        <v>1018</v>
      </c>
      <c r="E850" s="2" t="s">
        <v>25</v>
      </c>
      <c r="F850" s="2" t="s">
        <v>1019</v>
      </c>
    </row>
    <row r="851" ht="22.5" customHeight="1">
      <c r="A851" s="5" t="s">
        <v>1020</v>
      </c>
      <c r="B851" s="2" t="s">
        <v>43</v>
      </c>
      <c r="C851" s="45" t="str">
        <f t="shared" si="1"/>
        <v>Poorvi_1</v>
      </c>
      <c r="D851" s="12" t="s">
        <v>1021</v>
      </c>
      <c r="E851" s="2" t="s">
        <v>25</v>
      </c>
      <c r="F851" s="2" t="s">
        <v>1022</v>
      </c>
    </row>
    <row r="852" ht="22.5" customHeight="1">
      <c r="A852" s="5" t="s">
        <v>1020</v>
      </c>
      <c r="B852" s="2" t="s">
        <v>43</v>
      </c>
      <c r="C852" s="45" t="str">
        <f t="shared" si="1"/>
        <v>Poorvi_2</v>
      </c>
      <c r="D852" s="12" t="s">
        <v>1023</v>
      </c>
      <c r="E852" s="2" t="s">
        <v>25</v>
      </c>
      <c r="F852" s="2" t="s">
        <v>83</v>
      </c>
    </row>
    <row r="853" ht="22.5" customHeight="1">
      <c r="A853" s="5" t="s">
        <v>1020</v>
      </c>
      <c r="B853" s="2" t="s">
        <v>24</v>
      </c>
      <c r="C853" s="18" t="str">
        <f t="shared" si="1"/>
        <v>Poorvi_3</v>
      </c>
      <c r="D853" s="15" t="s">
        <v>1024</v>
      </c>
      <c r="E853" s="2" t="s">
        <v>25</v>
      </c>
      <c r="F853" s="2" t="s">
        <v>37</v>
      </c>
    </row>
    <row r="854" ht="22.5" customHeight="1">
      <c r="A854" s="5" t="s">
        <v>1020</v>
      </c>
      <c r="B854" s="2" t="s">
        <v>24</v>
      </c>
      <c r="C854" s="45" t="str">
        <f t="shared" si="1"/>
        <v>Poorvi_4</v>
      </c>
      <c r="D854" s="12" t="s">
        <v>1025</v>
      </c>
      <c r="E854" s="2" t="s">
        <v>25</v>
      </c>
      <c r="F854" s="2" t="s">
        <v>30</v>
      </c>
    </row>
    <row r="855" ht="22.5" customHeight="1">
      <c r="A855" s="5" t="s">
        <v>1020</v>
      </c>
      <c r="B855" s="2" t="s">
        <v>38</v>
      </c>
      <c r="C855" s="45" t="str">
        <f t="shared" si="1"/>
        <v>Poorvi_5</v>
      </c>
      <c r="D855" s="12" t="s">
        <v>1026</v>
      </c>
      <c r="E855" s="2" t="s">
        <v>25</v>
      </c>
      <c r="F855" s="2" t="s">
        <v>1027</v>
      </c>
    </row>
    <row r="856" ht="22.5" customHeight="1">
      <c r="A856" s="5" t="s">
        <v>1020</v>
      </c>
      <c r="B856" s="2" t="s">
        <v>24</v>
      </c>
      <c r="C856" s="45" t="str">
        <f t="shared" si="1"/>
        <v>Poorvi_6</v>
      </c>
      <c r="D856" s="12" t="s">
        <v>1028</v>
      </c>
      <c r="E856" s="2" t="s">
        <v>25</v>
      </c>
      <c r="F856" s="2" t="s">
        <v>34</v>
      </c>
    </row>
    <row r="857" ht="22.5" customHeight="1">
      <c r="A857" s="5" t="s">
        <v>1020</v>
      </c>
      <c r="B857" s="2" t="s">
        <v>2396</v>
      </c>
      <c r="C857" s="45" t="str">
        <f t="shared" si="1"/>
        <v>Poorvi_7</v>
      </c>
      <c r="D857" s="12" t="s">
        <v>1029</v>
      </c>
      <c r="E857" s="2" t="s">
        <v>25</v>
      </c>
      <c r="F857" s="2" t="s">
        <v>75</v>
      </c>
    </row>
    <row r="858" ht="22.5" customHeight="1">
      <c r="A858" s="5" t="s">
        <v>1020</v>
      </c>
      <c r="B858" s="2" t="s">
        <v>127</v>
      </c>
      <c r="C858" s="45" t="str">
        <f t="shared" si="1"/>
        <v>Poorvi_8</v>
      </c>
      <c r="D858" s="12" t="s">
        <v>1030</v>
      </c>
      <c r="E858" s="2" t="s">
        <v>25</v>
      </c>
      <c r="F858" s="2" t="s">
        <v>206</v>
      </c>
    </row>
    <row r="859" ht="22.5" customHeight="1">
      <c r="A859" s="5" t="s">
        <v>1020</v>
      </c>
      <c r="B859" s="2" t="s">
        <v>29</v>
      </c>
      <c r="C859" s="45" t="str">
        <f t="shared" si="1"/>
        <v>Poorvi_9</v>
      </c>
      <c r="D859" s="12" t="s">
        <v>1031</v>
      </c>
      <c r="E859" s="2" t="s">
        <v>25</v>
      </c>
      <c r="F859" s="2" t="s">
        <v>426</v>
      </c>
    </row>
    <row r="860" ht="22.5" customHeight="1">
      <c r="A860" s="5" t="s">
        <v>1020</v>
      </c>
      <c r="B860" s="2" t="s">
        <v>24</v>
      </c>
      <c r="C860" s="45" t="str">
        <f t="shared" si="1"/>
        <v>Poorvi_10</v>
      </c>
      <c r="D860" s="12" t="s">
        <v>1032</v>
      </c>
      <c r="E860" s="2" t="s">
        <v>25</v>
      </c>
      <c r="F860" s="2" t="s">
        <v>439</v>
      </c>
    </row>
    <row r="861" ht="22.5" customHeight="1">
      <c r="A861" s="5" t="s">
        <v>1033</v>
      </c>
      <c r="B861" s="2" t="s">
        <v>24</v>
      </c>
      <c r="C861" s="45" t="str">
        <f t="shared" si="1"/>
        <v>Puriya_1</v>
      </c>
      <c r="D861" s="12" t="s">
        <v>1034</v>
      </c>
      <c r="E861" s="2" t="s">
        <v>25</v>
      </c>
      <c r="F861" s="2" t="s">
        <v>1035</v>
      </c>
    </row>
    <row r="862" ht="22.5" customHeight="1">
      <c r="A862" s="5" t="s">
        <v>1033</v>
      </c>
      <c r="B862" s="2" t="s">
        <v>43</v>
      </c>
      <c r="C862" s="45" t="str">
        <f t="shared" si="1"/>
        <v>Puriya_2</v>
      </c>
      <c r="D862" s="12" t="s">
        <v>1036</v>
      </c>
      <c r="E862" s="2" t="s">
        <v>25</v>
      </c>
      <c r="F862" s="2" t="s">
        <v>26</v>
      </c>
    </row>
    <row r="863" ht="22.5" customHeight="1">
      <c r="A863" s="5" t="s">
        <v>1033</v>
      </c>
      <c r="B863" s="2" t="s">
        <v>62</v>
      </c>
      <c r="C863" s="45" t="str">
        <f t="shared" si="1"/>
        <v>Puriya_3</v>
      </c>
      <c r="D863" s="12" t="s">
        <v>1037</v>
      </c>
      <c r="E863" s="2" t="s">
        <v>25</v>
      </c>
      <c r="F863" s="2" t="s">
        <v>1038</v>
      </c>
    </row>
    <row r="864" ht="22.5" customHeight="1">
      <c r="A864" s="5" t="s">
        <v>1033</v>
      </c>
      <c r="B864" s="2" t="s">
        <v>32</v>
      </c>
      <c r="C864" s="45" t="str">
        <f t="shared" si="1"/>
        <v>Puriya_4</v>
      </c>
      <c r="D864" s="12" t="s">
        <v>1039</v>
      </c>
      <c r="E864" s="2" t="s">
        <v>25</v>
      </c>
      <c r="F864" s="2" t="s">
        <v>34</v>
      </c>
    </row>
    <row r="865" ht="22.5" customHeight="1">
      <c r="A865" s="5" t="s">
        <v>1033</v>
      </c>
      <c r="B865" s="2" t="s">
        <v>43</v>
      </c>
      <c r="C865" s="45" t="str">
        <f t="shared" si="1"/>
        <v>Puriya_5</v>
      </c>
      <c r="D865" s="12" t="s">
        <v>1040</v>
      </c>
      <c r="E865" s="2" t="s">
        <v>25</v>
      </c>
      <c r="F865" s="2" t="s">
        <v>52</v>
      </c>
    </row>
    <row r="866" ht="22.5" customHeight="1">
      <c r="A866" s="5" t="s">
        <v>1033</v>
      </c>
      <c r="B866" s="2" t="s">
        <v>24</v>
      </c>
      <c r="C866" s="45" t="str">
        <f t="shared" si="1"/>
        <v>Puriya_6</v>
      </c>
      <c r="D866" s="12" t="s">
        <v>1041</v>
      </c>
      <c r="E866" s="2" t="s">
        <v>25</v>
      </c>
      <c r="F866" s="2" t="s">
        <v>26</v>
      </c>
    </row>
    <row r="867" ht="22.5" customHeight="1">
      <c r="A867" s="5" t="s">
        <v>1033</v>
      </c>
      <c r="B867" s="2" t="s">
        <v>43</v>
      </c>
      <c r="C867" s="45" t="str">
        <f t="shared" si="1"/>
        <v>Puriya_7</v>
      </c>
      <c r="D867" s="12" t="s">
        <v>1042</v>
      </c>
      <c r="E867" s="2" t="s">
        <v>25</v>
      </c>
      <c r="F867" s="2" t="s">
        <v>222</v>
      </c>
    </row>
    <row r="868" ht="22.5" customHeight="1">
      <c r="A868" s="5" t="s">
        <v>1033</v>
      </c>
      <c r="B868" s="2" t="s">
        <v>127</v>
      </c>
      <c r="C868" s="45" t="str">
        <f t="shared" si="1"/>
        <v>Puriya_8</v>
      </c>
      <c r="D868" s="12" t="s">
        <v>1043</v>
      </c>
      <c r="E868" s="2" t="s">
        <v>25</v>
      </c>
      <c r="F868" s="2" t="s">
        <v>206</v>
      </c>
    </row>
    <row r="869" ht="22.5" customHeight="1">
      <c r="A869" s="5" t="s">
        <v>1033</v>
      </c>
      <c r="B869" s="2" t="s">
        <v>43</v>
      </c>
      <c r="C869" s="45" t="str">
        <f t="shared" si="1"/>
        <v>Puriya_9</v>
      </c>
      <c r="D869" s="12" t="s">
        <v>1044</v>
      </c>
      <c r="E869" s="2" t="s">
        <v>25</v>
      </c>
      <c r="F869" s="2" t="s">
        <v>94</v>
      </c>
    </row>
    <row r="870" ht="22.5" customHeight="1">
      <c r="A870" s="5" t="s">
        <v>1033</v>
      </c>
      <c r="B870" s="2" t="s">
        <v>28</v>
      </c>
      <c r="C870" s="45" t="str">
        <f t="shared" si="1"/>
        <v>Puriya_10</v>
      </c>
      <c r="D870" s="12" t="s">
        <v>1045</v>
      </c>
      <c r="E870" s="2" t="s">
        <v>25</v>
      </c>
      <c r="F870" s="2" t="s">
        <v>26</v>
      </c>
    </row>
    <row r="871" ht="22.5" customHeight="1">
      <c r="A871" s="5" t="s">
        <v>1046</v>
      </c>
      <c r="B871" s="2"/>
      <c r="C871" s="18" t="str">
        <f t="shared" si="1"/>
        <v>Puriya Dhanashree_1</v>
      </c>
      <c r="D871" s="18"/>
      <c r="E871" s="8" t="s">
        <v>25</v>
      </c>
      <c r="F871" s="8" t="s">
        <v>26</v>
      </c>
      <c r="H871" s="2"/>
      <c r="I871" s="2" t="s">
        <v>27</v>
      </c>
    </row>
    <row r="872" ht="22.5" customHeight="1">
      <c r="A872" s="5" t="s">
        <v>1046</v>
      </c>
      <c r="B872" s="2"/>
      <c r="C872" s="18" t="str">
        <f t="shared" si="1"/>
        <v>Puriya Dhanashree_2</v>
      </c>
      <c r="D872" s="18"/>
      <c r="E872" s="8" t="s">
        <v>25</v>
      </c>
      <c r="F872" s="8" t="s">
        <v>26</v>
      </c>
      <c r="H872" s="2"/>
      <c r="I872" s="2" t="s">
        <v>27</v>
      </c>
    </row>
    <row r="873" ht="22.5" customHeight="1">
      <c r="A873" s="5" t="s">
        <v>1046</v>
      </c>
      <c r="B873" s="2"/>
      <c r="C873" s="18" t="str">
        <f t="shared" si="1"/>
        <v>Puriya Dhanashree_3</v>
      </c>
      <c r="D873" s="18"/>
      <c r="E873" s="8" t="s">
        <v>25</v>
      </c>
      <c r="F873" s="8" t="s">
        <v>48</v>
      </c>
      <c r="H873" s="2"/>
      <c r="I873" s="2" t="s">
        <v>27</v>
      </c>
    </row>
    <row r="874" ht="22.5" customHeight="1">
      <c r="A874" s="5" t="s">
        <v>1046</v>
      </c>
      <c r="B874" s="2"/>
      <c r="C874" s="18" t="str">
        <f t="shared" si="1"/>
        <v>Puriya Dhanashree_4</v>
      </c>
      <c r="D874" s="18"/>
      <c r="E874" s="8" t="s">
        <v>25</v>
      </c>
      <c r="F874" s="8" t="s">
        <v>68</v>
      </c>
      <c r="H874" s="2"/>
      <c r="I874" s="2" t="s">
        <v>27</v>
      </c>
    </row>
    <row r="875" ht="22.5" customHeight="1">
      <c r="A875" s="5" t="s">
        <v>1046</v>
      </c>
      <c r="B875" s="2"/>
      <c r="C875" s="18" t="str">
        <f t="shared" si="1"/>
        <v>Puriya Dhanashree_5</v>
      </c>
      <c r="D875" s="18"/>
      <c r="E875" s="8" t="s">
        <v>25</v>
      </c>
      <c r="F875" s="8" t="s">
        <v>849</v>
      </c>
      <c r="H875" s="2"/>
      <c r="I875" s="2" t="s">
        <v>27</v>
      </c>
    </row>
    <row r="876" ht="22.5" customHeight="1">
      <c r="A876" s="5" t="s">
        <v>1046</v>
      </c>
      <c r="B876" s="2"/>
      <c r="C876" s="18" t="str">
        <f t="shared" si="1"/>
        <v>Puriya Dhanashree_6</v>
      </c>
      <c r="D876" s="18"/>
      <c r="E876" s="8" t="s">
        <v>25</v>
      </c>
      <c r="F876" s="8" t="s">
        <v>30</v>
      </c>
      <c r="H876" s="2"/>
      <c r="I876" s="2" t="s">
        <v>27</v>
      </c>
    </row>
    <row r="877" ht="22.5" customHeight="1">
      <c r="A877" s="5" t="s">
        <v>1046</v>
      </c>
      <c r="B877" s="2"/>
      <c r="C877" s="18" t="str">
        <f t="shared" si="1"/>
        <v>Puriya Dhanashree_7</v>
      </c>
      <c r="D877" s="18"/>
      <c r="E877" s="8" t="s">
        <v>25</v>
      </c>
      <c r="F877" s="8" t="s">
        <v>56</v>
      </c>
      <c r="H877" s="2"/>
      <c r="I877" s="2" t="s">
        <v>27</v>
      </c>
    </row>
    <row r="878" ht="22.5" customHeight="1">
      <c r="A878" s="5" t="s">
        <v>1046</v>
      </c>
      <c r="B878" s="2"/>
      <c r="C878" s="18" t="str">
        <f t="shared" si="1"/>
        <v>Puriya Dhanashree_8</v>
      </c>
      <c r="D878" s="18"/>
      <c r="E878" s="8" t="s">
        <v>25</v>
      </c>
      <c r="F878" s="8" t="s">
        <v>68</v>
      </c>
      <c r="H878" s="2"/>
      <c r="I878" s="2" t="s">
        <v>27</v>
      </c>
    </row>
    <row r="879" ht="22.5" customHeight="1">
      <c r="A879" s="5" t="s">
        <v>1046</v>
      </c>
      <c r="B879" s="2"/>
      <c r="C879" s="18" t="str">
        <f t="shared" si="1"/>
        <v>Puriya Dhanashree_9</v>
      </c>
      <c r="D879" s="18"/>
      <c r="E879" s="8" t="s">
        <v>25</v>
      </c>
      <c r="F879" s="8" t="s">
        <v>39</v>
      </c>
      <c r="H879" s="2"/>
      <c r="I879" s="2" t="s">
        <v>27</v>
      </c>
    </row>
    <row r="880" ht="22.5" customHeight="1">
      <c r="A880" s="5" t="s">
        <v>1046</v>
      </c>
      <c r="B880" s="2"/>
      <c r="C880" s="18" t="str">
        <f t="shared" si="1"/>
        <v>Puriya Dhanashree_10</v>
      </c>
      <c r="D880" s="18"/>
      <c r="E880" s="8" t="s">
        <v>25</v>
      </c>
      <c r="F880" s="8" t="s">
        <v>39</v>
      </c>
      <c r="H880" s="2"/>
      <c r="I880" s="2" t="s">
        <v>27</v>
      </c>
    </row>
    <row r="881" ht="22.5" customHeight="1">
      <c r="A881" s="5" t="s">
        <v>1047</v>
      </c>
      <c r="B881" s="2" t="s">
        <v>28</v>
      </c>
      <c r="C881" s="45" t="str">
        <f t="shared" si="1"/>
        <v>Puriya Kalyan_1</v>
      </c>
      <c r="D881" s="12" t="s">
        <v>1048</v>
      </c>
      <c r="E881" s="2" t="s">
        <v>167</v>
      </c>
      <c r="F881" s="2" t="s">
        <v>1049</v>
      </c>
    </row>
    <row r="882" ht="22.5" customHeight="1">
      <c r="A882" s="5" t="s">
        <v>1047</v>
      </c>
      <c r="B882" s="2" t="s">
        <v>24</v>
      </c>
      <c r="C882" s="45" t="str">
        <f t="shared" si="1"/>
        <v>Puriya Kalyan_2</v>
      </c>
      <c r="D882" s="12" t="s">
        <v>1050</v>
      </c>
      <c r="E882" s="2" t="s">
        <v>25</v>
      </c>
      <c r="F882" s="2" t="s">
        <v>34</v>
      </c>
    </row>
    <row r="883" ht="22.5" customHeight="1">
      <c r="A883" s="5" t="s">
        <v>1047</v>
      </c>
      <c r="B883" s="2" t="s">
        <v>28</v>
      </c>
      <c r="C883" s="45" t="str">
        <f t="shared" si="1"/>
        <v>Puriya Kalyan_3</v>
      </c>
      <c r="D883" s="12" t="s">
        <v>1051</v>
      </c>
      <c r="E883" s="2" t="s">
        <v>25</v>
      </c>
      <c r="F883" s="2" t="s">
        <v>26</v>
      </c>
    </row>
    <row r="884" ht="22.5" customHeight="1">
      <c r="A884" s="5" t="s">
        <v>1047</v>
      </c>
      <c r="B884" s="2" t="s">
        <v>28</v>
      </c>
      <c r="C884" s="45" t="str">
        <f t="shared" si="1"/>
        <v>Puriya Kalyan_4</v>
      </c>
      <c r="D884" s="12" t="s">
        <v>1052</v>
      </c>
      <c r="E884" s="2" t="s">
        <v>167</v>
      </c>
      <c r="F884" s="2" t="s">
        <v>168</v>
      </c>
    </row>
    <row r="885" ht="22.5" customHeight="1">
      <c r="A885" s="5" t="s">
        <v>1047</v>
      </c>
      <c r="B885" s="2" t="s">
        <v>43</v>
      </c>
      <c r="C885" s="45" t="str">
        <f t="shared" si="1"/>
        <v>Puriya Kalyan_5</v>
      </c>
      <c r="D885" s="12" t="s">
        <v>1053</v>
      </c>
      <c r="E885" s="2" t="s">
        <v>25</v>
      </c>
      <c r="F885" s="2" t="s">
        <v>52</v>
      </c>
    </row>
    <row r="886" ht="22.5" customHeight="1">
      <c r="A886" s="5" t="s">
        <v>1047</v>
      </c>
      <c r="B886" s="2" t="s">
        <v>58</v>
      </c>
      <c r="C886" s="45" t="str">
        <f t="shared" si="1"/>
        <v>Puriya Kalyan_6</v>
      </c>
      <c r="D886" s="12" t="s">
        <v>1054</v>
      </c>
      <c r="E886" s="2" t="s">
        <v>25</v>
      </c>
      <c r="F886" s="2" t="s">
        <v>107</v>
      </c>
    </row>
    <row r="887" ht="22.5" customHeight="1">
      <c r="A887" s="5" t="s">
        <v>1047</v>
      </c>
      <c r="B887" s="2" t="s">
        <v>29</v>
      </c>
      <c r="C887" s="45" t="str">
        <f t="shared" si="1"/>
        <v>Puriya Kalyan_7</v>
      </c>
      <c r="D887" s="12" t="s">
        <v>1055</v>
      </c>
      <c r="E887" s="2" t="s">
        <v>25</v>
      </c>
      <c r="F887" s="2" t="s">
        <v>129</v>
      </c>
    </row>
    <row r="888" ht="22.5" customHeight="1">
      <c r="A888" s="5" t="s">
        <v>1047</v>
      </c>
      <c r="B888" s="2" t="s">
        <v>29</v>
      </c>
      <c r="C888" s="18" t="str">
        <f t="shared" si="1"/>
        <v>Puriya Kalyan_8</v>
      </c>
      <c r="D888" s="15" t="s">
        <v>1056</v>
      </c>
      <c r="E888" s="2" t="s">
        <v>25</v>
      </c>
      <c r="F888" s="2" t="s">
        <v>157</v>
      </c>
    </row>
    <row r="889" ht="22.5" customHeight="1">
      <c r="A889" s="5" t="s">
        <v>1047</v>
      </c>
      <c r="B889" s="2" t="s">
        <v>38</v>
      </c>
      <c r="C889" s="45" t="str">
        <f t="shared" si="1"/>
        <v>Puriya Kalyan_9</v>
      </c>
      <c r="D889" s="12" t="s">
        <v>1057</v>
      </c>
      <c r="E889" s="2" t="s">
        <v>25</v>
      </c>
      <c r="F889" s="2" t="s">
        <v>157</v>
      </c>
    </row>
    <row r="890" ht="22.5" customHeight="1">
      <c r="A890" s="5" t="s">
        <v>1047</v>
      </c>
      <c r="B890" s="2" t="s">
        <v>38</v>
      </c>
      <c r="C890" s="45" t="str">
        <f t="shared" si="1"/>
        <v>Puriya Kalyan_10</v>
      </c>
      <c r="D890" s="12" t="s">
        <v>1058</v>
      </c>
      <c r="E890" s="2" t="s">
        <v>25</v>
      </c>
      <c r="F890" s="2" t="s">
        <v>142</v>
      </c>
    </row>
    <row r="891" ht="22.5" customHeight="1">
      <c r="A891" s="5" t="s">
        <v>1059</v>
      </c>
      <c r="B891" s="2"/>
      <c r="C891" s="18" t="str">
        <f t="shared" si="1"/>
        <v>Rageshri_1</v>
      </c>
      <c r="D891" s="18"/>
      <c r="E891" s="8" t="s">
        <v>25</v>
      </c>
      <c r="F891" s="8" t="s">
        <v>75</v>
      </c>
      <c r="H891" s="2"/>
      <c r="I891" s="2" t="s">
        <v>27</v>
      </c>
    </row>
    <row r="892" ht="22.5" customHeight="1">
      <c r="A892" s="5" t="s">
        <v>1059</v>
      </c>
      <c r="B892" s="2"/>
      <c r="C892" s="18" t="str">
        <f t="shared" si="1"/>
        <v>Rageshri_2</v>
      </c>
      <c r="D892" s="18"/>
      <c r="E892" s="8" t="s">
        <v>25</v>
      </c>
      <c r="F892" s="8" t="s">
        <v>30</v>
      </c>
      <c r="H892" s="2"/>
      <c r="I892" s="2" t="s">
        <v>27</v>
      </c>
    </row>
    <row r="893" ht="22.5" customHeight="1">
      <c r="A893" s="5" t="s">
        <v>1059</v>
      </c>
      <c r="B893" s="2"/>
      <c r="C893" s="18" t="str">
        <f t="shared" si="1"/>
        <v>Rageshri_3</v>
      </c>
      <c r="D893" s="18"/>
      <c r="E893" s="8" t="s">
        <v>25</v>
      </c>
      <c r="F893" s="8" t="s">
        <v>30</v>
      </c>
      <c r="H893" s="2"/>
      <c r="I893" s="2" t="s">
        <v>27</v>
      </c>
    </row>
    <row r="894" ht="22.5" customHeight="1">
      <c r="A894" s="5" t="s">
        <v>1059</v>
      </c>
      <c r="B894" s="2"/>
      <c r="C894" s="18" t="str">
        <f t="shared" si="1"/>
        <v>Rageshri_4</v>
      </c>
      <c r="D894" s="18"/>
      <c r="E894" s="8" t="s">
        <v>25</v>
      </c>
      <c r="F894" s="8" t="s">
        <v>34</v>
      </c>
      <c r="H894" s="2"/>
      <c r="I894" s="2" t="s">
        <v>27</v>
      </c>
    </row>
    <row r="895" ht="22.5" customHeight="1">
      <c r="A895" s="5" t="s">
        <v>1059</v>
      </c>
      <c r="B895" s="2"/>
      <c r="C895" s="18" t="str">
        <f t="shared" si="1"/>
        <v>Rageshri_5</v>
      </c>
      <c r="D895" s="18"/>
      <c r="E895" s="8" t="s">
        <v>25</v>
      </c>
      <c r="F895" s="8" t="s">
        <v>157</v>
      </c>
      <c r="H895" s="2"/>
      <c r="I895" s="2" t="s">
        <v>27</v>
      </c>
    </row>
    <row r="896" ht="22.5" customHeight="1">
      <c r="A896" s="5" t="s">
        <v>1059</v>
      </c>
      <c r="B896" s="2"/>
      <c r="C896" s="18" t="str">
        <f t="shared" si="1"/>
        <v>Rageshri_6</v>
      </c>
      <c r="D896" s="18"/>
      <c r="E896" s="8" t="s">
        <v>25</v>
      </c>
      <c r="F896" s="8" t="s">
        <v>157</v>
      </c>
      <c r="H896" s="2"/>
      <c r="I896" s="2" t="s">
        <v>27</v>
      </c>
    </row>
    <row r="897" ht="22.5" customHeight="1">
      <c r="A897" s="5" t="s">
        <v>1059</v>
      </c>
      <c r="B897" s="2"/>
      <c r="C897" s="18" t="str">
        <f t="shared" si="1"/>
        <v>Rageshri_7</v>
      </c>
      <c r="D897" s="18"/>
      <c r="E897" s="8" t="s">
        <v>25</v>
      </c>
      <c r="F897" s="8" t="s">
        <v>157</v>
      </c>
      <c r="H897" s="2"/>
      <c r="I897" s="2" t="s">
        <v>27</v>
      </c>
    </row>
    <row r="898" ht="22.5" customHeight="1">
      <c r="A898" s="5" t="s">
        <v>1059</v>
      </c>
      <c r="B898" s="2"/>
      <c r="C898" s="18" t="str">
        <f t="shared" si="1"/>
        <v>Rageshri_8</v>
      </c>
      <c r="D898" s="18"/>
      <c r="E898" s="8" t="s">
        <v>25</v>
      </c>
      <c r="F898" s="8" t="s">
        <v>157</v>
      </c>
      <c r="H898" s="2"/>
      <c r="I898" s="2" t="s">
        <v>27</v>
      </c>
    </row>
    <row r="899" ht="22.5" customHeight="1">
      <c r="A899" s="5" t="s">
        <v>1059</v>
      </c>
      <c r="B899" s="2"/>
      <c r="C899" s="18" t="str">
        <f t="shared" si="1"/>
        <v>Rageshri_9</v>
      </c>
      <c r="D899" s="18"/>
      <c r="E899" s="8" t="s">
        <v>25</v>
      </c>
      <c r="F899" s="8" t="s">
        <v>37</v>
      </c>
      <c r="H899" s="2"/>
      <c r="I899" s="2" t="s">
        <v>27</v>
      </c>
    </row>
    <row r="900" ht="22.5" customHeight="1">
      <c r="A900" s="5" t="s">
        <v>1059</v>
      </c>
      <c r="B900" s="2"/>
      <c r="C900" s="18" t="str">
        <f t="shared" si="1"/>
        <v>Rageshri_10</v>
      </c>
      <c r="D900" s="18"/>
      <c r="E900" s="8" t="s">
        <v>25</v>
      </c>
      <c r="F900" s="8" t="s">
        <v>37</v>
      </c>
      <c r="H900" s="2"/>
      <c r="I900" s="2" t="s">
        <v>27</v>
      </c>
    </row>
    <row r="901" ht="22.5" customHeight="1">
      <c r="A901" s="5" t="s">
        <v>1060</v>
      </c>
      <c r="B901" s="2" t="s">
        <v>38</v>
      </c>
      <c r="C901" s="50" t="str">
        <f t="shared" si="1"/>
        <v>Ramdasi Malhar_1</v>
      </c>
      <c r="D901" s="15" t="s">
        <v>1069</v>
      </c>
      <c r="E901" s="2" t="s">
        <v>25</v>
      </c>
      <c r="F901" s="2" t="s">
        <v>34</v>
      </c>
    </row>
    <row r="902" ht="22.5" customHeight="1">
      <c r="A902" s="5" t="s">
        <v>1060</v>
      </c>
      <c r="B902" s="2" t="s">
        <v>43</v>
      </c>
      <c r="C902" s="51" t="str">
        <f t="shared" si="1"/>
        <v>Ramdasi Malhar_2</v>
      </c>
      <c r="D902" s="12" t="s">
        <v>1061</v>
      </c>
      <c r="E902" s="2" t="s">
        <v>25</v>
      </c>
      <c r="F902" s="2" t="s">
        <v>52</v>
      </c>
    </row>
    <row r="903" ht="22.5" customHeight="1">
      <c r="A903" s="5" t="s">
        <v>1060</v>
      </c>
      <c r="B903" s="2" t="s">
        <v>32</v>
      </c>
      <c r="C903" s="51" t="str">
        <f t="shared" si="1"/>
        <v>Ramdasi Malhar_3</v>
      </c>
      <c r="D903" s="12" t="s">
        <v>1068</v>
      </c>
      <c r="E903" s="2" t="s">
        <v>25</v>
      </c>
      <c r="F903" s="2" t="s">
        <v>34</v>
      </c>
    </row>
    <row r="904" ht="22.5" customHeight="1">
      <c r="A904" s="5" t="s">
        <v>1060</v>
      </c>
      <c r="B904" s="2" t="s">
        <v>38</v>
      </c>
      <c r="C904" s="51" t="str">
        <f t="shared" si="1"/>
        <v>Ramdasi Malhar_4</v>
      </c>
      <c r="D904" s="12" t="s">
        <v>1067</v>
      </c>
      <c r="E904" s="2" t="s">
        <v>25</v>
      </c>
      <c r="F904" s="2" t="s">
        <v>153</v>
      </c>
      <c r="H904" s="2"/>
      <c r="I904" s="2" t="s">
        <v>154</v>
      </c>
    </row>
    <row r="905" ht="22.5" customHeight="1">
      <c r="A905" s="5" t="s">
        <v>1060</v>
      </c>
      <c r="B905" s="2" t="s">
        <v>43</v>
      </c>
      <c r="C905" s="51" t="str">
        <f t="shared" si="1"/>
        <v>Ramdasi Malhar_5</v>
      </c>
      <c r="D905" s="12" t="s">
        <v>1065</v>
      </c>
      <c r="E905" s="2" t="s">
        <v>114</v>
      </c>
      <c r="F905" s="2" t="s">
        <v>1066</v>
      </c>
    </row>
    <row r="906" ht="22.5" customHeight="1">
      <c r="A906" s="5" t="s">
        <v>1060</v>
      </c>
      <c r="B906" s="2" t="s">
        <v>24</v>
      </c>
      <c r="C906" s="51" t="str">
        <f t="shared" si="1"/>
        <v>Ramdasi Malhar_6</v>
      </c>
      <c r="D906" s="12" t="s">
        <v>1064</v>
      </c>
      <c r="E906" s="2" t="s">
        <v>25</v>
      </c>
      <c r="F906" s="8" t="s">
        <v>56</v>
      </c>
    </row>
    <row r="907" ht="22.5" customHeight="1">
      <c r="A907" s="5" t="s">
        <v>1060</v>
      </c>
      <c r="B907" s="2" t="s">
        <v>38</v>
      </c>
      <c r="C907" s="51" t="str">
        <f t="shared" si="1"/>
        <v>Ramdasi Malhar_7</v>
      </c>
      <c r="D907" s="12" t="s">
        <v>1063</v>
      </c>
      <c r="E907" s="2" t="s">
        <v>25</v>
      </c>
      <c r="F907" s="2" t="s">
        <v>64</v>
      </c>
    </row>
    <row r="908" ht="22.5" customHeight="1">
      <c r="A908" s="5" t="s">
        <v>1060</v>
      </c>
      <c r="B908" s="2" t="s">
        <v>24</v>
      </c>
      <c r="C908" s="51" t="str">
        <f t="shared" si="1"/>
        <v>Ramdasi Malhar_8</v>
      </c>
      <c r="D908" s="12" t="s">
        <v>1062</v>
      </c>
      <c r="E908" s="2" t="s">
        <v>25</v>
      </c>
      <c r="F908" s="2" t="s">
        <v>26</v>
      </c>
    </row>
    <row r="909" ht="22.5" customHeight="1">
      <c r="A909" s="5" t="s">
        <v>1060</v>
      </c>
      <c r="B909" s="2" t="s">
        <v>62</v>
      </c>
      <c r="C909" s="51" t="str">
        <f t="shared" si="1"/>
        <v>Ramdasi Malhar_9</v>
      </c>
      <c r="D909" s="12" t="s">
        <v>1071</v>
      </c>
      <c r="E909" s="2" t="s">
        <v>25</v>
      </c>
      <c r="F909" s="2" t="s">
        <v>153</v>
      </c>
      <c r="H909" s="2"/>
      <c r="I909" s="2" t="s">
        <v>154</v>
      </c>
    </row>
    <row r="910" ht="22.5" customHeight="1">
      <c r="A910" s="5" t="s">
        <v>1060</v>
      </c>
      <c r="B910" s="2" t="s">
        <v>24</v>
      </c>
      <c r="C910" s="51" t="str">
        <f t="shared" si="1"/>
        <v>Ramdasi Malhar_10</v>
      </c>
      <c r="D910" s="12" t="s">
        <v>1070</v>
      </c>
      <c r="E910" s="2" t="s">
        <v>25</v>
      </c>
      <c r="F910" s="2" t="s">
        <v>30</v>
      </c>
    </row>
    <row r="911" ht="22.5" customHeight="1">
      <c r="A911" s="5" t="s">
        <v>1072</v>
      </c>
      <c r="B911" s="2" t="s">
        <v>127</v>
      </c>
      <c r="C911" s="51" t="str">
        <f t="shared" si="1"/>
        <v>Ramkali_1</v>
      </c>
      <c r="D911" s="12" t="s">
        <v>1083</v>
      </c>
      <c r="E911" s="2" t="s">
        <v>25</v>
      </c>
      <c r="F911" s="2" t="s">
        <v>129</v>
      </c>
    </row>
    <row r="912" ht="22.5" customHeight="1">
      <c r="A912" s="5" t="s">
        <v>1072</v>
      </c>
      <c r="B912" s="2" t="s">
        <v>43</v>
      </c>
      <c r="C912" s="51" t="str">
        <f t="shared" si="1"/>
        <v>Ramkali_2</v>
      </c>
      <c r="D912" s="12" t="s">
        <v>1082</v>
      </c>
      <c r="E912" s="2" t="s">
        <v>25</v>
      </c>
      <c r="F912" s="2" t="s">
        <v>83</v>
      </c>
    </row>
    <row r="913" ht="22.5" customHeight="1">
      <c r="A913" s="5" t="s">
        <v>1072</v>
      </c>
      <c r="B913" s="2" t="s">
        <v>43</v>
      </c>
      <c r="C913" s="51" t="str">
        <f t="shared" si="1"/>
        <v>Ramkali_3</v>
      </c>
      <c r="D913" s="12" t="s">
        <v>1081</v>
      </c>
      <c r="E913" s="2" t="s">
        <v>25</v>
      </c>
      <c r="F913" s="2" t="s">
        <v>94</v>
      </c>
    </row>
    <row r="914" ht="22.5" customHeight="1">
      <c r="A914" s="5" t="s">
        <v>1072</v>
      </c>
      <c r="B914" s="2" t="s">
        <v>32</v>
      </c>
      <c r="C914" s="51" t="str">
        <f t="shared" si="1"/>
        <v>Ramkali_4</v>
      </c>
      <c r="D914" s="12" t="s">
        <v>1080</v>
      </c>
      <c r="E914" s="2" t="s">
        <v>25</v>
      </c>
      <c r="F914" s="2" t="s">
        <v>112</v>
      </c>
    </row>
    <row r="915" ht="22.5" customHeight="1">
      <c r="A915" s="5" t="s">
        <v>1072</v>
      </c>
      <c r="B915" s="2" t="s">
        <v>29</v>
      </c>
      <c r="C915" s="51" t="str">
        <f t="shared" si="1"/>
        <v>Ramkali_5</v>
      </c>
      <c r="D915" s="12" t="s">
        <v>1078</v>
      </c>
      <c r="E915" s="2" t="s">
        <v>25</v>
      </c>
      <c r="F915" s="2" t="s">
        <v>1079</v>
      </c>
    </row>
    <row r="916" ht="22.5" customHeight="1">
      <c r="A916" s="5" t="s">
        <v>1072</v>
      </c>
      <c r="B916" s="2" t="s">
        <v>32</v>
      </c>
      <c r="C916" s="51" t="str">
        <f t="shared" si="1"/>
        <v>Ramkali_6</v>
      </c>
      <c r="D916" s="12" t="s">
        <v>1077</v>
      </c>
      <c r="E916" s="2" t="s">
        <v>25</v>
      </c>
      <c r="F916" s="2" t="s">
        <v>70</v>
      </c>
    </row>
    <row r="917" ht="22.5" customHeight="1">
      <c r="A917" s="5" t="s">
        <v>1072</v>
      </c>
      <c r="B917" s="2" t="s">
        <v>24</v>
      </c>
      <c r="C917" s="51" t="str">
        <f t="shared" si="1"/>
        <v>Ramkali_7</v>
      </c>
      <c r="D917" s="12" t="s">
        <v>1076</v>
      </c>
      <c r="E917" s="2" t="s">
        <v>25</v>
      </c>
      <c r="F917" s="2" t="s">
        <v>26</v>
      </c>
    </row>
    <row r="918" ht="22.5" customHeight="1">
      <c r="A918" s="5" t="s">
        <v>1072</v>
      </c>
      <c r="B918" s="2" t="s">
        <v>29</v>
      </c>
      <c r="C918" s="51" t="str">
        <f t="shared" si="1"/>
        <v>Ramkali_8</v>
      </c>
      <c r="D918" s="12" t="s">
        <v>1075</v>
      </c>
      <c r="E918" s="2" t="s">
        <v>25</v>
      </c>
      <c r="F918" s="2" t="s">
        <v>134</v>
      </c>
    </row>
    <row r="919" ht="22.5" customHeight="1">
      <c r="A919" s="5" t="s">
        <v>1072</v>
      </c>
      <c r="B919" s="2" t="s">
        <v>32</v>
      </c>
      <c r="C919" s="51" t="str">
        <f t="shared" si="1"/>
        <v>Ramkali_9</v>
      </c>
      <c r="D919" s="12" t="s">
        <v>1073</v>
      </c>
      <c r="E919" s="2" t="s">
        <v>25</v>
      </c>
      <c r="F919" s="2" t="s">
        <v>1074</v>
      </c>
    </row>
    <row r="920" ht="22.5" customHeight="1">
      <c r="A920" s="5" t="s">
        <v>1084</v>
      </c>
      <c r="C920" s="46" t="str">
        <f t="shared" si="1"/>
        <v>Salagavarali_1</v>
      </c>
      <c r="D920" s="13" t="s">
        <v>1093</v>
      </c>
      <c r="E920" s="2" t="s">
        <v>25</v>
      </c>
      <c r="F920" s="2" t="s">
        <v>286</v>
      </c>
    </row>
    <row r="921" ht="22.5" customHeight="1">
      <c r="A921" s="5" t="s">
        <v>1084</v>
      </c>
      <c r="C921" s="46" t="str">
        <f t="shared" si="1"/>
        <v>Salagavarali_2</v>
      </c>
      <c r="D921" s="13" t="s">
        <v>1085</v>
      </c>
      <c r="E921" s="2" t="s">
        <v>25</v>
      </c>
      <c r="F921" s="2" t="s">
        <v>103</v>
      </c>
    </row>
    <row r="922" ht="22.5" customHeight="1">
      <c r="A922" s="5" t="s">
        <v>1084</v>
      </c>
      <c r="C922" s="46" t="str">
        <f t="shared" si="1"/>
        <v>Salagavarali_3</v>
      </c>
      <c r="D922" s="13" t="s">
        <v>1092</v>
      </c>
      <c r="E922" s="2" t="s">
        <v>25</v>
      </c>
      <c r="F922" s="2" t="s">
        <v>142</v>
      </c>
    </row>
    <row r="923" ht="22.5" customHeight="1">
      <c r="A923" s="5" t="s">
        <v>1084</v>
      </c>
      <c r="C923" s="46" t="str">
        <f t="shared" si="1"/>
        <v>Salagavarali_4</v>
      </c>
      <c r="D923" s="13" t="s">
        <v>1091</v>
      </c>
      <c r="E923" s="2" t="s">
        <v>25</v>
      </c>
      <c r="F923" s="2" t="s">
        <v>129</v>
      </c>
    </row>
    <row r="924" ht="22.5" customHeight="1">
      <c r="A924" s="5" t="s">
        <v>1084</v>
      </c>
      <c r="C924" s="46" t="str">
        <f t="shared" si="1"/>
        <v>Salagavarali_5</v>
      </c>
      <c r="D924" s="13" t="s">
        <v>1090</v>
      </c>
      <c r="E924" s="2" t="s">
        <v>25</v>
      </c>
      <c r="F924" s="2" t="s">
        <v>558</v>
      </c>
    </row>
    <row r="925" ht="22.5" customHeight="1">
      <c r="A925" s="5" t="s">
        <v>1084</v>
      </c>
      <c r="C925" s="18" t="str">
        <f t="shared" si="1"/>
        <v>Salagavarali_6</v>
      </c>
      <c r="D925" s="15" t="s">
        <v>1088</v>
      </c>
      <c r="E925" s="2" t="s">
        <v>25</v>
      </c>
      <c r="F925" s="2" t="s">
        <v>1089</v>
      </c>
    </row>
    <row r="926" ht="22.5" customHeight="1">
      <c r="A926" s="5" t="s">
        <v>1084</v>
      </c>
      <c r="C926" s="45" t="str">
        <f t="shared" si="1"/>
        <v>Salagavarali_7</v>
      </c>
      <c r="D926" s="12" t="s">
        <v>1087</v>
      </c>
      <c r="E926" s="2" t="s">
        <v>25</v>
      </c>
      <c r="F926" s="2" t="s">
        <v>50</v>
      </c>
    </row>
    <row r="927" ht="22.5" customHeight="1">
      <c r="A927" s="5" t="s">
        <v>1084</v>
      </c>
      <c r="C927" s="45" t="str">
        <f t="shared" si="1"/>
        <v>Salagavarali_8</v>
      </c>
      <c r="D927" s="12" t="s">
        <v>1086</v>
      </c>
      <c r="E927" s="2" t="s">
        <v>25</v>
      </c>
      <c r="F927" s="2" t="s">
        <v>286</v>
      </c>
    </row>
    <row r="928" ht="22.5" customHeight="1">
      <c r="A928" s="5" t="s">
        <v>1084</v>
      </c>
      <c r="C928" s="46" t="str">
        <f t="shared" si="1"/>
        <v>Salagavarali_9</v>
      </c>
      <c r="D928" s="13" t="s">
        <v>1096</v>
      </c>
      <c r="E928" s="2" t="s">
        <v>25</v>
      </c>
      <c r="F928" s="2" t="s">
        <v>720</v>
      </c>
    </row>
    <row r="929" ht="22.5" customHeight="1">
      <c r="A929" s="5" t="s">
        <v>1084</v>
      </c>
      <c r="C929" s="46" t="str">
        <f t="shared" si="1"/>
        <v>Salagavarali_10</v>
      </c>
      <c r="D929" s="13" t="s">
        <v>1094</v>
      </c>
      <c r="E929" s="2" t="s">
        <v>25</v>
      </c>
      <c r="F929" s="2" t="s">
        <v>1095</v>
      </c>
    </row>
    <row r="930" ht="22.5" customHeight="1">
      <c r="A930" s="5" t="s">
        <v>1097</v>
      </c>
      <c r="C930" s="46" t="str">
        <f t="shared" si="1"/>
        <v>Sarang_1</v>
      </c>
      <c r="D930" s="13" t="s">
        <v>1105</v>
      </c>
      <c r="E930" s="2" t="s">
        <v>25</v>
      </c>
      <c r="F930" s="2" t="s">
        <v>1106</v>
      </c>
    </row>
    <row r="931" ht="22.5" customHeight="1">
      <c r="A931" s="5" t="s">
        <v>1097</v>
      </c>
      <c r="C931" s="46" t="str">
        <f t="shared" si="1"/>
        <v>Sarang_2</v>
      </c>
      <c r="D931" s="13" t="s">
        <v>1098</v>
      </c>
      <c r="E931" s="2" t="s">
        <v>25</v>
      </c>
      <c r="F931" s="2" t="s">
        <v>34</v>
      </c>
    </row>
    <row r="932" ht="22.5" customHeight="1">
      <c r="A932" s="5" t="s">
        <v>1097</v>
      </c>
      <c r="C932" s="46" t="str">
        <f t="shared" si="1"/>
        <v>Sarang_3</v>
      </c>
      <c r="D932" s="13" t="s">
        <v>1104</v>
      </c>
      <c r="E932" s="2" t="s">
        <v>25</v>
      </c>
      <c r="F932" s="2" t="s">
        <v>68</v>
      </c>
    </row>
    <row r="933" ht="22.5" customHeight="1">
      <c r="A933" s="5" t="s">
        <v>1097</v>
      </c>
      <c r="C933" s="46" t="str">
        <f t="shared" si="1"/>
        <v>Sarang_4</v>
      </c>
      <c r="D933" s="13" t="s">
        <v>1103</v>
      </c>
      <c r="E933" s="2" t="s">
        <v>25</v>
      </c>
      <c r="F933" s="2" t="s">
        <v>69</v>
      </c>
    </row>
    <row r="934" ht="22.5" customHeight="1">
      <c r="A934" s="5" t="s">
        <v>1097</v>
      </c>
      <c r="C934" s="46" t="str">
        <f t="shared" si="1"/>
        <v>Sarang_5</v>
      </c>
      <c r="D934" s="13" t="s">
        <v>1102</v>
      </c>
      <c r="E934" s="2" t="s">
        <v>25</v>
      </c>
      <c r="F934" s="2" t="s">
        <v>134</v>
      </c>
    </row>
    <row r="935" ht="22.5" customHeight="1">
      <c r="A935" s="5" t="s">
        <v>1097</v>
      </c>
      <c r="C935" s="46" t="str">
        <f t="shared" si="1"/>
        <v>Sarang_6</v>
      </c>
      <c r="D935" s="13" t="s">
        <v>1101</v>
      </c>
      <c r="E935" s="2" t="s">
        <v>25</v>
      </c>
      <c r="F935" s="2" t="s">
        <v>75</v>
      </c>
    </row>
    <row r="936" ht="22.5" customHeight="1">
      <c r="A936" s="5" t="s">
        <v>1097</v>
      </c>
      <c r="C936" s="45" t="str">
        <f t="shared" si="1"/>
        <v>Sarang_7</v>
      </c>
      <c r="D936" s="12" t="s">
        <v>1100</v>
      </c>
      <c r="E936" s="2" t="s">
        <v>167</v>
      </c>
      <c r="F936" s="2" t="s">
        <v>168</v>
      </c>
    </row>
    <row r="937" ht="22.5" customHeight="1">
      <c r="A937" s="5" t="s">
        <v>1097</v>
      </c>
      <c r="C937" s="18" t="str">
        <f t="shared" si="1"/>
        <v>Sarang_8</v>
      </c>
      <c r="D937" s="15" t="s">
        <v>1099</v>
      </c>
      <c r="E937" s="2" t="s">
        <v>25</v>
      </c>
      <c r="F937" s="2" t="s">
        <v>157</v>
      </c>
    </row>
    <row r="938" ht="22.5" customHeight="1">
      <c r="A938" s="5" t="s">
        <v>1097</v>
      </c>
      <c r="C938" s="46" t="str">
        <f t="shared" si="1"/>
        <v>Sarang_9</v>
      </c>
      <c r="D938" s="13" t="s">
        <v>1108</v>
      </c>
      <c r="E938" s="2" t="s">
        <v>25</v>
      </c>
      <c r="F938" s="2" t="s">
        <v>94</v>
      </c>
    </row>
    <row r="939" ht="22.5" customHeight="1">
      <c r="A939" s="5" t="s">
        <v>1097</v>
      </c>
      <c r="C939" s="46" t="str">
        <f t="shared" si="1"/>
        <v>Sarang_10</v>
      </c>
      <c r="D939" s="13" t="s">
        <v>1107</v>
      </c>
      <c r="E939" s="2" t="s">
        <v>25</v>
      </c>
      <c r="F939" s="2" t="s">
        <v>56</v>
      </c>
    </row>
    <row r="940" ht="22.5" customHeight="1">
      <c r="A940" s="5" t="s">
        <v>1109</v>
      </c>
      <c r="C940" s="46" t="str">
        <f t="shared" si="1"/>
        <v>Saraswati_1</v>
      </c>
      <c r="D940" s="13" t="s">
        <v>1118</v>
      </c>
      <c r="E940" s="2" t="s">
        <v>25</v>
      </c>
      <c r="F940" s="2" t="s">
        <v>129</v>
      </c>
    </row>
    <row r="941" ht="22.5" customHeight="1">
      <c r="A941" s="5" t="s">
        <v>1109</v>
      </c>
      <c r="C941" s="46" t="str">
        <f t="shared" si="1"/>
        <v>Saraswati_2</v>
      </c>
      <c r="D941" s="13" t="s">
        <v>1110</v>
      </c>
      <c r="E941" s="2" t="s">
        <v>25</v>
      </c>
      <c r="F941" s="2" t="s">
        <v>52</v>
      </c>
    </row>
    <row r="942" ht="22.5" customHeight="1">
      <c r="A942" s="5" t="s">
        <v>1109</v>
      </c>
      <c r="C942" s="46" t="str">
        <f t="shared" si="1"/>
        <v>Saraswati_3</v>
      </c>
      <c r="D942" s="13" t="s">
        <v>1116</v>
      </c>
      <c r="E942" s="2" t="s">
        <v>25</v>
      </c>
      <c r="F942" s="2" t="s">
        <v>1117</v>
      </c>
    </row>
    <row r="943" ht="22.5" customHeight="1">
      <c r="A943" s="5" t="s">
        <v>1109</v>
      </c>
      <c r="C943" s="46" t="str">
        <f t="shared" si="1"/>
        <v>Saraswati_4</v>
      </c>
      <c r="D943" s="13" t="s">
        <v>1115</v>
      </c>
      <c r="E943" s="2" t="s">
        <v>25</v>
      </c>
      <c r="F943" s="2" t="s">
        <v>34</v>
      </c>
    </row>
    <row r="944" ht="22.5" customHeight="1">
      <c r="A944" s="5" t="s">
        <v>1109</v>
      </c>
      <c r="C944" s="46" t="str">
        <f t="shared" si="1"/>
        <v>Saraswati_5</v>
      </c>
      <c r="D944" s="13" t="s">
        <v>1114</v>
      </c>
      <c r="E944" s="2" t="s">
        <v>25</v>
      </c>
      <c r="F944" s="2" t="s">
        <v>30</v>
      </c>
    </row>
    <row r="945" ht="22.5" customHeight="1">
      <c r="A945" s="5" t="s">
        <v>1109</v>
      </c>
      <c r="C945" s="46" t="str">
        <f t="shared" si="1"/>
        <v>Saraswati_6</v>
      </c>
      <c r="D945" s="13" t="s">
        <v>1113</v>
      </c>
      <c r="E945" s="2" t="s">
        <v>25</v>
      </c>
      <c r="F945" s="2" t="s">
        <v>94</v>
      </c>
    </row>
    <row r="946" ht="22.5" customHeight="1">
      <c r="A946" s="5" t="s">
        <v>1109</v>
      </c>
      <c r="C946" s="46" t="str">
        <f t="shared" si="1"/>
        <v>Saraswati_7</v>
      </c>
      <c r="D946" s="13" t="s">
        <v>1112</v>
      </c>
      <c r="E946" s="2" t="s">
        <v>114</v>
      </c>
      <c r="F946" s="2" t="s">
        <v>211</v>
      </c>
    </row>
    <row r="947" ht="22.5" customHeight="1">
      <c r="A947" s="5" t="s">
        <v>1109</v>
      </c>
      <c r="C947" s="46" t="str">
        <f t="shared" si="1"/>
        <v>Saraswati_8</v>
      </c>
      <c r="D947" s="13" t="s">
        <v>1111</v>
      </c>
      <c r="E947" s="2" t="s">
        <v>25</v>
      </c>
      <c r="F947" s="2" t="s">
        <v>577</v>
      </c>
    </row>
    <row r="948" ht="22.5" customHeight="1">
      <c r="A948" s="5" t="s">
        <v>1109</v>
      </c>
      <c r="C948" s="46" t="str">
        <f t="shared" si="1"/>
        <v>Saraswati_9</v>
      </c>
      <c r="D948" s="13" t="s">
        <v>1121</v>
      </c>
      <c r="E948" s="2" t="s">
        <v>25</v>
      </c>
      <c r="F948" s="2" t="s">
        <v>34</v>
      </c>
    </row>
    <row r="949" ht="22.5" customHeight="1">
      <c r="A949" s="5" t="s">
        <v>1109</v>
      </c>
      <c r="C949" s="46" t="str">
        <f t="shared" si="1"/>
        <v>Saraswati_10</v>
      </c>
      <c r="D949" s="13" t="s">
        <v>1119</v>
      </c>
      <c r="E949" s="2" t="s">
        <v>25</v>
      </c>
      <c r="F949" s="2" t="s">
        <v>1120</v>
      </c>
    </row>
    <row r="950" ht="22.5" customHeight="1">
      <c r="A950" s="5" t="s">
        <v>1122</v>
      </c>
      <c r="C950" s="45" t="str">
        <f t="shared" si="1"/>
        <v>Shahana_1</v>
      </c>
      <c r="D950" s="12" t="s">
        <v>1130</v>
      </c>
      <c r="E950" s="2" t="s">
        <v>162</v>
      </c>
      <c r="F950" s="2" t="s">
        <v>1131</v>
      </c>
    </row>
    <row r="951" ht="22.5" customHeight="1">
      <c r="A951" s="5" t="s">
        <v>1122</v>
      </c>
      <c r="B951" s="2"/>
      <c r="C951" s="45" t="str">
        <f t="shared" si="1"/>
        <v>Shahana_2</v>
      </c>
      <c r="D951" s="12" t="s">
        <v>1129</v>
      </c>
      <c r="E951" s="2" t="s">
        <v>25</v>
      </c>
      <c r="F951" s="2" t="s">
        <v>153</v>
      </c>
      <c r="H951" s="2"/>
      <c r="I951" s="2" t="s">
        <v>154</v>
      </c>
    </row>
    <row r="952" ht="22.5" customHeight="1">
      <c r="A952" s="5" t="s">
        <v>1122</v>
      </c>
      <c r="C952" s="45" t="str">
        <f t="shared" si="1"/>
        <v>Shahana_3</v>
      </c>
      <c r="D952" s="12" t="s">
        <v>1128</v>
      </c>
      <c r="E952" s="2" t="s">
        <v>25</v>
      </c>
      <c r="F952" s="2" t="s">
        <v>50</v>
      </c>
    </row>
    <row r="953" ht="22.5" customHeight="1">
      <c r="A953" s="5" t="s">
        <v>1122</v>
      </c>
      <c r="C953" s="45" t="str">
        <f t="shared" si="1"/>
        <v>Shahana_4</v>
      </c>
      <c r="D953" s="12" t="s">
        <v>1127</v>
      </c>
      <c r="E953" s="2" t="s">
        <v>114</v>
      </c>
      <c r="F953" s="2" t="s">
        <v>180</v>
      </c>
    </row>
    <row r="954" ht="22.5" customHeight="1">
      <c r="A954" s="5" t="s">
        <v>1122</v>
      </c>
      <c r="C954" s="45" t="str">
        <f t="shared" si="1"/>
        <v>Shahana_5</v>
      </c>
      <c r="D954" s="12" t="s">
        <v>1126</v>
      </c>
      <c r="E954" s="2" t="s">
        <v>25</v>
      </c>
      <c r="F954" s="2" t="s">
        <v>69</v>
      </c>
    </row>
    <row r="955" ht="22.5" customHeight="1">
      <c r="A955" s="5" t="s">
        <v>1122</v>
      </c>
      <c r="C955" s="45" t="str">
        <f t="shared" si="1"/>
        <v>Shahana_6</v>
      </c>
      <c r="D955" s="12" t="s">
        <v>1125</v>
      </c>
      <c r="E955" s="2" t="s">
        <v>25</v>
      </c>
      <c r="F955" s="2" t="s">
        <v>83</v>
      </c>
    </row>
    <row r="956" ht="22.5" customHeight="1">
      <c r="A956" s="5" t="s">
        <v>1122</v>
      </c>
      <c r="C956" s="45" t="str">
        <f t="shared" si="1"/>
        <v>Shahana_7</v>
      </c>
      <c r="D956" s="32" t="s">
        <v>1124</v>
      </c>
      <c r="E956" s="2" t="s">
        <v>25</v>
      </c>
      <c r="F956" s="2" t="s">
        <v>34</v>
      </c>
    </row>
    <row r="957" ht="22.5" customHeight="1">
      <c r="A957" s="5" t="s">
        <v>1122</v>
      </c>
      <c r="C957" s="45" t="str">
        <f t="shared" si="1"/>
        <v>Shahana_8</v>
      </c>
      <c r="D957" s="12" t="s">
        <v>1123</v>
      </c>
      <c r="E957" s="2" t="s">
        <v>114</v>
      </c>
      <c r="F957" s="2" t="s">
        <v>1035</v>
      </c>
    </row>
    <row r="958" ht="22.5" customHeight="1">
      <c r="A958" s="5" t="s">
        <v>1132</v>
      </c>
      <c r="C958" s="45" t="str">
        <f t="shared" si="1"/>
        <v>Shankara_1</v>
      </c>
      <c r="D958" s="12" t="s">
        <v>1143</v>
      </c>
      <c r="E958" s="2" t="s">
        <v>25</v>
      </c>
      <c r="F958" s="2" t="s">
        <v>297</v>
      </c>
    </row>
    <row r="959" ht="22.5" customHeight="1">
      <c r="A959" s="5" t="s">
        <v>1132</v>
      </c>
      <c r="C959" s="45" t="str">
        <f t="shared" si="1"/>
        <v>Shankara_2</v>
      </c>
      <c r="D959" s="12" t="s">
        <v>1142</v>
      </c>
      <c r="E959" s="2" t="s">
        <v>25</v>
      </c>
      <c r="F959" s="2" t="s">
        <v>37</v>
      </c>
    </row>
    <row r="960" ht="22.5" customHeight="1">
      <c r="A960" s="5" t="s">
        <v>1132</v>
      </c>
      <c r="C960" s="45" t="str">
        <f t="shared" si="1"/>
        <v>Shankara_3</v>
      </c>
      <c r="D960" s="12" t="s">
        <v>1140</v>
      </c>
      <c r="E960" s="2" t="s">
        <v>25</v>
      </c>
      <c r="F960" s="2" t="s">
        <v>1141</v>
      </c>
    </row>
    <row r="961" ht="22.5" customHeight="1">
      <c r="A961" s="5" t="s">
        <v>1132</v>
      </c>
      <c r="C961" s="45" t="str">
        <f t="shared" si="1"/>
        <v>Shankara_4</v>
      </c>
      <c r="D961" s="12" t="s">
        <v>1139</v>
      </c>
      <c r="E961" s="2" t="s">
        <v>25</v>
      </c>
      <c r="F961" s="2" t="s">
        <v>34</v>
      </c>
    </row>
    <row r="962" ht="22.5" customHeight="1">
      <c r="A962" s="5" t="s">
        <v>1132</v>
      </c>
      <c r="C962" s="45" t="str">
        <f t="shared" si="1"/>
        <v>Shankara_5</v>
      </c>
      <c r="D962" s="12" t="s">
        <v>1138</v>
      </c>
      <c r="E962" s="2" t="s">
        <v>25</v>
      </c>
      <c r="F962" s="2" t="s">
        <v>75</v>
      </c>
    </row>
    <row r="963" ht="22.5" customHeight="1">
      <c r="A963" s="5" t="s">
        <v>1132</v>
      </c>
      <c r="C963" s="45" t="str">
        <f t="shared" si="1"/>
        <v>Shankara_6</v>
      </c>
      <c r="D963" s="12" t="s">
        <v>1136</v>
      </c>
      <c r="E963" s="2" t="s">
        <v>25</v>
      </c>
      <c r="F963" s="2" t="s">
        <v>1137</v>
      </c>
    </row>
    <row r="964" ht="22.5" customHeight="1">
      <c r="A964" s="5" t="s">
        <v>1132</v>
      </c>
      <c r="C964" s="45" t="str">
        <f t="shared" si="1"/>
        <v>Shankara_7</v>
      </c>
      <c r="D964" s="12" t="s">
        <v>1135</v>
      </c>
      <c r="E964" s="2" t="s">
        <v>25</v>
      </c>
      <c r="F964" s="2" t="s">
        <v>52</v>
      </c>
    </row>
    <row r="965" ht="22.5" customHeight="1">
      <c r="A965" s="5" t="s">
        <v>1132</v>
      </c>
      <c r="C965" s="45" t="str">
        <f t="shared" si="1"/>
        <v>Shankara_8</v>
      </c>
      <c r="D965" s="12" t="s">
        <v>1134</v>
      </c>
      <c r="E965" s="2" t="s">
        <v>25</v>
      </c>
      <c r="F965" s="2" t="s">
        <v>256</v>
      </c>
    </row>
    <row r="966" ht="22.5" customHeight="1">
      <c r="A966" s="5" t="s">
        <v>1132</v>
      </c>
      <c r="C966" s="45" t="str">
        <f t="shared" si="1"/>
        <v>Shankara_9</v>
      </c>
      <c r="D966" s="12" t="s">
        <v>1133</v>
      </c>
      <c r="E966" s="2" t="s">
        <v>25</v>
      </c>
      <c r="F966" s="2" t="s">
        <v>56</v>
      </c>
    </row>
    <row r="967" ht="22.5" customHeight="1">
      <c r="A967" s="5" t="s">
        <v>1144</v>
      </c>
      <c r="C967" s="45" t="str">
        <f t="shared" si="1"/>
        <v>Shivranjani_1</v>
      </c>
      <c r="D967" s="12" t="s">
        <v>1153</v>
      </c>
      <c r="E967" s="2" t="s">
        <v>25</v>
      </c>
      <c r="F967" s="2" t="s">
        <v>1154</v>
      </c>
    </row>
    <row r="968" ht="22.5" customHeight="1">
      <c r="A968" s="5" t="s">
        <v>1144</v>
      </c>
      <c r="C968" s="18" t="str">
        <f t="shared" si="1"/>
        <v>Shivranjani_2</v>
      </c>
      <c r="D968" s="27" t="s">
        <v>1151</v>
      </c>
      <c r="E968" s="2" t="s">
        <v>114</v>
      </c>
      <c r="F968" s="2" t="s">
        <v>1152</v>
      </c>
    </row>
    <row r="969" ht="22.5" customHeight="1">
      <c r="A969" s="5" t="s">
        <v>1144</v>
      </c>
      <c r="C969" s="45" t="str">
        <f t="shared" si="1"/>
        <v>Shivranjani_3</v>
      </c>
      <c r="D969" s="12" t="s">
        <v>1150</v>
      </c>
      <c r="E969" s="2" t="s">
        <v>167</v>
      </c>
      <c r="F969" s="2" t="s">
        <v>1049</v>
      </c>
    </row>
    <row r="970" ht="22.5" customHeight="1">
      <c r="A970" s="5" t="s">
        <v>1144</v>
      </c>
      <c r="C970" s="45" t="str">
        <f t="shared" si="1"/>
        <v>Shivranjani_4</v>
      </c>
      <c r="D970" s="12" t="s">
        <v>1148</v>
      </c>
      <c r="E970" s="2" t="s">
        <v>25</v>
      </c>
      <c r="F970" s="2" t="s">
        <v>1149</v>
      </c>
    </row>
    <row r="971" ht="22.5" customHeight="1">
      <c r="A971" s="5" t="s">
        <v>1144</v>
      </c>
      <c r="C971" s="45" t="str">
        <f t="shared" si="1"/>
        <v>Shivranjani_5</v>
      </c>
      <c r="D971" s="12" t="s">
        <v>1147</v>
      </c>
      <c r="E971" s="2" t="s">
        <v>25</v>
      </c>
      <c r="F971" s="2" t="s">
        <v>94</v>
      </c>
    </row>
    <row r="972" ht="22.5" customHeight="1">
      <c r="A972" s="5" t="s">
        <v>1144</v>
      </c>
      <c r="C972" s="45" t="str">
        <f t="shared" si="1"/>
        <v>Shivranjani_6</v>
      </c>
      <c r="D972" s="12" t="s">
        <v>1145</v>
      </c>
      <c r="E972" s="2" t="s">
        <v>25</v>
      </c>
      <c r="F972" s="2" t="s">
        <v>1146</v>
      </c>
    </row>
    <row r="973" ht="22.5" customHeight="1">
      <c r="A973" s="5" t="s">
        <v>1155</v>
      </c>
      <c r="C973" s="45" t="str">
        <f t="shared" si="1"/>
        <v>Shobhawari_1</v>
      </c>
      <c r="D973" s="12" t="s">
        <v>1166</v>
      </c>
      <c r="E973" s="2" t="s">
        <v>167</v>
      </c>
      <c r="F973" s="2" t="s">
        <v>994</v>
      </c>
    </row>
    <row r="974" ht="22.5" customHeight="1">
      <c r="A974" s="5" t="s">
        <v>1155</v>
      </c>
      <c r="C974" s="45" t="str">
        <f t="shared" si="1"/>
        <v>Shobhawari_2</v>
      </c>
      <c r="D974" s="12" t="s">
        <v>1164</v>
      </c>
      <c r="E974" s="2" t="s">
        <v>25</v>
      </c>
      <c r="F974" s="2" t="s">
        <v>1165</v>
      </c>
    </row>
    <row r="975" ht="22.5" customHeight="1">
      <c r="A975" s="5" t="s">
        <v>1155</v>
      </c>
      <c r="C975" s="45" t="str">
        <f t="shared" si="1"/>
        <v>Shobhawari_3</v>
      </c>
      <c r="D975" s="12" t="s">
        <v>1162</v>
      </c>
      <c r="E975" s="2" t="s">
        <v>25</v>
      </c>
      <c r="F975" s="2" t="s">
        <v>1163</v>
      </c>
    </row>
    <row r="976" ht="22.5" customHeight="1">
      <c r="A976" s="5" t="s">
        <v>1155</v>
      </c>
      <c r="C976" s="45" t="str">
        <f t="shared" si="1"/>
        <v>Shobhawari_4</v>
      </c>
      <c r="D976" s="12" t="s">
        <v>1161</v>
      </c>
      <c r="E976" s="2" t="s">
        <v>25</v>
      </c>
      <c r="F976" s="2" t="s">
        <v>77</v>
      </c>
    </row>
    <row r="977" ht="22.5" customHeight="1">
      <c r="A977" s="5" t="s">
        <v>1155</v>
      </c>
      <c r="C977" s="45" t="str">
        <f t="shared" si="1"/>
        <v>Shobhawari_5</v>
      </c>
      <c r="D977" s="12" t="s">
        <v>1159</v>
      </c>
      <c r="E977" s="2" t="s">
        <v>25</v>
      </c>
      <c r="F977" s="2" t="s">
        <v>1160</v>
      </c>
    </row>
    <row r="978" ht="22.5" customHeight="1">
      <c r="A978" s="5" t="s">
        <v>1155</v>
      </c>
      <c r="C978" s="45" t="str">
        <f t="shared" si="1"/>
        <v>Shobhawari_6</v>
      </c>
      <c r="D978" s="12" t="s">
        <v>1158</v>
      </c>
      <c r="E978" s="2" t="s">
        <v>25</v>
      </c>
      <c r="F978" s="2" t="s">
        <v>515</v>
      </c>
    </row>
    <row r="979" ht="22.5" customHeight="1">
      <c r="A979" s="5" t="s">
        <v>1155</v>
      </c>
      <c r="C979" s="45" t="str">
        <f t="shared" si="1"/>
        <v>Shobhawari_7</v>
      </c>
      <c r="D979" s="12" t="s">
        <v>1156</v>
      </c>
      <c r="E979" s="2" t="s">
        <v>25</v>
      </c>
      <c r="F979" s="2" t="s">
        <v>1157</v>
      </c>
    </row>
    <row r="980" ht="22.5" customHeight="1">
      <c r="A980" s="5" t="s">
        <v>1167</v>
      </c>
      <c r="B980" s="2"/>
      <c r="C980" s="18" t="str">
        <f t="shared" si="1"/>
        <v>Shri_1</v>
      </c>
      <c r="D980" s="18"/>
      <c r="E980" s="8" t="s">
        <v>25</v>
      </c>
      <c r="F980" s="8" t="s">
        <v>193</v>
      </c>
      <c r="H980" s="2"/>
      <c r="I980" s="2" t="s">
        <v>27</v>
      </c>
    </row>
    <row r="981" ht="22.5" customHeight="1">
      <c r="A981" s="5" t="s">
        <v>1167</v>
      </c>
      <c r="B981" s="2"/>
      <c r="C981" s="18" t="str">
        <f t="shared" si="1"/>
        <v>Shri_2</v>
      </c>
      <c r="D981" s="18"/>
      <c r="E981" s="8" t="s">
        <v>25</v>
      </c>
      <c r="F981" s="8" t="s">
        <v>143</v>
      </c>
      <c r="H981" s="2"/>
      <c r="I981" s="2" t="s">
        <v>27</v>
      </c>
    </row>
    <row r="982" ht="22.5" customHeight="1">
      <c r="A982" s="5" t="s">
        <v>1167</v>
      </c>
      <c r="B982" s="2"/>
      <c r="C982" s="18" t="str">
        <f t="shared" si="1"/>
        <v>Shri_3</v>
      </c>
      <c r="D982" s="18"/>
      <c r="E982" s="8" t="s">
        <v>25</v>
      </c>
      <c r="F982" s="8" t="s">
        <v>143</v>
      </c>
      <c r="H982" s="2"/>
      <c r="I982" s="2" t="s">
        <v>27</v>
      </c>
    </row>
    <row r="983" ht="22.5" customHeight="1">
      <c r="A983" s="5" t="s">
        <v>1167</v>
      </c>
      <c r="B983" s="2"/>
      <c r="C983" s="18" t="str">
        <f t="shared" si="1"/>
        <v>Shri_4</v>
      </c>
      <c r="D983" s="18"/>
      <c r="E983" s="8" t="s">
        <v>25</v>
      </c>
      <c r="F983" s="8" t="s">
        <v>143</v>
      </c>
      <c r="H983" s="2"/>
      <c r="I983" s="2" t="s">
        <v>27</v>
      </c>
    </row>
    <row r="984" ht="22.5" customHeight="1">
      <c r="A984" s="5" t="s">
        <v>1167</v>
      </c>
      <c r="B984" s="2"/>
      <c r="C984" s="18" t="str">
        <f t="shared" si="1"/>
        <v>Shri_5</v>
      </c>
      <c r="D984" s="18"/>
      <c r="E984" s="8" t="s">
        <v>25</v>
      </c>
      <c r="F984" s="8" t="s">
        <v>250</v>
      </c>
      <c r="H984" s="2"/>
      <c r="I984" s="2" t="s">
        <v>27</v>
      </c>
    </row>
    <row r="985" ht="22.5" customHeight="1">
      <c r="A985" s="5" t="s">
        <v>1167</v>
      </c>
      <c r="B985" s="2"/>
      <c r="C985" s="18" t="str">
        <f t="shared" si="1"/>
        <v>Shri_6</v>
      </c>
      <c r="D985" s="18"/>
      <c r="E985" s="8" t="s">
        <v>25</v>
      </c>
      <c r="F985" s="8" t="s">
        <v>122</v>
      </c>
      <c r="H985" s="2"/>
      <c r="I985" s="2" t="s">
        <v>27</v>
      </c>
    </row>
    <row r="986" ht="22.5" customHeight="1">
      <c r="A986" s="5" t="s">
        <v>1167</v>
      </c>
      <c r="B986" s="2"/>
      <c r="C986" s="18" t="str">
        <f t="shared" si="1"/>
        <v>Shri_7</v>
      </c>
      <c r="D986" s="18"/>
      <c r="E986" s="8" t="s">
        <v>25</v>
      </c>
      <c r="F986" s="8" t="s">
        <v>70</v>
      </c>
      <c r="H986" s="2"/>
      <c r="I986" s="2" t="s">
        <v>27</v>
      </c>
    </row>
    <row r="987" ht="22.5" customHeight="1">
      <c r="A987" s="5" t="s">
        <v>1167</v>
      </c>
      <c r="B987" s="2"/>
      <c r="C987" s="18" t="str">
        <f t="shared" si="1"/>
        <v>Shri_8</v>
      </c>
      <c r="D987" s="18"/>
      <c r="E987" s="8" t="s">
        <v>25</v>
      </c>
      <c r="F987" s="8" t="s">
        <v>710</v>
      </c>
      <c r="H987" s="2"/>
      <c r="I987" s="2" t="s">
        <v>27</v>
      </c>
    </row>
    <row r="988" ht="22.5" customHeight="1">
      <c r="A988" s="5" t="s">
        <v>1167</v>
      </c>
      <c r="B988" s="2"/>
      <c r="C988" s="18" t="str">
        <f t="shared" si="1"/>
        <v>Shri_9</v>
      </c>
      <c r="D988" s="18"/>
      <c r="E988" s="8" t="s">
        <v>25</v>
      </c>
      <c r="F988" s="8" t="s">
        <v>710</v>
      </c>
      <c r="H988" s="2"/>
      <c r="I988" s="2" t="s">
        <v>27</v>
      </c>
    </row>
    <row r="989" ht="22.5" customHeight="1">
      <c r="A989" s="5" t="s">
        <v>1167</v>
      </c>
      <c r="B989" s="2"/>
      <c r="C989" s="18" t="str">
        <f t="shared" si="1"/>
        <v>Shri_10</v>
      </c>
      <c r="D989" s="18"/>
      <c r="E989" s="8" t="s">
        <v>25</v>
      </c>
      <c r="F989" s="8" t="s">
        <v>37</v>
      </c>
      <c r="H989" s="2"/>
      <c r="I989" s="2" t="s">
        <v>27</v>
      </c>
    </row>
    <row r="990" ht="22.5" customHeight="1">
      <c r="A990" s="5" t="s">
        <v>1168</v>
      </c>
      <c r="B990" s="2"/>
      <c r="C990" s="18" t="str">
        <f t="shared" si="1"/>
        <v>Shuddh Sarang_1</v>
      </c>
      <c r="D990" s="18"/>
      <c r="E990" s="8" t="s">
        <v>25</v>
      </c>
      <c r="F990" s="8" t="s">
        <v>233</v>
      </c>
      <c r="H990" s="2"/>
      <c r="I990" s="2" t="s">
        <v>27</v>
      </c>
    </row>
    <row r="991" ht="22.5" customHeight="1">
      <c r="A991" s="5" t="s">
        <v>1168</v>
      </c>
      <c r="B991" s="2"/>
      <c r="C991" s="18" t="str">
        <f t="shared" si="1"/>
        <v>Shuddh Sarang_2</v>
      </c>
      <c r="D991" s="18"/>
      <c r="E991" s="8" t="s">
        <v>25</v>
      </c>
      <c r="F991" s="8" t="s">
        <v>74</v>
      </c>
      <c r="H991" s="2"/>
      <c r="I991" s="2" t="s">
        <v>27</v>
      </c>
    </row>
    <row r="992" ht="22.5" customHeight="1">
      <c r="A992" s="5" t="s">
        <v>1168</v>
      </c>
      <c r="B992" s="2"/>
      <c r="C992" s="18" t="str">
        <f t="shared" si="1"/>
        <v>Shuddh Sarang_3</v>
      </c>
      <c r="D992" s="18"/>
      <c r="E992" s="8" t="s">
        <v>25</v>
      </c>
      <c r="F992" s="8" t="s">
        <v>64</v>
      </c>
      <c r="H992" s="2"/>
      <c r="I992" s="2" t="s">
        <v>27</v>
      </c>
    </row>
    <row r="993" ht="22.5" customHeight="1">
      <c r="A993" s="5" t="s">
        <v>1168</v>
      </c>
      <c r="B993" s="2"/>
      <c r="C993" s="18" t="str">
        <f t="shared" si="1"/>
        <v>Shuddh Sarang_4</v>
      </c>
      <c r="D993" s="18"/>
      <c r="E993" s="8" t="s">
        <v>25</v>
      </c>
      <c r="F993" s="8" t="s">
        <v>56</v>
      </c>
      <c r="H993" s="2"/>
      <c r="I993" s="2" t="s">
        <v>27</v>
      </c>
    </row>
    <row r="994" ht="22.5" customHeight="1">
      <c r="A994" s="5" t="s">
        <v>1168</v>
      </c>
      <c r="B994" s="2"/>
      <c r="C994" s="18" t="str">
        <f t="shared" si="1"/>
        <v>Shuddh Sarang_5</v>
      </c>
      <c r="D994" s="18"/>
      <c r="E994" s="8" t="s">
        <v>25</v>
      </c>
      <c r="F994" s="8" t="s">
        <v>122</v>
      </c>
      <c r="H994" s="2"/>
      <c r="I994" s="2" t="s">
        <v>27</v>
      </c>
    </row>
    <row r="995" ht="22.5" customHeight="1">
      <c r="A995" s="5" t="s">
        <v>1168</v>
      </c>
      <c r="B995" s="2"/>
      <c r="C995" s="18" t="str">
        <f t="shared" si="1"/>
        <v>Shuddh Sarang_6</v>
      </c>
      <c r="D995" s="18"/>
      <c r="E995" s="8" t="s">
        <v>25</v>
      </c>
      <c r="F995" s="8" t="s">
        <v>102</v>
      </c>
      <c r="H995" s="2"/>
      <c r="I995" s="2" t="s">
        <v>27</v>
      </c>
    </row>
    <row r="996" ht="22.5" customHeight="1">
      <c r="A996" s="5" t="s">
        <v>1168</v>
      </c>
      <c r="B996" s="2"/>
      <c r="C996" s="18" t="str">
        <f t="shared" si="1"/>
        <v>Shuddh Sarang_7</v>
      </c>
      <c r="D996" s="18"/>
      <c r="E996" s="8" t="s">
        <v>25</v>
      </c>
      <c r="F996" s="8" t="s">
        <v>102</v>
      </c>
      <c r="H996" s="2"/>
      <c r="I996" s="2" t="s">
        <v>27</v>
      </c>
    </row>
    <row r="997" ht="22.5" customHeight="1">
      <c r="A997" s="5" t="s">
        <v>1168</v>
      </c>
      <c r="B997" s="2"/>
      <c r="C997" s="18" t="str">
        <f t="shared" si="1"/>
        <v>Shuddh Sarang_8</v>
      </c>
      <c r="D997" s="18"/>
      <c r="E997" s="8" t="s">
        <v>25</v>
      </c>
      <c r="F997" s="8" t="s">
        <v>102</v>
      </c>
      <c r="H997" s="2"/>
      <c r="I997" s="2" t="s">
        <v>27</v>
      </c>
    </row>
    <row r="998" ht="22.5" customHeight="1">
      <c r="A998" s="5" t="s">
        <v>1168</v>
      </c>
      <c r="B998" s="2"/>
      <c r="C998" s="18" t="str">
        <f t="shared" si="1"/>
        <v>Shuddh Sarang_9</v>
      </c>
      <c r="D998" s="18"/>
      <c r="E998" s="8" t="s">
        <v>25</v>
      </c>
      <c r="F998" s="8" t="s">
        <v>68</v>
      </c>
      <c r="H998" s="2"/>
      <c r="I998" s="2" t="s">
        <v>27</v>
      </c>
    </row>
    <row r="999" ht="22.5" customHeight="1">
      <c r="A999" s="5" t="s">
        <v>1168</v>
      </c>
      <c r="B999" s="2"/>
      <c r="C999" s="18" t="str">
        <f t="shared" si="1"/>
        <v>Shuddh Sarang_10</v>
      </c>
      <c r="D999" s="18"/>
      <c r="E999" s="8" t="s">
        <v>25</v>
      </c>
      <c r="F999" s="8" t="s">
        <v>37</v>
      </c>
      <c r="H999" s="2"/>
      <c r="I999" s="2" t="s">
        <v>27</v>
      </c>
    </row>
    <row r="1000" ht="22.5" customHeight="1">
      <c r="A1000" s="5" t="s">
        <v>1169</v>
      </c>
      <c r="B1000" s="2" t="s">
        <v>32</v>
      </c>
      <c r="C1000" s="45" t="str">
        <f t="shared" si="1"/>
        <v>Shuddha Basant_1</v>
      </c>
      <c r="D1000" s="12" t="s">
        <v>1181</v>
      </c>
      <c r="E1000" s="2" t="s">
        <v>25</v>
      </c>
      <c r="F1000" s="2" t="s">
        <v>34</v>
      </c>
    </row>
    <row r="1001" ht="22.5" customHeight="1">
      <c r="A1001" s="5" t="s">
        <v>1169</v>
      </c>
      <c r="B1001" s="2" t="s">
        <v>43</v>
      </c>
      <c r="C1001" s="45" t="str">
        <f t="shared" si="1"/>
        <v>Shuddha Basant_2</v>
      </c>
      <c r="D1001" s="12" t="s">
        <v>1180</v>
      </c>
      <c r="E1001" s="2" t="s">
        <v>25</v>
      </c>
      <c r="F1001" s="2" t="s">
        <v>112</v>
      </c>
    </row>
    <row r="1002" ht="22.5" customHeight="1">
      <c r="A1002" s="5" t="s">
        <v>1169</v>
      </c>
      <c r="B1002" s="2" t="s">
        <v>32</v>
      </c>
      <c r="C1002" s="45" t="str">
        <f t="shared" si="1"/>
        <v>Shuddha Basant_3</v>
      </c>
      <c r="D1002" s="12" t="s">
        <v>1178</v>
      </c>
      <c r="E1002" s="2" t="s">
        <v>25</v>
      </c>
      <c r="F1002" s="2" t="s">
        <v>1179</v>
      </c>
    </row>
    <row r="1003" ht="22.5" customHeight="1">
      <c r="A1003" s="5" t="s">
        <v>1169</v>
      </c>
      <c r="B1003" s="2" t="s">
        <v>43</v>
      </c>
      <c r="C1003" s="45" t="str">
        <f t="shared" si="1"/>
        <v>Shuddha Basant_4</v>
      </c>
      <c r="D1003" s="12" t="s">
        <v>1177</v>
      </c>
      <c r="E1003" s="2" t="s">
        <v>25</v>
      </c>
      <c r="F1003" s="2" t="s">
        <v>890</v>
      </c>
    </row>
    <row r="1004" ht="22.5" customHeight="1">
      <c r="A1004" s="5" t="s">
        <v>1169</v>
      </c>
      <c r="B1004" s="2" t="s">
        <v>43</v>
      </c>
      <c r="C1004" s="45" t="str">
        <f t="shared" si="1"/>
        <v>Shuddha Basant_5</v>
      </c>
      <c r="D1004" s="12" t="s">
        <v>1176</v>
      </c>
      <c r="E1004" s="2" t="s">
        <v>25</v>
      </c>
      <c r="F1004" s="2" t="s">
        <v>52</v>
      </c>
    </row>
    <row r="1005" ht="22.5" customHeight="1">
      <c r="A1005" s="5" t="s">
        <v>1169</v>
      </c>
      <c r="B1005" s="2" t="s">
        <v>43</v>
      </c>
      <c r="C1005" s="45" t="str">
        <f t="shared" si="1"/>
        <v>Shuddha Basant_6</v>
      </c>
      <c r="D1005" s="12" t="s">
        <v>1175</v>
      </c>
      <c r="E1005" s="2" t="s">
        <v>25</v>
      </c>
      <c r="F1005" s="2" t="s">
        <v>52</v>
      </c>
    </row>
    <row r="1006" ht="22.5" customHeight="1">
      <c r="A1006" s="5" t="s">
        <v>1169</v>
      </c>
      <c r="B1006" s="2" t="s">
        <v>32</v>
      </c>
      <c r="C1006" s="45" t="str">
        <f t="shared" si="1"/>
        <v>Shuddha Basant_7</v>
      </c>
      <c r="D1006" s="12" t="s">
        <v>1173</v>
      </c>
      <c r="E1006" s="2" t="s">
        <v>114</v>
      </c>
      <c r="F1006" s="2" t="s">
        <v>1174</v>
      </c>
    </row>
    <row r="1007" ht="22.5" customHeight="1">
      <c r="A1007" s="5" t="s">
        <v>1169</v>
      </c>
      <c r="B1007" s="2" t="s">
        <v>28</v>
      </c>
      <c r="C1007" s="45" t="str">
        <f t="shared" si="1"/>
        <v>Shuddha Basant_8</v>
      </c>
      <c r="D1007" s="12" t="s">
        <v>1172</v>
      </c>
      <c r="E1007" s="2" t="s">
        <v>167</v>
      </c>
      <c r="F1007" s="2" t="s">
        <v>1171</v>
      </c>
    </row>
    <row r="1008" ht="22.5" customHeight="1">
      <c r="A1008" s="5" t="s">
        <v>1169</v>
      </c>
      <c r="B1008" s="2" t="s">
        <v>43</v>
      </c>
      <c r="C1008" s="45" t="str">
        <f t="shared" si="1"/>
        <v>Shuddha Basant_9</v>
      </c>
      <c r="D1008" s="12" t="s">
        <v>1170</v>
      </c>
      <c r="E1008" s="2" t="s">
        <v>167</v>
      </c>
      <c r="F1008" s="2" t="s">
        <v>1171</v>
      </c>
    </row>
    <row r="1009" ht="22.5" customHeight="1">
      <c r="A1009" s="5" t="s">
        <v>1182</v>
      </c>
      <c r="B1009" s="2" t="s">
        <v>38</v>
      </c>
      <c r="C1009" s="45" t="str">
        <f t="shared" si="1"/>
        <v>Shuddha Kalyan_1</v>
      </c>
      <c r="D1009" s="27" t="s">
        <v>2397</v>
      </c>
      <c r="E1009" s="2" t="s">
        <v>25</v>
      </c>
      <c r="F1009" s="2" t="s">
        <v>157</v>
      </c>
    </row>
    <row r="1010" ht="22.5" customHeight="1">
      <c r="A1010" s="5" t="s">
        <v>1182</v>
      </c>
      <c r="B1010" s="2" t="s">
        <v>43</v>
      </c>
      <c r="C1010" s="45" t="str">
        <f t="shared" si="1"/>
        <v>Shuddha Kalyan_2</v>
      </c>
      <c r="D1010" s="12" t="s">
        <v>2398</v>
      </c>
      <c r="E1010" s="2" t="s">
        <v>25</v>
      </c>
      <c r="F1010" s="2" t="s">
        <v>52</v>
      </c>
    </row>
    <row r="1011" ht="22.5" customHeight="1">
      <c r="A1011" s="5" t="s">
        <v>1182</v>
      </c>
      <c r="B1011" s="2" t="s">
        <v>32</v>
      </c>
      <c r="C1011" s="45" t="str">
        <f t="shared" si="1"/>
        <v>Shuddha Kalyan_3</v>
      </c>
      <c r="D1011" s="12" t="s">
        <v>2399</v>
      </c>
      <c r="E1011" s="2" t="s">
        <v>25</v>
      </c>
      <c r="F1011" s="2" t="s">
        <v>34</v>
      </c>
    </row>
    <row r="1012" ht="22.5" customHeight="1">
      <c r="A1012" s="5" t="s">
        <v>1182</v>
      </c>
      <c r="B1012" s="2" t="s">
        <v>38</v>
      </c>
      <c r="C1012" s="45" t="str">
        <f t="shared" si="1"/>
        <v>Shuddha Kalyan_4</v>
      </c>
      <c r="D1012" s="12" t="s">
        <v>2400</v>
      </c>
      <c r="E1012" s="2" t="s">
        <v>25</v>
      </c>
      <c r="F1012" s="2" t="s">
        <v>134</v>
      </c>
    </row>
    <row r="1013" ht="22.5" customHeight="1">
      <c r="A1013" s="5" t="s">
        <v>1182</v>
      </c>
      <c r="B1013" s="2" t="s">
        <v>32</v>
      </c>
      <c r="C1013" s="45" t="str">
        <f t="shared" si="1"/>
        <v>Shuddha Kalyan_5</v>
      </c>
      <c r="D1013" s="12" t="s">
        <v>2401</v>
      </c>
      <c r="E1013" s="2" t="s">
        <v>25</v>
      </c>
      <c r="F1013" s="2" t="s">
        <v>797</v>
      </c>
    </row>
    <row r="1014" ht="22.5" customHeight="1">
      <c r="A1014" s="5" t="s">
        <v>1182</v>
      </c>
      <c r="B1014" s="2" t="s">
        <v>32</v>
      </c>
      <c r="C1014" s="45" t="str">
        <f t="shared" si="1"/>
        <v>Shuddha Kalyan_6</v>
      </c>
      <c r="D1014" s="12" t="s">
        <v>2402</v>
      </c>
      <c r="E1014" s="2" t="s">
        <v>25</v>
      </c>
      <c r="F1014" s="2" t="s">
        <v>26</v>
      </c>
    </row>
    <row r="1015" ht="22.5" customHeight="1">
      <c r="A1015" s="5" t="s">
        <v>1182</v>
      </c>
      <c r="B1015" s="2" t="s">
        <v>32</v>
      </c>
      <c r="C1015" s="45" t="str">
        <f t="shared" si="1"/>
        <v>Shuddha Kalyan_7</v>
      </c>
      <c r="D1015" s="12" t="s">
        <v>2403</v>
      </c>
      <c r="E1015" s="2" t="s">
        <v>236</v>
      </c>
      <c r="F1015" s="2" t="s">
        <v>728</v>
      </c>
    </row>
    <row r="1016" ht="22.5" customHeight="1">
      <c r="A1016" s="5" t="s">
        <v>1182</v>
      </c>
      <c r="B1016" s="2" t="s">
        <v>24</v>
      </c>
      <c r="C1016" s="45" t="str">
        <f t="shared" si="1"/>
        <v>Shuddha Kalyan_8</v>
      </c>
      <c r="D1016" s="12" t="s">
        <v>2404</v>
      </c>
      <c r="E1016" s="2" t="s">
        <v>162</v>
      </c>
      <c r="F1016" s="2" t="s">
        <v>726</v>
      </c>
    </row>
    <row r="1017" ht="22.5" customHeight="1">
      <c r="A1017" s="5" t="s">
        <v>1182</v>
      </c>
      <c r="B1017" s="2" t="s">
        <v>43</v>
      </c>
      <c r="C1017" s="45" t="str">
        <f t="shared" si="1"/>
        <v>Shuddha Kalyan_9</v>
      </c>
      <c r="D1017" s="12" t="s">
        <v>2405</v>
      </c>
      <c r="E1017" s="2" t="s">
        <v>25</v>
      </c>
      <c r="F1017" s="2" t="s">
        <v>26</v>
      </c>
    </row>
    <row r="1018" ht="22.5" customHeight="1">
      <c r="A1018" s="5" t="s">
        <v>1182</v>
      </c>
      <c r="B1018" s="2" t="s">
        <v>38</v>
      </c>
      <c r="C1018" s="45" t="str">
        <f t="shared" si="1"/>
        <v>Shuddha Kalyan_10</v>
      </c>
      <c r="D1018" s="12" t="s">
        <v>2406</v>
      </c>
      <c r="E1018" s="2" t="s">
        <v>25</v>
      </c>
      <c r="F1018" s="2" t="s">
        <v>75</v>
      </c>
    </row>
    <row r="1019" ht="22.5" customHeight="1">
      <c r="A1019" s="5" t="s">
        <v>1193</v>
      </c>
      <c r="B1019" s="2" t="s">
        <v>38</v>
      </c>
      <c r="C1019" s="45" t="str">
        <f t="shared" si="1"/>
        <v>Shyam Kalyan_1</v>
      </c>
      <c r="D1019" s="12" t="s">
        <v>1201</v>
      </c>
      <c r="E1019" s="2" t="s">
        <v>25</v>
      </c>
      <c r="F1019" s="2" t="s">
        <v>157</v>
      </c>
    </row>
    <row r="1020" ht="22.5" customHeight="1">
      <c r="A1020" s="5" t="s">
        <v>1193</v>
      </c>
      <c r="B1020" s="2" t="s">
        <v>43</v>
      </c>
      <c r="C1020" s="45" t="str">
        <f t="shared" si="1"/>
        <v>Shyam Kalyan_2</v>
      </c>
      <c r="D1020" s="12" t="s">
        <v>2407</v>
      </c>
      <c r="E1020" s="2" t="s">
        <v>25</v>
      </c>
      <c r="F1020" s="2" t="s">
        <v>34</v>
      </c>
    </row>
    <row r="1021" ht="22.5" customHeight="1">
      <c r="A1021" s="5" t="s">
        <v>1193</v>
      </c>
      <c r="B1021" s="2" t="s">
        <v>38</v>
      </c>
      <c r="C1021" s="45" t="str">
        <f t="shared" si="1"/>
        <v>Shyam Kalyan_3</v>
      </c>
      <c r="D1021" s="12" t="s">
        <v>2408</v>
      </c>
      <c r="E1021" s="2" t="s">
        <v>25</v>
      </c>
      <c r="F1021" s="2" t="s">
        <v>153</v>
      </c>
      <c r="H1021" s="2"/>
      <c r="I1021" s="2" t="s">
        <v>154</v>
      </c>
    </row>
    <row r="1022" ht="22.5" customHeight="1">
      <c r="A1022" s="5" t="s">
        <v>1193</v>
      </c>
      <c r="B1022" s="2" t="s">
        <v>127</v>
      </c>
      <c r="C1022" s="45" t="str">
        <f t="shared" si="1"/>
        <v>Shyam Kalyan_4</v>
      </c>
      <c r="D1022" s="12" t="s">
        <v>2409</v>
      </c>
      <c r="E1022" s="2" t="s">
        <v>25</v>
      </c>
      <c r="F1022" s="2" t="s">
        <v>142</v>
      </c>
    </row>
    <row r="1023" ht="22.5" customHeight="1">
      <c r="A1023" s="5" t="s">
        <v>1193</v>
      </c>
      <c r="B1023" s="2" t="s">
        <v>62</v>
      </c>
      <c r="C1023" s="45" t="str">
        <f t="shared" si="1"/>
        <v>Shyam Kalyan_5</v>
      </c>
      <c r="D1023" s="12" t="s">
        <v>2410</v>
      </c>
      <c r="E1023" s="2" t="s">
        <v>162</v>
      </c>
      <c r="F1023" s="2" t="s">
        <v>337</v>
      </c>
    </row>
    <row r="1024" ht="22.5" customHeight="1">
      <c r="A1024" s="5" t="s">
        <v>1193</v>
      </c>
      <c r="B1024" s="2" t="s">
        <v>24</v>
      </c>
      <c r="C1024" s="45" t="str">
        <f t="shared" si="1"/>
        <v>Shyam Kalyan_6</v>
      </c>
      <c r="D1024" s="12" t="s">
        <v>2411</v>
      </c>
      <c r="E1024" s="2" t="s">
        <v>236</v>
      </c>
      <c r="F1024" s="2" t="s">
        <v>551</v>
      </c>
    </row>
    <row r="1025" ht="22.5" customHeight="1">
      <c r="A1025" s="5" t="s">
        <v>1193</v>
      </c>
      <c r="B1025" s="2" t="s">
        <v>29</v>
      </c>
      <c r="C1025" s="45" t="str">
        <f t="shared" si="1"/>
        <v>Shyam Kalyan_7</v>
      </c>
      <c r="D1025" s="12" t="s">
        <v>2412</v>
      </c>
      <c r="E1025" s="2" t="s">
        <v>25</v>
      </c>
      <c r="F1025" s="8" t="s">
        <v>198</v>
      </c>
    </row>
    <row r="1026" ht="22.5" customHeight="1">
      <c r="A1026" s="5" t="s">
        <v>1193</v>
      </c>
      <c r="B1026" s="2" t="s">
        <v>43</v>
      </c>
      <c r="C1026" s="45" t="str">
        <f t="shared" si="1"/>
        <v>Shyam Kalyan_8</v>
      </c>
      <c r="D1026" s="12" t="s">
        <v>2413</v>
      </c>
      <c r="E1026" s="2" t="s">
        <v>25</v>
      </c>
      <c r="F1026" s="2" t="s">
        <v>94</v>
      </c>
    </row>
    <row r="1027" ht="22.5" customHeight="1">
      <c r="A1027" s="5" t="s">
        <v>1193</v>
      </c>
      <c r="B1027" s="2" t="s">
        <v>32</v>
      </c>
      <c r="C1027" s="18" t="str">
        <f t="shared" si="1"/>
        <v>Shyam Kalyan_9</v>
      </c>
      <c r="D1027" s="15" t="s">
        <v>1203</v>
      </c>
      <c r="E1027" s="2" t="s">
        <v>25</v>
      </c>
      <c r="F1027" s="2" t="s">
        <v>1204</v>
      </c>
    </row>
    <row r="1028" ht="22.5" customHeight="1">
      <c r="A1028" s="5" t="s">
        <v>1193</v>
      </c>
      <c r="B1028" s="2" t="s">
        <v>127</v>
      </c>
      <c r="C1028" s="45" t="str">
        <f t="shared" si="1"/>
        <v>Shyam Kalyan_10</v>
      </c>
      <c r="D1028" s="12" t="s">
        <v>2414</v>
      </c>
      <c r="E1028" s="2" t="s">
        <v>25</v>
      </c>
      <c r="F1028" s="2" t="s">
        <v>850</v>
      </c>
    </row>
    <row r="1029" ht="22.5" customHeight="1">
      <c r="A1029" s="5" t="s">
        <v>1205</v>
      </c>
      <c r="B1029" s="2" t="s">
        <v>24</v>
      </c>
      <c r="C1029" s="45" t="str">
        <f t="shared" si="1"/>
        <v>Sindhura_1</v>
      </c>
      <c r="D1029" s="12" t="s">
        <v>1218</v>
      </c>
      <c r="E1029" s="2" t="s">
        <v>25</v>
      </c>
      <c r="F1029" s="2" t="s">
        <v>26</v>
      </c>
    </row>
    <row r="1030" ht="22.5" customHeight="1">
      <c r="A1030" s="5" t="s">
        <v>1205</v>
      </c>
      <c r="B1030" s="2" t="s">
        <v>29</v>
      </c>
      <c r="C1030" s="45" t="str">
        <f t="shared" si="1"/>
        <v>Sindhura_2</v>
      </c>
      <c r="D1030" s="12" t="s">
        <v>1217</v>
      </c>
      <c r="E1030" s="2" t="s">
        <v>25</v>
      </c>
      <c r="F1030" s="2" t="s">
        <v>376</v>
      </c>
    </row>
    <row r="1031" ht="22.5" customHeight="1">
      <c r="A1031" s="5" t="s">
        <v>1205</v>
      </c>
      <c r="B1031" s="2" t="s">
        <v>43</v>
      </c>
      <c r="C1031" s="45" t="str">
        <f t="shared" si="1"/>
        <v>Sindhura_3</v>
      </c>
      <c r="D1031" s="12" t="s">
        <v>1216</v>
      </c>
      <c r="E1031" s="2" t="s">
        <v>25</v>
      </c>
      <c r="F1031" s="2" t="s">
        <v>83</v>
      </c>
    </row>
    <row r="1032" ht="22.5" customHeight="1">
      <c r="A1032" s="5" t="s">
        <v>1205</v>
      </c>
      <c r="B1032" s="2" t="s">
        <v>127</v>
      </c>
      <c r="C1032" s="45" t="str">
        <f t="shared" si="1"/>
        <v>Sindhura_4</v>
      </c>
      <c r="D1032" s="12" t="s">
        <v>1215</v>
      </c>
      <c r="E1032" s="2" t="s">
        <v>25</v>
      </c>
      <c r="F1032" s="2" t="s">
        <v>248</v>
      </c>
    </row>
    <row r="1033" ht="22.5" customHeight="1">
      <c r="A1033" s="5" t="s">
        <v>1205</v>
      </c>
      <c r="B1033" s="2" t="s">
        <v>43</v>
      </c>
      <c r="C1033" s="45" t="str">
        <f t="shared" si="1"/>
        <v>Sindhura_5</v>
      </c>
      <c r="D1033" s="12" t="s">
        <v>1214</v>
      </c>
      <c r="E1033" s="2" t="s">
        <v>25</v>
      </c>
      <c r="F1033" s="2" t="s">
        <v>83</v>
      </c>
    </row>
    <row r="1034" ht="22.5" customHeight="1">
      <c r="A1034" s="5" t="s">
        <v>1205</v>
      </c>
      <c r="B1034" s="2" t="s">
        <v>24</v>
      </c>
      <c r="C1034" s="18" t="str">
        <f t="shared" si="1"/>
        <v>Sindhura_6</v>
      </c>
      <c r="D1034" s="15" t="s">
        <v>1211</v>
      </c>
      <c r="E1034" s="2" t="s">
        <v>25</v>
      </c>
      <c r="F1034" s="2" t="s">
        <v>1212</v>
      </c>
      <c r="L1034" s="2" t="s">
        <v>1213</v>
      </c>
    </row>
    <row r="1035" ht="22.5" customHeight="1">
      <c r="A1035" s="5" t="s">
        <v>1205</v>
      </c>
      <c r="B1035" s="2" t="s">
        <v>32</v>
      </c>
      <c r="C1035" s="45" t="str">
        <f t="shared" si="1"/>
        <v>Sindhura_7</v>
      </c>
      <c r="D1035" s="12" t="s">
        <v>1209</v>
      </c>
      <c r="E1035" s="2" t="s">
        <v>25</v>
      </c>
      <c r="F1035" s="2" t="s">
        <v>1210</v>
      </c>
    </row>
    <row r="1036" ht="22.5" customHeight="1">
      <c r="A1036" s="5" t="s">
        <v>1205</v>
      </c>
      <c r="B1036" s="2" t="s">
        <v>67</v>
      </c>
      <c r="C1036" s="45" t="str">
        <f t="shared" si="1"/>
        <v>Sindhura_8</v>
      </c>
      <c r="D1036" s="12" t="s">
        <v>1208</v>
      </c>
      <c r="E1036" s="2" t="s">
        <v>25</v>
      </c>
      <c r="F1036" s="2" t="s">
        <v>68</v>
      </c>
    </row>
    <row r="1037" ht="22.5" customHeight="1">
      <c r="A1037" s="5" t="s">
        <v>1205</v>
      </c>
      <c r="B1037" s="2" t="s">
        <v>32</v>
      </c>
      <c r="C1037" s="45" t="str">
        <f t="shared" si="1"/>
        <v>Sindhura_9</v>
      </c>
      <c r="D1037" s="12" t="s">
        <v>1206</v>
      </c>
      <c r="E1037" s="2" t="s">
        <v>25</v>
      </c>
      <c r="F1037" s="2" t="s">
        <v>1207</v>
      </c>
    </row>
    <row r="1038" ht="22.5" customHeight="1">
      <c r="A1038" s="5" t="s">
        <v>1219</v>
      </c>
      <c r="B1038" s="2" t="s">
        <v>32</v>
      </c>
      <c r="C1038" s="46" t="str">
        <f t="shared" si="1"/>
        <v>Sohini_1</v>
      </c>
      <c r="D1038" s="13" t="s">
        <v>1228</v>
      </c>
      <c r="E1038" s="2" t="s">
        <v>25</v>
      </c>
      <c r="F1038" s="2" t="s">
        <v>34</v>
      </c>
    </row>
    <row r="1039" ht="22.5" customHeight="1">
      <c r="A1039" s="5" t="s">
        <v>1219</v>
      </c>
      <c r="B1039" s="2" t="s">
        <v>29</v>
      </c>
      <c r="C1039" s="46" t="str">
        <f t="shared" si="1"/>
        <v>Sohini_2</v>
      </c>
      <c r="D1039" s="13" t="s">
        <v>1227</v>
      </c>
      <c r="E1039" s="2" t="s">
        <v>25</v>
      </c>
      <c r="F1039" s="2" t="s">
        <v>103</v>
      </c>
    </row>
    <row r="1040" ht="22.5" customHeight="1">
      <c r="A1040" s="5" t="s">
        <v>1219</v>
      </c>
      <c r="B1040" s="2" t="s">
        <v>38</v>
      </c>
      <c r="C1040" s="46" t="str">
        <f t="shared" si="1"/>
        <v>Sohini_3</v>
      </c>
      <c r="D1040" s="13" t="s">
        <v>1226</v>
      </c>
      <c r="E1040" s="2" t="s">
        <v>25</v>
      </c>
      <c r="F1040" s="2" t="s">
        <v>153</v>
      </c>
      <c r="H1040" s="2"/>
      <c r="I1040" s="2" t="s">
        <v>154</v>
      </c>
    </row>
    <row r="1041" ht="22.5" customHeight="1">
      <c r="A1041" s="5" t="s">
        <v>1219</v>
      </c>
      <c r="B1041" s="2" t="s">
        <v>24</v>
      </c>
      <c r="C1041" s="45" t="str">
        <f t="shared" si="1"/>
        <v>Sohini_4</v>
      </c>
      <c r="D1041" s="12" t="s">
        <v>1225</v>
      </c>
      <c r="E1041" s="2" t="s">
        <v>114</v>
      </c>
      <c r="F1041" s="2" t="s">
        <v>180</v>
      </c>
    </row>
    <row r="1042" ht="22.5" customHeight="1">
      <c r="A1042" s="5" t="s">
        <v>1219</v>
      </c>
      <c r="B1042" s="2" t="s">
        <v>28</v>
      </c>
      <c r="C1042" s="45" t="str">
        <f t="shared" si="1"/>
        <v>Sohini_5</v>
      </c>
      <c r="D1042" s="12" t="s">
        <v>1224</v>
      </c>
      <c r="E1042" s="2" t="s">
        <v>25</v>
      </c>
      <c r="F1042" s="2" t="s">
        <v>83</v>
      </c>
    </row>
    <row r="1043" ht="22.5" customHeight="1">
      <c r="A1043" s="5" t="s">
        <v>1219</v>
      </c>
      <c r="B1043" s="2" t="s">
        <v>24</v>
      </c>
      <c r="C1043" s="46" t="str">
        <f t="shared" si="1"/>
        <v>Sohini_6</v>
      </c>
      <c r="D1043" s="13" t="s">
        <v>1223</v>
      </c>
      <c r="E1043" s="2" t="s">
        <v>25</v>
      </c>
      <c r="F1043" s="8" t="s">
        <v>31</v>
      </c>
    </row>
    <row r="1044" ht="22.5" customHeight="1">
      <c r="A1044" s="5" t="s">
        <v>1219</v>
      </c>
      <c r="B1044" s="2" t="s">
        <v>62</v>
      </c>
      <c r="C1044" s="46" t="str">
        <f t="shared" si="1"/>
        <v>Sohini_7</v>
      </c>
      <c r="D1044" s="13" t="s">
        <v>1222</v>
      </c>
      <c r="E1044" s="2" t="s">
        <v>25</v>
      </c>
      <c r="F1044" s="2" t="s">
        <v>153</v>
      </c>
      <c r="H1044" s="2"/>
      <c r="I1044" s="2" t="s">
        <v>154</v>
      </c>
    </row>
    <row r="1045" ht="22.5" customHeight="1">
      <c r="A1045" s="5" t="s">
        <v>1219</v>
      </c>
      <c r="B1045" s="2" t="s">
        <v>43</v>
      </c>
      <c r="C1045" s="45" t="str">
        <f t="shared" si="1"/>
        <v>Sohini_8</v>
      </c>
      <c r="D1045" s="12" t="s">
        <v>1221</v>
      </c>
      <c r="E1045" s="2" t="s">
        <v>25</v>
      </c>
      <c r="F1045" s="2" t="s">
        <v>52</v>
      </c>
    </row>
    <row r="1046" ht="22.5" customHeight="1">
      <c r="A1046" s="5" t="s">
        <v>1219</v>
      </c>
      <c r="B1046" s="2" t="s">
        <v>32</v>
      </c>
      <c r="C1046" s="45" t="str">
        <f t="shared" si="1"/>
        <v>Sohini_9</v>
      </c>
      <c r="D1046" s="12" t="s">
        <v>1220</v>
      </c>
      <c r="E1046" s="2" t="s">
        <v>25</v>
      </c>
      <c r="F1046" s="2" t="s">
        <v>34</v>
      </c>
    </row>
    <row r="1047" ht="22.5" customHeight="1">
      <c r="A1047" s="5" t="s">
        <v>2415</v>
      </c>
      <c r="B1047" s="2" t="s">
        <v>36</v>
      </c>
      <c r="C1047" s="45" t="str">
        <f t="shared" si="1"/>
        <v>Sundarkali_1</v>
      </c>
      <c r="D1047" s="12" t="s">
        <v>2416</v>
      </c>
      <c r="E1047" s="2" t="s">
        <v>25</v>
      </c>
      <c r="F1047" s="2" t="s">
        <v>1212</v>
      </c>
    </row>
    <row r="1048" ht="22.5" customHeight="1">
      <c r="A1048" s="5" t="s">
        <v>1229</v>
      </c>
      <c r="B1048" s="2" t="s">
        <v>28</v>
      </c>
      <c r="C1048" s="45" t="str">
        <f t="shared" si="1"/>
        <v>Surdasi Malhar_1</v>
      </c>
      <c r="D1048" s="12" t="s">
        <v>2417</v>
      </c>
      <c r="E1048" s="2" t="s">
        <v>25</v>
      </c>
      <c r="F1048" s="8" t="s">
        <v>150</v>
      </c>
    </row>
    <row r="1049" ht="22.5" customHeight="1">
      <c r="A1049" s="5" t="s">
        <v>1229</v>
      </c>
      <c r="B1049" s="2" t="s">
        <v>43</v>
      </c>
      <c r="C1049" s="45" t="str">
        <f t="shared" si="1"/>
        <v>Surdasi Malhar_2</v>
      </c>
      <c r="D1049" s="12" t="s">
        <v>2418</v>
      </c>
      <c r="E1049" s="2" t="s">
        <v>25</v>
      </c>
      <c r="F1049" s="2" t="s">
        <v>52</v>
      </c>
    </row>
    <row r="1050" ht="22.5" customHeight="1">
      <c r="A1050" s="5" t="s">
        <v>1229</v>
      </c>
      <c r="B1050" s="2" t="s">
        <v>28</v>
      </c>
      <c r="C1050" s="45" t="str">
        <f t="shared" si="1"/>
        <v>Surdasi Malhar_3</v>
      </c>
      <c r="D1050" s="12" t="s">
        <v>2419</v>
      </c>
      <c r="E1050" s="2" t="s">
        <v>25</v>
      </c>
      <c r="F1050" s="2" t="s">
        <v>112</v>
      </c>
    </row>
    <row r="1051" ht="22.5" customHeight="1">
      <c r="A1051" s="5" t="s">
        <v>1229</v>
      </c>
      <c r="B1051" s="2" t="s">
        <v>38</v>
      </c>
      <c r="C1051" s="45" t="str">
        <f t="shared" si="1"/>
        <v>Surdasi Malhar_4</v>
      </c>
      <c r="D1051" s="12" t="s">
        <v>2420</v>
      </c>
      <c r="E1051" s="2" t="s">
        <v>25</v>
      </c>
      <c r="F1051" s="2" t="s">
        <v>75</v>
      </c>
    </row>
    <row r="1052" ht="22.5" customHeight="1">
      <c r="A1052" s="5" t="s">
        <v>1229</v>
      </c>
      <c r="B1052" s="2" t="s">
        <v>28</v>
      </c>
      <c r="C1052" s="45" t="str">
        <f t="shared" si="1"/>
        <v>Surdasi Malhar_5</v>
      </c>
      <c r="D1052" s="12" t="s">
        <v>2421</v>
      </c>
      <c r="E1052" s="2" t="s">
        <v>167</v>
      </c>
      <c r="F1052" s="2" t="s">
        <v>994</v>
      </c>
    </row>
    <row r="1053" ht="22.5" customHeight="1">
      <c r="A1053" s="5" t="s">
        <v>1229</v>
      </c>
      <c r="B1053" s="2" t="s">
        <v>43</v>
      </c>
      <c r="C1053" s="45" t="str">
        <f t="shared" si="1"/>
        <v>Surdasi Malhar_6</v>
      </c>
      <c r="D1053" s="12" t="s">
        <v>2422</v>
      </c>
      <c r="E1053" s="2" t="s">
        <v>25</v>
      </c>
      <c r="F1053" s="2" t="s">
        <v>52</v>
      </c>
    </row>
    <row r="1054" ht="22.5" customHeight="1">
      <c r="A1054" s="5" t="s">
        <v>1229</v>
      </c>
      <c r="B1054" s="2" t="s">
        <v>43</v>
      </c>
      <c r="C1054" s="45" t="str">
        <f t="shared" si="1"/>
        <v>Surdasi Malhar_7</v>
      </c>
      <c r="D1054" s="12" t="s">
        <v>2423</v>
      </c>
      <c r="E1054" s="2" t="s">
        <v>25</v>
      </c>
      <c r="F1054" s="2" t="s">
        <v>34</v>
      </c>
    </row>
    <row r="1055" ht="22.5" customHeight="1">
      <c r="A1055" s="5" t="s">
        <v>1229</v>
      </c>
      <c r="B1055" s="2" t="s">
        <v>43</v>
      </c>
      <c r="C1055" s="45" t="str">
        <f t="shared" si="1"/>
        <v>Surdasi Malhar_8</v>
      </c>
      <c r="D1055" s="12" t="s">
        <v>2424</v>
      </c>
      <c r="E1055" s="2" t="s">
        <v>25</v>
      </c>
      <c r="F1055" s="2" t="s">
        <v>94</v>
      </c>
    </row>
    <row r="1056" ht="22.5" customHeight="1">
      <c r="A1056" s="5" t="s">
        <v>1229</v>
      </c>
      <c r="B1056" s="2" t="s">
        <v>43</v>
      </c>
      <c r="C1056" s="45" t="str">
        <f t="shared" si="1"/>
        <v>Surdasi Malhar_9</v>
      </c>
      <c r="D1056" s="12" t="s">
        <v>2425</v>
      </c>
      <c r="E1056" s="2" t="s">
        <v>25</v>
      </c>
      <c r="F1056" s="2" t="s">
        <v>94</v>
      </c>
    </row>
    <row r="1057" ht="22.5" customHeight="1">
      <c r="A1057" s="5" t="s">
        <v>1229</v>
      </c>
      <c r="B1057" s="2" t="s">
        <v>32</v>
      </c>
      <c r="C1057" s="45" t="str">
        <f t="shared" si="1"/>
        <v>Surdasi Malhar_10</v>
      </c>
      <c r="D1057" s="12" t="s">
        <v>2426</v>
      </c>
      <c r="E1057" s="2" t="s">
        <v>25</v>
      </c>
      <c r="F1057" s="2" t="s">
        <v>26</v>
      </c>
    </row>
    <row r="1058" ht="22.5" customHeight="1">
      <c r="A1058" s="5" t="s">
        <v>1240</v>
      </c>
      <c r="B1058" s="2" t="s">
        <v>32</v>
      </c>
      <c r="C1058" s="45" t="str">
        <f t="shared" si="1"/>
        <v>Tilak Kamod_1</v>
      </c>
      <c r="D1058" s="12" t="s">
        <v>1249</v>
      </c>
      <c r="E1058" s="2" t="s">
        <v>236</v>
      </c>
      <c r="F1058" s="2" t="s">
        <v>728</v>
      </c>
    </row>
    <row r="1059" ht="22.5" customHeight="1">
      <c r="A1059" s="5" t="s">
        <v>1240</v>
      </c>
      <c r="B1059" s="2" t="s">
        <v>24</v>
      </c>
      <c r="C1059" s="45" t="str">
        <f t="shared" si="1"/>
        <v>Tilak Kamod_2</v>
      </c>
      <c r="D1059" s="12" t="s">
        <v>1248</v>
      </c>
      <c r="E1059" s="2" t="s">
        <v>114</v>
      </c>
      <c r="F1059" s="2" t="s">
        <v>1035</v>
      </c>
    </row>
    <row r="1060" ht="22.5" customHeight="1">
      <c r="A1060" s="5" t="s">
        <v>1240</v>
      </c>
      <c r="B1060" s="2" t="s">
        <v>43</v>
      </c>
      <c r="C1060" s="45" t="str">
        <f t="shared" si="1"/>
        <v>Tilak Kamod_3</v>
      </c>
      <c r="D1060" s="12" t="s">
        <v>1246</v>
      </c>
      <c r="E1060" s="2" t="s">
        <v>25</v>
      </c>
      <c r="F1060" s="2" t="s">
        <v>1247</v>
      </c>
    </row>
    <row r="1061" ht="22.5" customHeight="1">
      <c r="A1061" s="5" t="s">
        <v>1240</v>
      </c>
      <c r="B1061" s="2" t="s">
        <v>89</v>
      </c>
      <c r="C1061" s="45" t="str">
        <f t="shared" si="1"/>
        <v>Tilak Kamod_4</v>
      </c>
      <c r="D1061" s="12" t="s">
        <v>1245</v>
      </c>
      <c r="E1061" s="2" t="s">
        <v>565</v>
      </c>
      <c r="F1061" s="2" t="s">
        <v>178</v>
      </c>
    </row>
    <row r="1062" ht="22.5" customHeight="1">
      <c r="A1062" s="5" t="s">
        <v>1240</v>
      </c>
      <c r="B1062" s="2" t="s">
        <v>43</v>
      </c>
      <c r="C1062" s="45" t="str">
        <f t="shared" si="1"/>
        <v>Tilak Kamod_5</v>
      </c>
      <c r="D1062" s="12" t="s">
        <v>1244</v>
      </c>
      <c r="E1062" s="2" t="s">
        <v>25</v>
      </c>
      <c r="F1062" s="2" t="s">
        <v>83</v>
      </c>
    </row>
    <row r="1063" ht="22.5" customHeight="1">
      <c r="A1063" s="5" t="s">
        <v>1240</v>
      </c>
      <c r="B1063" s="2" t="s">
        <v>43</v>
      </c>
      <c r="C1063" s="45" t="str">
        <f t="shared" si="1"/>
        <v>Tilak Kamod_6</v>
      </c>
      <c r="D1063" s="12" t="s">
        <v>1243</v>
      </c>
      <c r="E1063" s="2" t="s">
        <v>25</v>
      </c>
      <c r="F1063" s="2" t="s">
        <v>193</v>
      </c>
    </row>
    <row r="1064" ht="22.5" customHeight="1">
      <c r="A1064" s="5" t="s">
        <v>1240</v>
      </c>
      <c r="B1064" s="2" t="s">
        <v>67</v>
      </c>
      <c r="C1064" s="45" t="str">
        <f t="shared" si="1"/>
        <v>Tilak Kamod_7</v>
      </c>
      <c r="D1064" s="12" t="s">
        <v>1242</v>
      </c>
      <c r="E1064" s="2" t="s">
        <v>25</v>
      </c>
      <c r="F1064" s="2" t="s">
        <v>297</v>
      </c>
    </row>
    <row r="1065" ht="22.5" customHeight="1">
      <c r="A1065" s="5" t="s">
        <v>1240</v>
      </c>
      <c r="B1065" s="2" t="s">
        <v>43</v>
      </c>
      <c r="C1065" s="45" t="str">
        <f t="shared" si="1"/>
        <v>Tilak Kamod_8</v>
      </c>
      <c r="D1065" s="12" t="s">
        <v>1241</v>
      </c>
      <c r="E1065" s="2" t="s">
        <v>25</v>
      </c>
      <c r="F1065" s="2" t="s">
        <v>52</v>
      </c>
    </row>
    <row r="1066" ht="22.5" customHeight="1">
      <c r="A1066" s="5" t="s">
        <v>1250</v>
      </c>
      <c r="B1066" s="2" t="s">
        <v>2383</v>
      </c>
      <c r="C1066" s="45" t="str">
        <f t="shared" si="1"/>
        <v>Tilang Bahar_1</v>
      </c>
      <c r="D1066" s="12" t="s">
        <v>1257</v>
      </c>
      <c r="E1066" s="2" t="s">
        <v>25</v>
      </c>
      <c r="F1066" s="2" t="s">
        <v>1258</v>
      </c>
    </row>
    <row r="1067" ht="22.5" customHeight="1">
      <c r="A1067" s="5" t="s">
        <v>1250</v>
      </c>
      <c r="B1067" s="2" t="s">
        <v>43</v>
      </c>
      <c r="C1067" s="45" t="str">
        <f t="shared" si="1"/>
        <v>Tilang Bahar_2</v>
      </c>
      <c r="D1067" s="12" t="s">
        <v>1255</v>
      </c>
      <c r="E1067" s="2" t="s">
        <v>25</v>
      </c>
      <c r="F1067" s="2" t="s">
        <v>1256</v>
      </c>
    </row>
    <row r="1068" ht="22.5" customHeight="1">
      <c r="A1068" s="5" t="s">
        <v>1250</v>
      </c>
      <c r="B1068" s="2" t="s">
        <v>36</v>
      </c>
      <c r="C1068" s="18" t="str">
        <f t="shared" si="1"/>
        <v>Tilang Bahar_3</v>
      </c>
      <c r="D1068" s="15" t="s">
        <v>1253</v>
      </c>
      <c r="E1068" s="2" t="s">
        <v>25</v>
      </c>
      <c r="F1068" s="2" t="s">
        <v>1254</v>
      </c>
    </row>
    <row r="1069" ht="22.5" customHeight="1">
      <c r="A1069" s="5" t="s">
        <v>1250</v>
      </c>
      <c r="B1069" s="2" t="s">
        <v>89</v>
      </c>
      <c r="C1069" s="45" t="str">
        <f t="shared" si="1"/>
        <v>Tilang Bahar_4</v>
      </c>
      <c r="D1069" s="12" t="s">
        <v>1251</v>
      </c>
      <c r="E1069" s="2" t="s">
        <v>25</v>
      </c>
      <c r="F1069" s="2" t="s">
        <v>1252</v>
      </c>
    </row>
    <row r="1070" ht="22.5" customHeight="1">
      <c r="A1070" s="5" t="s">
        <v>1259</v>
      </c>
      <c r="B1070" s="2" t="s">
        <v>32</v>
      </c>
      <c r="C1070" s="45" t="str">
        <f t="shared" si="1"/>
        <v>Tilang_1</v>
      </c>
      <c r="D1070" s="12" t="s">
        <v>1271</v>
      </c>
      <c r="E1070" s="2" t="s">
        <v>25</v>
      </c>
      <c r="F1070" s="2" t="s">
        <v>70</v>
      </c>
    </row>
    <row r="1071" ht="22.5" customHeight="1">
      <c r="A1071" s="5" t="s">
        <v>1259</v>
      </c>
      <c r="B1071" s="2" t="s">
        <v>43</v>
      </c>
      <c r="C1071" s="45" t="str">
        <f t="shared" si="1"/>
        <v>Tilang_2</v>
      </c>
      <c r="D1071" s="12" t="s">
        <v>1269</v>
      </c>
      <c r="E1071" s="2" t="s">
        <v>25</v>
      </c>
      <c r="F1071" s="2" t="s">
        <v>1270</v>
      </c>
    </row>
    <row r="1072" ht="22.5" customHeight="1">
      <c r="A1072" s="5" t="s">
        <v>1259</v>
      </c>
      <c r="B1072" s="2" t="s">
        <v>32</v>
      </c>
      <c r="C1072" s="45" t="str">
        <f t="shared" si="1"/>
        <v>Tilang_3</v>
      </c>
      <c r="D1072" s="12" t="s">
        <v>1267</v>
      </c>
      <c r="E1072" s="2" t="s">
        <v>25</v>
      </c>
      <c r="F1072" s="2" t="s">
        <v>1268</v>
      </c>
    </row>
    <row r="1073" ht="22.5" customHeight="1">
      <c r="A1073" s="5" t="s">
        <v>1259</v>
      </c>
      <c r="B1073" s="2" t="s">
        <v>67</v>
      </c>
      <c r="C1073" s="45" t="str">
        <f t="shared" si="1"/>
        <v>Tilang_4</v>
      </c>
      <c r="D1073" s="12" t="s">
        <v>1266</v>
      </c>
      <c r="E1073" s="2" t="s">
        <v>25</v>
      </c>
      <c r="F1073" s="2" t="s">
        <v>26</v>
      </c>
    </row>
    <row r="1074" ht="22.5" customHeight="1">
      <c r="A1074" s="5" t="s">
        <v>1259</v>
      </c>
      <c r="B1074" s="2" t="s">
        <v>127</v>
      </c>
      <c r="C1074" s="45" t="str">
        <f t="shared" si="1"/>
        <v>Tilang_5</v>
      </c>
      <c r="D1074" s="12" t="s">
        <v>1265</v>
      </c>
      <c r="E1074" s="2" t="s">
        <v>25</v>
      </c>
      <c r="F1074" s="2" t="s">
        <v>850</v>
      </c>
    </row>
    <row r="1075" ht="22.5" customHeight="1">
      <c r="A1075" s="5" t="s">
        <v>1259</v>
      </c>
      <c r="B1075" s="2" t="s">
        <v>32</v>
      </c>
      <c r="C1075" s="45" t="str">
        <f t="shared" si="1"/>
        <v>Tilang_6</v>
      </c>
      <c r="D1075" s="12" t="s">
        <v>1264</v>
      </c>
      <c r="E1075" s="2" t="s">
        <v>114</v>
      </c>
      <c r="F1075" s="2" t="s">
        <v>211</v>
      </c>
    </row>
    <row r="1076" ht="22.5" customHeight="1">
      <c r="A1076" s="5" t="s">
        <v>1259</v>
      </c>
      <c r="B1076" s="2" t="s">
        <v>89</v>
      </c>
      <c r="C1076" s="45" t="str">
        <f t="shared" si="1"/>
        <v>Tilang_7</v>
      </c>
      <c r="D1076" s="12" t="s">
        <v>1262</v>
      </c>
      <c r="E1076" s="2" t="s">
        <v>25</v>
      </c>
      <c r="F1076" s="2" t="s">
        <v>1263</v>
      </c>
    </row>
    <row r="1077" ht="22.5" customHeight="1">
      <c r="A1077" s="5" t="s">
        <v>1259</v>
      </c>
      <c r="B1077" s="2" t="s">
        <v>38</v>
      </c>
      <c r="C1077" s="18" t="str">
        <f t="shared" si="1"/>
        <v>Tilang_8</v>
      </c>
      <c r="D1077" s="15" t="s">
        <v>1261</v>
      </c>
      <c r="E1077" s="2" t="s">
        <v>25</v>
      </c>
      <c r="F1077" s="2" t="s">
        <v>157</v>
      </c>
    </row>
    <row r="1078" ht="22.5" customHeight="1">
      <c r="A1078" s="5" t="s">
        <v>1259</v>
      </c>
      <c r="B1078" s="2" t="s">
        <v>32</v>
      </c>
      <c r="C1078" s="45" t="str">
        <f t="shared" si="1"/>
        <v>Tilang_9</v>
      </c>
      <c r="D1078" s="12" t="s">
        <v>1260</v>
      </c>
      <c r="E1078" s="2" t="s">
        <v>114</v>
      </c>
      <c r="F1078" s="2" t="s">
        <v>586</v>
      </c>
    </row>
    <row r="1079" ht="22.5" customHeight="1">
      <c r="A1079" s="5" t="s">
        <v>1272</v>
      </c>
      <c r="B1079" s="2"/>
      <c r="C1079" s="18" t="str">
        <f t="shared" si="1"/>
        <v>Todi_1</v>
      </c>
      <c r="D1079" s="18"/>
      <c r="E1079" s="8" t="s">
        <v>25</v>
      </c>
      <c r="F1079" s="8" t="s">
        <v>26</v>
      </c>
      <c r="H1079" s="2"/>
      <c r="I1079" s="2" t="s">
        <v>27</v>
      </c>
    </row>
    <row r="1080" ht="22.5" customHeight="1">
      <c r="A1080" s="5" t="s">
        <v>1272</v>
      </c>
      <c r="B1080" s="2"/>
      <c r="C1080" s="18" t="str">
        <f t="shared" si="1"/>
        <v>Todi_2</v>
      </c>
      <c r="D1080" s="18"/>
      <c r="E1080" s="8" t="s">
        <v>25</v>
      </c>
      <c r="F1080" s="8" t="s">
        <v>66</v>
      </c>
      <c r="H1080" s="2"/>
      <c r="I1080" s="2" t="s">
        <v>27</v>
      </c>
    </row>
    <row r="1081" ht="22.5" customHeight="1">
      <c r="A1081" s="5" t="s">
        <v>1272</v>
      </c>
      <c r="B1081" s="2"/>
      <c r="C1081" s="18" t="str">
        <f t="shared" si="1"/>
        <v>Todi_3</v>
      </c>
      <c r="D1081" s="18"/>
      <c r="E1081" s="8" t="s">
        <v>25</v>
      </c>
      <c r="F1081" s="8" t="s">
        <v>142</v>
      </c>
      <c r="H1081" s="2"/>
      <c r="I1081" s="2" t="s">
        <v>27</v>
      </c>
    </row>
    <row r="1082" ht="22.5" customHeight="1">
      <c r="A1082" s="5" t="s">
        <v>1272</v>
      </c>
      <c r="B1082" s="2"/>
      <c r="C1082" s="18" t="str">
        <f t="shared" si="1"/>
        <v>Todi_4</v>
      </c>
      <c r="D1082" s="18"/>
      <c r="E1082" s="8" t="s">
        <v>25</v>
      </c>
      <c r="F1082" s="8" t="s">
        <v>849</v>
      </c>
      <c r="H1082" s="2"/>
      <c r="I1082" s="2" t="s">
        <v>27</v>
      </c>
    </row>
    <row r="1083" ht="22.5" customHeight="1">
      <c r="A1083" s="5" t="s">
        <v>1272</v>
      </c>
      <c r="B1083" s="2"/>
      <c r="C1083" s="18" t="str">
        <f t="shared" si="1"/>
        <v>Todi_5</v>
      </c>
      <c r="D1083" s="18"/>
      <c r="E1083" s="8" t="s">
        <v>25</v>
      </c>
      <c r="F1083" s="8" t="s">
        <v>69</v>
      </c>
      <c r="H1083" s="2"/>
      <c r="I1083" s="2" t="s">
        <v>27</v>
      </c>
    </row>
    <row r="1084" ht="22.5" customHeight="1">
      <c r="A1084" s="5" t="s">
        <v>1272</v>
      </c>
      <c r="B1084" s="2"/>
      <c r="C1084" s="18" t="str">
        <f t="shared" si="1"/>
        <v>Todi_6</v>
      </c>
      <c r="D1084" s="18"/>
      <c r="E1084" s="8" t="s">
        <v>25</v>
      </c>
      <c r="F1084" s="8" t="s">
        <v>75</v>
      </c>
      <c r="H1084" s="2"/>
      <c r="I1084" s="2" t="s">
        <v>27</v>
      </c>
    </row>
    <row r="1085" ht="22.5" customHeight="1">
      <c r="A1085" s="5" t="s">
        <v>1272</v>
      </c>
      <c r="B1085" s="2"/>
      <c r="C1085" s="18" t="str">
        <f t="shared" si="1"/>
        <v>Todi_7</v>
      </c>
      <c r="D1085" s="18"/>
      <c r="E1085" s="8" t="s">
        <v>25</v>
      </c>
      <c r="F1085" s="8" t="s">
        <v>64</v>
      </c>
      <c r="H1085" s="2"/>
      <c r="I1085" s="2" t="s">
        <v>27</v>
      </c>
    </row>
    <row r="1086" ht="22.5" customHeight="1">
      <c r="A1086" s="5" t="s">
        <v>1272</v>
      </c>
      <c r="B1086" s="2"/>
      <c r="C1086" s="18" t="str">
        <f t="shared" si="1"/>
        <v>Todi_8</v>
      </c>
      <c r="D1086" s="18"/>
      <c r="E1086" s="8" t="s">
        <v>25</v>
      </c>
      <c r="F1086" s="8" t="s">
        <v>56</v>
      </c>
      <c r="H1086" s="2"/>
      <c r="I1086" s="2" t="s">
        <v>27</v>
      </c>
    </row>
    <row r="1087" ht="22.5" customHeight="1">
      <c r="A1087" s="5" t="s">
        <v>1272</v>
      </c>
      <c r="B1087" s="2"/>
      <c r="C1087" s="18" t="str">
        <f t="shared" si="1"/>
        <v>Todi_9</v>
      </c>
      <c r="D1087" s="18"/>
      <c r="E1087" s="8" t="s">
        <v>25</v>
      </c>
      <c r="F1087" s="8" t="s">
        <v>68</v>
      </c>
      <c r="H1087" s="2"/>
      <c r="I1087" s="2" t="s">
        <v>27</v>
      </c>
    </row>
    <row r="1088" ht="22.5" customHeight="1">
      <c r="A1088" s="5" t="s">
        <v>1272</v>
      </c>
      <c r="B1088" s="2"/>
      <c r="C1088" s="18" t="str">
        <f t="shared" si="1"/>
        <v>Todi_10</v>
      </c>
      <c r="D1088" s="18"/>
      <c r="E1088" s="8" t="s">
        <v>25</v>
      </c>
      <c r="F1088" s="8" t="s">
        <v>70</v>
      </c>
      <c r="H1088" s="2"/>
      <c r="I1088" s="2" t="s">
        <v>27</v>
      </c>
    </row>
    <row r="1089" ht="22.5" customHeight="1">
      <c r="A1089" s="5" t="s">
        <v>1273</v>
      </c>
      <c r="B1089" s="2"/>
      <c r="C1089" s="18" t="str">
        <f t="shared" si="1"/>
        <v>Yaman Kalyan_1</v>
      </c>
      <c r="D1089" s="18"/>
      <c r="E1089" s="8" t="s">
        <v>25</v>
      </c>
      <c r="F1089" s="8" t="s">
        <v>26</v>
      </c>
      <c r="H1089" s="2"/>
      <c r="I1089" s="2" t="s">
        <v>27</v>
      </c>
    </row>
    <row r="1090" ht="22.5" customHeight="1">
      <c r="A1090" s="5" t="s">
        <v>1273</v>
      </c>
      <c r="B1090" s="2"/>
      <c r="C1090" s="18" t="str">
        <f t="shared" si="1"/>
        <v>Yaman Kalyan_2</v>
      </c>
      <c r="D1090" s="18"/>
      <c r="E1090" s="8" t="s">
        <v>25</v>
      </c>
      <c r="F1090" s="8" t="s">
        <v>26</v>
      </c>
      <c r="H1090" s="2"/>
      <c r="I1090" s="2" t="s">
        <v>27</v>
      </c>
    </row>
    <row r="1091" ht="22.5" customHeight="1">
      <c r="A1091" s="5" t="s">
        <v>1273</v>
      </c>
      <c r="B1091" s="2"/>
      <c r="C1091" s="18" t="str">
        <f t="shared" si="1"/>
        <v>Yaman Kalyan_3</v>
      </c>
      <c r="D1091" s="18"/>
      <c r="E1091" s="8" t="s">
        <v>25</v>
      </c>
      <c r="F1091" s="8" t="s">
        <v>262</v>
      </c>
      <c r="H1091" s="2"/>
      <c r="I1091" s="2" t="s">
        <v>27</v>
      </c>
    </row>
    <row r="1092" ht="22.5" customHeight="1">
      <c r="A1092" s="5" t="s">
        <v>1273</v>
      </c>
      <c r="B1092" s="2"/>
      <c r="C1092" s="18" t="str">
        <f t="shared" si="1"/>
        <v>Yaman Kalyan_4</v>
      </c>
      <c r="D1092" s="18"/>
      <c r="E1092" s="8" t="s">
        <v>25</v>
      </c>
      <c r="F1092" s="8" t="s">
        <v>31</v>
      </c>
      <c r="H1092" s="2"/>
      <c r="I1092" s="2" t="s">
        <v>27</v>
      </c>
    </row>
    <row r="1093" ht="22.5" customHeight="1">
      <c r="A1093" s="5" t="s">
        <v>1273</v>
      </c>
      <c r="B1093" s="2"/>
      <c r="C1093" s="18" t="str">
        <f t="shared" si="1"/>
        <v>Yaman Kalyan_5</v>
      </c>
      <c r="D1093" s="18"/>
      <c r="E1093" s="8" t="s">
        <v>25</v>
      </c>
      <c r="F1093" s="8" t="s">
        <v>142</v>
      </c>
      <c r="H1093" s="2"/>
      <c r="I1093" s="2" t="s">
        <v>27</v>
      </c>
    </row>
    <row r="1094" ht="22.5" customHeight="1">
      <c r="A1094" s="5" t="s">
        <v>1273</v>
      </c>
      <c r="B1094" s="2"/>
      <c r="C1094" s="18" t="str">
        <f t="shared" si="1"/>
        <v>Yaman Kalyan_6</v>
      </c>
      <c r="D1094" s="18"/>
      <c r="E1094" s="8" t="s">
        <v>25</v>
      </c>
      <c r="F1094" s="8" t="s">
        <v>76</v>
      </c>
      <c r="H1094" s="2"/>
      <c r="I1094" s="2" t="s">
        <v>27</v>
      </c>
    </row>
    <row r="1095" ht="22.5" customHeight="1">
      <c r="A1095" s="5" t="s">
        <v>1273</v>
      </c>
      <c r="B1095" s="2"/>
      <c r="C1095" s="18" t="str">
        <f t="shared" si="1"/>
        <v>Yaman Kalyan_7</v>
      </c>
      <c r="D1095" s="18"/>
      <c r="E1095" s="8" t="s">
        <v>25</v>
      </c>
      <c r="F1095" s="8" t="s">
        <v>64</v>
      </c>
      <c r="H1095" s="2"/>
      <c r="I1095" s="2" t="s">
        <v>27</v>
      </c>
    </row>
    <row r="1096" ht="22.5" customHeight="1">
      <c r="A1096" s="5" t="s">
        <v>1273</v>
      </c>
      <c r="B1096" s="2"/>
      <c r="C1096" s="18" t="str">
        <f t="shared" si="1"/>
        <v>Yaman Kalyan_8</v>
      </c>
      <c r="D1096" s="18"/>
      <c r="E1096" s="8" t="s">
        <v>25</v>
      </c>
      <c r="F1096" s="8" t="s">
        <v>70</v>
      </c>
      <c r="H1096" s="2"/>
      <c r="I1096" s="2" t="s">
        <v>27</v>
      </c>
    </row>
    <row r="1097" ht="22.5" customHeight="1">
      <c r="A1097" s="5" t="s">
        <v>1273</v>
      </c>
      <c r="B1097" s="2"/>
      <c r="C1097" s="18" t="str">
        <f t="shared" si="1"/>
        <v>Yaman Kalyan_9</v>
      </c>
      <c r="D1097" s="18"/>
      <c r="E1097" s="8" t="s">
        <v>25</v>
      </c>
      <c r="F1097" s="8" t="s">
        <v>71</v>
      </c>
      <c r="H1097" s="2"/>
      <c r="I1097" s="2" t="s">
        <v>27</v>
      </c>
    </row>
    <row r="1098" ht="22.5" customHeight="1">
      <c r="A1098" s="5" t="s">
        <v>1273</v>
      </c>
      <c r="B1098" s="2"/>
      <c r="C1098" s="18" t="str">
        <f t="shared" si="1"/>
        <v>Yaman Kalyan_10</v>
      </c>
      <c r="D1098" s="18"/>
      <c r="E1098" s="8" t="s">
        <v>25</v>
      </c>
      <c r="F1098" s="8" t="s">
        <v>37</v>
      </c>
      <c r="H1098" s="2"/>
      <c r="I1098" s="2" t="s">
        <v>27</v>
      </c>
    </row>
    <row r="1099" ht="22.5" customHeight="1">
      <c r="A1099" s="5" t="s">
        <v>1274</v>
      </c>
      <c r="B1099" s="2" t="s">
        <v>32</v>
      </c>
      <c r="C1099" s="18" t="str">
        <f t="shared" si="1"/>
        <v>Zila Kafi_1</v>
      </c>
      <c r="D1099" s="15" t="s">
        <v>1275</v>
      </c>
      <c r="E1099" s="2" t="s">
        <v>25</v>
      </c>
      <c r="F1099" s="2" t="s">
        <v>26</v>
      </c>
    </row>
  </sheetData>
  <dataValidations>
    <dataValidation type="list" allowBlank="1" sqref="E2:E1099">
      <formula1>InstrumentNames</formula1>
    </dataValidation>
    <dataValidation type="list" allowBlank="1" sqref="A2:A1099">
      <formula1>RagaNames</formula1>
    </dataValidation>
    <dataValidation type="list" allowBlank="1" sqref="F2:F1099">
      <formula1>ArtistNames</formula1>
    </dataValidation>
    <dataValidation allowBlank="1" showDropDown="1" sqref="D2:D1099"/>
  </dataValidations>
  <hyperlinks>
    <hyperlink r:id="rId1" ref="D12"/>
    <hyperlink r:id="rId2" ref="D13"/>
    <hyperlink r:id="rId3" ref="D14"/>
    <hyperlink r:id="rId4" ref="D15"/>
    <hyperlink r:id="rId5" ref="D16"/>
    <hyperlink r:id="rId6" ref="D17"/>
    <hyperlink r:id="rId7" ref="D18"/>
    <hyperlink r:id="rId8" ref="D19"/>
    <hyperlink r:id="rId9" ref="D20"/>
    <hyperlink r:id="rId10" ref="D21"/>
    <hyperlink r:id="rId11" ref="D42"/>
    <hyperlink r:id="rId12" ref="D43"/>
    <hyperlink r:id="rId13" ref="D44"/>
    <hyperlink r:id="rId14" ref="D45"/>
    <hyperlink r:id="rId15" ref="D46"/>
    <hyperlink r:id="rId16" ref="D47"/>
    <hyperlink r:id="rId17" ref="D48"/>
    <hyperlink r:id="rId18" ref="D49"/>
    <hyperlink r:id="rId19" ref="D50"/>
    <hyperlink r:id="rId20" ref="D51"/>
    <hyperlink r:id="rId21" ref="D62"/>
    <hyperlink r:id="rId22" ref="D63"/>
    <hyperlink r:id="rId23" ref="D64"/>
    <hyperlink r:id="rId24" ref="D65"/>
    <hyperlink r:id="rId25" ref="D66"/>
    <hyperlink r:id="rId26" ref="D67"/>
    <hyperlink r:id="rId27" ref="D68"/>
    <hyperlink r:id="rId28" ref="D69"/>
    <hyperlink r:id="rId29" ref="D70"/>
    <hyperlink r:id="rId30" ref="D71"/>
    <hyperlink r:id="rId31" ref="D82"/>
    <hyperlink r:id="rId32" ref="D83"/>
    <hyperlink r:id="rId33" ref="D84"/>
    <hyperlink r:id="rId34" ref="D85"/>
    <hyperlink r:id="rId35" ref="D86"/>
    <hyperlink r:id="rId36" ref="D87"/>
    <hyperlink r:id="rId37" ref="D88"/>
    <hyperlink r:id="rId38" ref="D99"/>
    <hyperlink r:id="rId39" ref="D100"/>
    <hyperlink r:id="rId40" ref="D101"/>
    <hyperlink r:id="rId41" ref="D102"/>
    <hyperlink r:id="rId42" ref="D103"/>
    <hyperlink r:id="rId43" ref="D104"/>
    <hyperlink r:id="rId44" ref="D105"/>
    <hyperlink r:id="rId45" ref="D106"/>
    <hyperlink r:id="rId46" ref="D107"/>
    <hyperlink r:id="rId47" ref="D118"/>
    <hyperlink r:id="rId48" ref="D119"/>
    <hyperlink r:id="rId49" ref="D120"/>
    <hyperlink r:id="rId50" ref="D121"/>
    <hyperlink r:id="rId51" ref="D122"/>
    <hyperlink r:id="rId52" ref="D123"/>
    <hyperlink r:id="rId53" ref="D124"/>
    <hyperlink r:id="rId54" ref="D125"/>
    <hyperlink r:id="rId55" ref="D126"/>
    <hyperlink r:id="rId56" ref="D127"/>
    <hyperlink r:id="rId57" ref="D128"/>
    <hyperlink r:id="rId58" ref="D129"/>
    <hyperlink r:id="rId59" ref="D130"/>
    <hyperlink r:id="rId60" ref="D131"/>
    <hyperlink r:id="rId61" ref="D132"/>
    <hyperlink r:id="rId62" ref="D133"/>
    <hyperlink r:id="rId63" ref="D134"/>
    <hyperlink r:id="rId64" ref="D135"/>
    <hyperlink r:id="rId65" ref="D136"/>
    <hyperlink r:id="rId66" ref="D137"/>
    <hyperlink r:id="rId67" ref="D138"/>
    <hyperlink r:id="rId68" ref="D139"/>
    <hyperlink r:id="rId69" ref="D140"/>
    <hyperlink r:id="rId70" ref="D141"/>
    <hyperlink r:id="rId71" ref="D142"/>
    <hyperlink r:id="rId72" ref="D143"/>
    <hyperlink r:id="rId73" ref="D144"/>
    <hyperlink r:id="rId74" ref="D145"/>
    <hyperlink r:id="rId75" ref="D146"/>
    <hyperlink r:id="rId76" ref="D147"/>
    <hyperlink r:id="rId77" ref="D148"/>
    <hyperlink r:id="rId78" ref="D149"/>
    <hyperlink r:id="rId79" ref="D150"/>
    <hyperlink r:id="rId80" ref="D151"/>
    <hyperlink r:id="rId81" ref="D152"/>
    <hyperlink r:id="rId82" ref="D153"/>
    <hyperlink r:id="rId83" ref="D154"/>
    <hyperlink r:id="rId84" ref="D155"/>
    <hyperlink r:id="rId85" ref="D156"/>
    <hyperlink r:id="rId86" ref="D157"/>
    <hyperlink r:id="rId87" ref="D158"/>
    <hyperlink r:id="rId88" ref="D169"/>
    <hyperlink r:id="rId89" ref="D170"/>
    <hyperlink r:id="rId90" ref="D171"/>
    <hyperlink r:id="rId91" ref="D172"/>
    <hyperlink r:id="rId92" ref="D173"/>
    <hyperlink r:id="rId93" ref="D174"/>
    <hyperlink r:id="rId94" ref="D175"/>
    <hyperlink r:id="rId95" ref="D176"/>
    <hyperlink r:id="rId96" ref="D177"/>
    <hyperlink r:id="rId97" ref="D188"/>
    <hyperlink r:id="rId98" ref="D189"/>
    <hyperlink r:id="rId99" ref="D190"/>
    <hyperlink r:id="rId100" ref="D191"/>
    <hyperlink r:id="rId101" ref="D192"/>
    <hyperlink r:id="rId102" ref="D193"/>
    <hyperlink r:id="rId103" ref="D194"/>
    <hyperlink r:id="rId104" ref="D195"/>
    <hyperlink r:id="rId105" ref="D196"/>
    <hyperlink r:id="rId106" ref="D197"/>
    <hyperlink r:id="rId107" ref="D198"/>
    <hyperlink r:id="rId108" ref="D199"/>
    <hyperlink r:id="rId109" ref="D200"/>
    <hyperlink r:id="rId110" ref="D201"/>
    <hyperlink r:id="rId111" ref="D202"/>
    <hyperlink r:id="rId112" ref="D203"/>
    <hyperlink r:id="rId113" ref="D204"/>
    <hyperlink r:id="rId114" ref="D215"/>
    <hyperlink r:id="rId115" ref="D216"/>
    <hyperlink r:id="rId116" ref="D217"/>
    <hyperlink r:id="rId117" ref="D218"/>
    <hyperlink r:id="rId118" ref="D219"/>
    <hyperlink r:id="rId119" ref="D220"/>
    <hyperlink r:id="rId120" ref="D221"/>
    <hyperlink r:id="rId121" ref="D222"/>
    <hyperlink r:id="rId122" ref="D223"/>
    <hyperlink r:id="rId123" ref="D224"/>
    <hyperlink r:id="rId124" ref="D225"/>
    <hyperlink r:id="rId125" ref="D226"/>
    <hyperlink r:id="rId126" ref="D227"/>
    <hyperlink r:id="rId127" ref="D228"/>
    <hyperlink r:id="rId128" ref="D229"/>
    <hyperlink r:id="rId129" ref="D230"/>
    <hyperlink r:id="rId130" ref="D231"/>
    <hyperlink r:id="rId131" ref="D232"/>
    <hyperlink r:id="rId132" ref="D233"/>
    <hyperlink r:id="rId133" ref="D234"/>
    <hyperlink r:id="rId134" ref="D235"/>
    <hyperlink r:id="rId135" ref="D236"/>
    <hyperlink r:id="rId136" ref="D237"/>
    <hyperlink r:id="rId137" ref="D238"/>
    <hyperlink r:id="rId138" ref="D239"/>
    <hyperlink r:id="rId139" ref="D240"/>
    <hyperlink r:id="rId140" ref="D241"/>
    <hyperlink r:id="rId141" ref="D242"/>
    <hyperlink r:id="rId142" ref="D243"/>
    <hyperlink r:id="rId143" ref="D244"/>
    <hyperlink r:id="rId144" ref="D245"/>
    <hyperlink r:id="rId145" ref="D246"/>
    <hyperlink r:id="rId146" ref="D247"/>
    <hyperlink r:id="rId147" ref="D248"/>
    <hyperlink r:id="rId148" ref="D249"/>
    <hyperlink r:id="rId149" ref="D250"/>
    <hyperlink r:id="rId150" ref="D251"/>
    <hyperlink r:id="rId151" ref="D252"/>
    <hyperlink r:id="rId152" ref="D253"/>
    <hyperlink r:id="rId153" ref="D254"/>
    <hyperlink r:id="rId154" ref="D255"/>
    <hyperlink r:id="rId155" ref="D256"/>
    <hyperlink r:id="rId156" ref="D257"/>
    <hyperlink r:id="rId157" ref="D258"/>
    <hyperlink r:id="rId158" ref="D259"/>
    <hyperlink r:id="rId159" ref="D260"/>
    <hyperlink r:id="rId160" ref="D261"/>
    <hyperlink r:id="rId161" ref="D262"/>
    <hyperlink r:id="rId162" ref="D263"/>
    <hyperlink r:id="rId163" ref="D264"/>
    <hyperlink r:id="rId164" ref="D265"/>
    <hyperlink r:id="rId165" ref="D266"/>
    <hyperlink r:id="rId166" ref="D267"/>
    <hyperlink r:id="rId167" ref="D268"/>
    <hyperlink r:id="rId168" ref="D269"/>
    <hyperlink r:id="rId169" ref="D270"/>
    <hyperlink r:id="rId170" ref="D291"/>
    <hyperlink r:id="rId171" ref="D292"/>
    <hyperlink r:id="rId172" ref="D293"/>
    <hyperlink r:id="rId173" ref="D294"/>
    <hyperlink r:id="rId174" ref="D295"/>
    <hyperlink r:id="rId175" ref="D296"/>
    <hyperlink r:id="rId176" ref="D297"/>
    <hyperlink r:id="rId177" ref="D298"/>
    <hyperlink r:id="rId178" ref="D299"/>
    <hyperlink r:id="rId179" ref="D300"/>
    <hyperlink r:id="rId180" ref="D301"/>
    <hyperlink r:id="rId181" ref="D302"/>
    <hyperlink r:id="rId182" ref="D303"/>
    <hyperlink r:id="rId183" ref="D304"/>
    <hyperlink r:id="rId184" ref="D305"/>
    <hyperlink r:id="rId185" ref="D306"/>
    <hyperlink r:id="rId186" ref="D307"/>
    <hyperlink r:id="rId187" ref="D308"/>
    <hyperlink r:id="rId188" ref="D309"/>
    <hyperlink r:id="rId189" ref="D310"/>
    <hyperlink r:id="rId190" ref="D311"/>
    <hyperlink r:id="rId191" ref="D312"/>
    <hyperlink r:id="rId192" ref="D313"/>
    <hyperlink r:id="rId193" ref="D314"/>
    <hyperlink r:id="rId194" ref="D315"/>
    <hyperlink r:id="rId195" ref="D316"/>
    <hyperlink r:id="rId196" ref="D317"/>
    <hyperlink r:id="rId197" ref="D318"/>
    <hyperlink r:id="rId198" ref="D319"/>
    <hyperlink r:id="rId199" ref="D320"/>
    <hyperlink r:id="rId200" ref="D321"/>
    <hyperlink r:id="rId201" ref="D322"/>
    <hyperlink r:id="rId202" ref="D323"/>
    <hyperlink r:id="rId203" ref="D324"/>
    <hyperlink r:id="rId204" ref="D325"/>
    <hyperlink r:id="rId205" ref="D326"/>
    <hyperlink r:id="rId206" ref="D327"/>
    <hyperlink r:id="rId207" ref="D328"/>
    <hyperlink r:id="rId208" ref="D329"/>
    <hyperlink r:id="rId209" ref="D330"/>
    <hyperlink r:id="rId210" ref="D331"/>
    <hyperlink r:id="rId211" ref="D332"/>
    <hyperlink r:id="rId212" ref="D333"/>
    <hyperlink r:id="rId213" ref="D334"/>
    <hyperlink r:id="rId214" ref="D335"/>
    <hyperlink r:id="rId215" ref="D336"/>
    <hyperlink r:id="rId216" ref="D337"/>
    <hyperlink r:id="rId217" ref="D338"/>
    <hyperlink r:id="rId218" ref="D339"/>
    <hyperlink r:id="rId219" ref="D340"/>
    <hyperlink r:id="rId220" ref="D341"/>
    <hyperlink r:id="rId221" ref="D342"/>
    <hyperlink r:id="rId222" ref="D343"/>
    <hyperlink r:id="rId223" ref="D344"/>
    <hyperlink r:id="rId224" ref="D345"/>
    <hyperlink r:id="rId225" ref="D346"/>
    <hyperlink r:id="rId226" ref="D347"/>
    <hyperlink r:id="rId227" ref="D348"/>
    <hyperlink r:id="rId228" ref="D349"/>
    <hyperlink r:id="rId229" ref="D360"/>
    <hyperlink r:id="rId230" ref="D361"/>
    <hyperlink r:id="rId231" ref="D362"/>
    <hyperlink r:id="rId232" ref="D363"/>
    <hyperlink r:id="rId233" ref="D364"/>
    <hyperlink r:id="rId234" ref="D365"/>
    <hyperlink r:id="rId235" ref="D366"/>
    <hyperlink r:id="rId236" ref="D367"/>
    <hyperlink r:id="rId237" ref="D368"/>
    <hyperlink r:id="rId238" ref="D369"/>
    <hyperlink r:id="rId239" ref="D370"/>
    <hyperlink r:id="rId240" ref="D371"/>
    <hyperlink r:id="rId241" ref="D372"/>
    <hyperlink r:id="rId242" ref="D373"/>
    <hyperlink r:id="rId243" ref="D374"/>
    <hyperlink r:id="rId244" ref="D375"/>
    <hyperlink r:id="rId245" ref="D376"/>
    <hyperlink r:id="rId246" ref="D377"/>
    <hyperlink r:id="rId247" ref="D378"/>
    <hyperlink r:id="rId248" ref="D379"/>
    <hyperlink r:id="rId249" ref="D380"/>
    <hyperlink r:id="rId250" ref="D381"/>
    <hyperlink r:id="rId251" ref="D382"/>
    <hyperlink r:id="rId252" ref="D383"/>
    <hyperlink r:id="rId253" ref="I383"/>
    <hyperlink r:id="rId254" ref="D384"/>
    <hyperlink r:id="rId255" ref="D385"/>
    <hyperlink r:id="rId256" ref="D386"/>
    <hyperlink r:id="rId257" ref="D387"/>
    <hyperlink r:id="rId258" ref="D388"/>
    <hyperlink r:id="rId259" ref="D389"/>
    <hyperlink r:id="rId260" ref="D390"/>
    <hyperlink r:id="rId261" ref="D391"/>
    <hyperlink r:id="rId262" ref="D392"/>
    <hyperlink r:id="rId263" ref="D393"/>
    <hyperlink r:id="rId264" ref="D394"/>
    <hyperlink r:id="rId265" ref="D395"/>
    <hyperlink r:id="rId266" ref="D396"/>
    <hyperlink r:id="rId267" ref="D397"/>
    <hyperlink r:id="rId268" ref="D398"/>
    <hyperlink r:id="rId269" ref="D399"/>
    <hyperlink r:id="rId270" ref="D400"/>
    <hyperlink r:id="rId271" ref="D401"/>
    <hyperlink r:id="rId272" ref="D402"/>
    <hyperlink r:id="rId273" ref="D403"/>
    <hyperlink r:id="rId274" ref="D404"/>
    <hyperlink r:id="rId275" ref="D405"/>
    <hyperlink r:id="rId276" ref="D406"/>
    <hyperlink r:id="rId277" ref="D407"/>
    <hyperlink r:id="rId278" ref="D408"/>
    <hyperlink r:id="rId279" ref="D409"/>
    <hyperlink r:id="rId280" ref="D410"/>
    <hyperlink r:id="rId281" ref="D411"/>
    <hyperlink r:id="rId282" ref="D412"/>
    <hyperlink r:id="rId283" ref="D413"/>
    <hyperlink r:id="rId284" ref="D414"/>
    <hyperlink r:id="rId285" ref="D415"/>
    <hyperlink r:id="rId286" ref="D416"/>
    <hyperlink r:id="rId287" ref="D417"/>
    <hyperlink r:id="rId288" ref="D418"/>
    <hyperlink r:id="rId289" ref="D419"/>
    <hyperlink r:id="rId290" ref="D420"/>
    <hyperlink r:id="rId291" ref="D421"/>
    <hyperlink r:id="rId292" ref="D422"/>
    <hyperlink r:id="rId293" ref="D423"/>
    <hyperlink r:id="rId294" ref="D424"/>
    <hyperlink r:id="rId295" ref="D425"/>
    <hyperlink r:id="rId296" ref="D426"/>
    <hyperlink r:id="rId297" ref="D427"/>
    <hyperlink r:id="rId298" ref="D428"/>
    <hyperlink r:id="rId299" ref="D429"/>
    <hyperlink r:id="rId300" ref="D430"/>
    <hyperlink r:id="rId301" ref="D431"/>
    <hyperlink r:id="rId302" ref="D432"/>
    <hyperlink r:id="rId303" ref="D443"/>
    <hyperlink r:id="rId304" ref="D444"/>
    <hyperlink r:id="rId305" ref="D445"/>
    <hyperlink r:id="rId306" ref="D446"/>
    <hyperlink r:id="rId307" ref="D447"/>
    <hyperlink r:id="rId308" ref="D448"/>
    <hyperlink r:id="rId309" ref="D449"/>
    <hyperlink r:id="rId310" ref="D450"/>
    <hyperlink r:id="rId311" ref="D451"/>
    <hyperlink r:id="rId312" ref="D452"/>
    <hyperlink r:id="rId313" ref="D453"/>
    <hyperlink r:id="rId314" ref="D454"/>
    <hyperlink r:id="rId315" ref="D455"/>
    <hyperlink r:id="rId316" ref="D456"/>
    <hyperlink r:id="rId317" ref="D457"/>
    <hyperlink r:id="rId318" ref="D458"/>
    <hyperlink r:id="rId319" ref="D459"/>
    <hyperlink r:id="rId320" ref="D460"/>
    <hyperlink r:id="rId321" ref="D461"/>
    <hyperlink r:id="rId322" ref="D462"/>
    <hyperlink r:id="rId323" ref="D463"/>
    <hyperlink r:id="rId324" ref="D464"/>
    <hyperlink r:id="rId325" ref="D465"/>
    <hyperlink r:id="rId326" ref="D466"/>
    <hyperlink r:id="rId327" ref="D467"/>
    <hyperlink r:id="rId328" ref="D468"/>
    <hyperlink r:id="rId329" ref="D469"/>
    <hyperlink r:id="rId330" ref="D470"/>
    <hyperlink r:id="rId331" ref="D471"/>
    <hyperlink r:id="rId332" ref="D472"/>
    <hyperlink r:id="rId333" ref="D473"/>
    <hyperlink r:id="rId334" ref="D474"/>
    <hyperlink r:id="rId335" ref="D475"/>
    <hyperlink r:id="rId336" ref="D476"/>
    <hyperlink r:id="rId337" ref="D477"/>
    <hyperlink r:id="rId338" ref="D478"/>
    <hyperlink r:id="rId339" ref="D479"/>
    <hyperlink r:id="rId340" ref="D480"/>
    <hyperlink r:id="rId341" ref="D481"/>
    <hyperlink r:id="rId342" ref="D482"/>
    <hyperlink r:id="rId343" ref="D483"/>
    <hyperlink r:id="rId344" ref="D484"/>
    <hyperlink r:id="rId345" ref="D485"/>
    <hyperlink r:id="rId346" ref="D486"/>
    <hyperlink r:id="rId347" ref="D487"/>
    <hyperlink r:id="rId348" ref="D488"/>
    <hyperlink r:id="rId349" ref="D489"/>
    <hyperlink r:id="rId350" ref="D490"/>
    <hyperlink r:id="rId351" ref="D491"/>
    <hyperlink r:id="rId352" ref="D492"/>
    <hyperlink r:id="rId353" ref="D493"/>
    <hyperlink r:id="rId354" ref="D494"/>
    <hyperlink r:id="rId355" ref="D495"/>
    <hyperlink r:id="rId356" ref="D496"/>
    <hyperlink r:id="rId357" ref="D497"/>
    <hyperlink r:id="rId358" ref="D498"/>
    <hyperlink r:id="rId359" ref="D499"/>
    <hyperlink r:id="rId360" ref="D500"/>
    <hyperlink r:id="rId361" ref="D501"/>
    <hyperlink r:id="rId362" ref="D502"/>
    <hyperlink r:id="rId363" ref="D503"/>
    <hyperlink r:id="rId364" ref="D504"/>
    <hyperlink r:id="rId365" ref="D505"/>
    <hyperlink r:id="rId366" ref="D506"/>
    <hyperlink r:id="rId367" ref="D507"/>
    <hyperlink r:id="rId368" ref="D508"/>
    <hyperlink r:id="rId369" ref="D509"/>
    <hyperlink r:id="rId370" ref="D510"/>
    <hyperlink r:id="rId371" ref="D511"/>
    <hyperlink r:id="rId372" ref="D512"/>
    <hyperlink r:id="rId373" ref="D513"/>
    <hyperlink r:id="rId374" ref="D514"/>
    <hyperlink r:id="rId375" ref="D515"/>
    <hyperlink r:id="rId376" ref="D516"/>
    <hyperlink r:id="rId377" ref="D517"/>
    <hyperlink r:id="rId378" ref="D518"/>
    <hyperlink r:id="rId379" ref="D519"/>
    <hyperlink r:id="rId380" ref="D520"/>
    <hyperlink r:id="rId381" ref="D521"/>
    <hyperlink r:id="rId382" ref="D522"/>
    <hyperlink r:id="rId383" ref="D523"/>
    <hyperlink r:id="rId384" ref="D524"/>
    <hyperlink r:id="rId385" ref="D525"/>
    <hyperlink r:id="rId386" ref="D526"/>
    <hyperlink r:id="rId387" ref="D527"/>
    <hyperlink r:id="rId388" ref="D538"/>
    <hyperlink r:id="rId389" ref="D539"/>
    <hyperlink r:id="rId390" ref="D540"/>
    <hyperlink r:id="rId391" ref="D541"/>
    <hyperlink r:id="rId392" ref="D542"/>
    <hyperlink r:id="rId393" ref="D543"/>
    <hyperlink r:id="rId394" ref="D544"/>
    <hyperlink r:id="rId395" ref="D545"/>
    <hyperlink r:id="rId396" ref="D546"/>
    <hyperlink r:id="rId397" ref="D547"/>
    <hyperlink r:id="rId398" ref="D548"/>
    <hyperlink r:id="rId399" ref="D549"/>
    <hyperlink r:id="rId400" ref="D550"/>
    <hyperlink r:id="rId401" ref="D551"/>
    <hyperlink r:id="rId402" ref="D552"/>
    <hyperlink r:id="rId403" ref="D553"/>
    <hyperlink r:id="rId404" ref="D554"/>
    <hyperlink r:id="rId405" ref="D555"/>
    <hyperlink r:id="rId406" ref="D556"/>
    <hyperlink r:id="rId407" ref="D557"/>
    <hyperlink r:id="rId408" ref="D558"/>
    <hyperlink r:id="rId409" ref="D559"/>
    <hyperlink r:id="rId410" ref="D560"/>
    <hyperlink r:id="rId411" ref="D561"/>
    <hyperlink r:id="rId412" ref="D562"/>
    <hyperlink r:id="rId413" ref="D563"/>
    <hyperlink r:id="rId414" ref="D564"/>
    <hyperlink r:id="rId415" ref="D565"/>
    <hyperlink r:id="rId416" ref="D566"/>
    <hyperlink r:id="rId417" ref="D567"/>
    <hyperlink r:id="rId418" ref="D568"/>
    <hyperlink r:id="rId419" ref="D569"/>
    <hyperlink r:id="rId420" ref="D570"/>
    <hyperlink r:id="rId421" ref="D571"/>
    <hyperlink r:id="rId422" ref="D572"/>
    <hyperlink r:id="rId423" ref="D573"/>
    <hyperlink r:id="rId424" ref="D574"/>
    <hyperlink r:id="rId425" ref="D575"/>
    <hyperlink r:id="rId426" ref="D576"/>
    <hyperlink r:id="rId427" ref="D577"/>
    <hyperlink r:id="rId428" ref="D578"/>
    <hyperlink r:id="rId429" ref="D579"/>
    <hyperlink r:id="rId430" ref="D580"/>
    <hyperlink r:id="rId431" ref="D581"/>
    <hyperlink r:id="rId432" ref="D582"/>
    <hyperlink r:id="rId433" ref="D583"/>
    <hyperlink r:id="rId434" ref="D584"/>
    <hyperlink r:id="rId435" ref="D585"/>
    <hyperlink r:id="rId436" ref="D586"/>
    <hyperlink r:id="rId437" ref="D587"/>
    <hyperlink r:id="rId438" ref="D608"/>
    <hyperlink r:id="rId439" ref="D609"/>
    <hyperlink r:id="rId440" ref="D610"/>
    <hyperlink r:id="rId441" ref="D611"/>
    <hyperlink r:id="rId442" ref="D612"/>
    <hyperlink r:id="rId443" ref="D613"/>
    <hyperlink r:id="rId444" ref="D614"/>
    <hyperlink r:id="rId445" ref="D615"/>
    <hyperlink r:id="rId446" ref="D616"/>
    <hyperlink r:id="rId447" ref="D617"/>
    <hyperlink r:id="rId448" ref="D618"/>
    <hyperlink r:id="rId449" ref="D619"/>
    <hyperlink r:id="rId450" ref="D620"/>
    <hyperlink r:id="rId451" ref="D621"/>
    <hyperlink r:id="rId452" ref="D622"/>
    <hyperlink r:id="rId453" ref="D623"/>
    <hyperlink r:id="rId454" ref="D624"/>
    <hyperlink r:id="rId455" ref="D625"/>
    <hyperlink r:id="rId456" ref="D636"/>
    <hyperlink r:id="rId457" ref="D637"/>
    <hyperlink r:id="rId458" ref="D638"/>
    <hyperlink r:id="rId459" ref="D639"/>
    <hyperlink r:id="rId460" ref="D640"/>
    <hyperlink r:id="rId461" ref="D641"/>
    <hyperlink r:id="rId462" ref="D642"/>
    <hyperlink r:id="rId463" ref="D643"/>
    <hyperlink r:id="rId464" ref="D644"/>
    <hyperlink r:id="rId465" ref="D655"/>
    <hyperlink r:id="rId466" ref="D656"/>
    <hyperlink r:id="rId467" ref="D657"/>
    <hyperlink r:id="rId468" ref="D658"/>
    <hyperlink r:id="rId469" ref="D659"/>
    <hyperlink r:id="rId470" ref="D660"/>
    <hyperlink r:id="rId471" ref="D661"/>
    <hyperlink r:id="rId472" ref="D662"/>
    <hyperlink r:id="rId473" ref="D663"/>
    <hyperlink r:id="rId474" ref="D664"/>
    <hyperlink r:id="rId475" ref="D665"/>
    <hyperlink r:id="rId476" ref="D666"/>
    <hyperlink r:id="rId477" ref="D667"/>
    <hyperlink r:id="rId478" ref="D668"/>
    <hyperlink r:id="rId479" ref="D669"/>
    <hyperlink r:id="rId480" ref="D670"/>
    <hyperlink r:id="rId481" ref="D671"/>
    <hyperlink r:id="rId482" ref="D672"/>
    <hyperlink r:id="rId483" ref="D673"/>
    <hyperlink r:id="rId484" ref="D684"/>
    <hyperlink r:id="rId485" ref="D685"/>
    <hyperlink r:id="rId486" ref="D686"/>
    <hyperlink r:id="rId487" ref="D687"/>
    <hyperlink r:id="rId488" ref="D688"/>
    <hyperlink r:id="rId489" ref="D689"/>
    <hyperlink r:id="rId490" ref="D690"/>
    <hyperlink r:id="rId491" ref="D691"/>
    <hyperlink r:id="rId492" ref="D692"/>
    <hyperlink r:id="rId493" ref="D703"/>
    <hyperlink r:id="rId494" ref="D704"/>
    <hyperlink r:id="rId495" ref="D705"/>
    <hyperlink r:id="rId496" ref="D706"/>
    <hyperlink r:id="rId497" ref="D707"/>
    <hyperlink r:id="rId498" ref="D708"/>
    <hyperlink r:id="rId499" ref="D709"/>
    <hyperlink r:id="rId500" ref="D710"/>
    <hyperlink r:id="rId501" ref="D711"/>
    <hyperlink r:id="rId502" ref="D712"/>
    <hyperlink r:id="rId503" ref="D713"/>
    <hyperlink r:id="rId504" ref="D714"/>
    <hyperlink r:id="rId505" ref="D715"/>
    <hyperlink r:id="rId506" ref="D716"/>
    <hyperlink r:id="rId507" ref="D717"/>
    <hyperlink r:id="rId508" ref="D718"/>
    <hyperlink r:id="rId509" ref="D719"/>
    <hyperlink r:id="rId510" ref="D720"/>
    <hyperlink r:id="rId511" ref="D721"/>
    <hyperlink r:id="rId512" ref="D742"/>
    <hyperlink r:id="rId513" ref="D743"/>
    <hyperlink r:id="rId514" ref="D744"/>
    <hyperlink r:id="rId515" ref="D745"/>
    <hyperlink r:id="rId516" ref="D746"/>
    <hyperlink r:id="rId517" ref="D747"/>
    <hyperlink r:id="rId518" ref="D748"/>
    <hyperlink r:id="rId519" ref="D749"/>
    <hyperlink r:id="rId520" ref="D750"/>
    <hyperlink r:id="rId521" ref="D751"/>
    <hyperlink r:id="rId522" ref="D752"/>
    <hyperlink r:id="rId523" ref="D753"/>
    <hyperlink r:id="rId524" ref="D754"/>
    <hyperlink r:id="rId525" ref="D755"/>
    <hyperlink r:id="rId526" ref="D756"/>
    <hyperlink r:id="rId527" ref="D757"/>
    <hyperlink r:id="rId528" ref="D768"/>
    <hyperlink r:id="rId529" ref="D769"/>
    <hyperlink r:id="rId530" ref="D770"/>
    <hyperlink r:id="rId531" ref="D771"/>
    <hyperlink r:id="rId532" ref="D772"/>
    <hyperlink r:id="rId533" ref="D773"/>
    <hyperlink r:id="rId534" ref="D774"/>
    <hyperlink r:id="rId535" ref="D775"/>
    <hyperlink r:id="rId536" ref="D776"/>
    <hyperlink r:id="rId537" ref="D777"/>
    <hyperlink r:id="rId538" ref="D778"/>
    <hyperlink r:id="rId539" ref="D779"/>
    <hyperlink r:id="rId540" ref="D780"/>
    <hyperlink r:id="rId541" ref="D781"/>
    <hyperlink r:id="rId542" ref="D782"/>
    <hyperlink r:id="rId543" ref="D783"/>
    <hyperlink r:id="rId544" ref="D784"/>
    <hyperlink r:id="rId545" ref="D785"/>
    <hyperlink r:id="rId546" ref="D786"/>
    <hyperlink r:id="rId547" ref="D787"/>
    <hyperlink r:id="rId548" ref="D788"/>
    <hyperlink r:id="rId549" ref="D789"/>
    <hyperlink r:id="rId550" ref="D790"/>
    <hyperlink r:id="rId551" ref="D791"/>
    <hyperlink r:id="rId552" ref="D792"/>
    <hyperlink r:id="rId553" ref="D793"/>
    <hyperlink r:id="rId554" ref="D794"/>
    <hyperlink r:id="rId555" ref="D795"/>
    <hyperlink r:id="rId556" ref="D796"/>
    <hyperlink r:id="rId557" ref="D797"/>
    <hyperlink r:id="rId558" ref="D798"/>
    <hyperlink r:id="rId559" ref="D799"/>
    <hyperlink r:id="rId560" ref="D800"/>
    <hyperlink r:id="rId561" ref="D801"/>
    <hyperlink r:id="rId562" ref="D802"/>
    <hyperlink r:id="rId563" ref="D803"/>
    <hyperlink r:id="rId564" ref="D804"/>
    <hyperlink r:id="rId565" ref="D805"/>
    <hyperlink r:id="rId566" ref="D806"/>
    <hyperlink r:id="rId567" ref="D807"/>
    <hyperlink r:id="rId568" ref="D808"/>
    <hyperlink r:id="rId569" ref="D809"/>
    <hyperlink r:id="rId570" ref="D810"/>
    <hyperlink r:id="rId571" ref="D811"/>
    <hyperlink r:id="rId572" ref="D812"/>
    <hyperlink r:id="rId573" ref="D813"/>
    <hyperlink r:id="rId574" ref="D814"/>
    <hyperlink r:id="rId575" ref="D815"/>
    <hyperlink r:id="rId576" ref="D816"/>
    <hyperlink r:id="rId577" ref="D817"/>
    <hyperlink r:id="rId578" ref="D818"/>
    <hyperlink r:id="rId579" ref="D819"/>
    <hyperlink r:id="rId580" ref="D820"/>
    <hyperlink r:id="rId581" ref="D821"/>
    <hyperlink r:id="rId582" ref="D822"/>
    <hyperlink r:id="rId583" ref="D823"/>
    <hyperlink r:id="rId584" ref="D824"/>
    <hyperlink r:id="rId585" ref="D825"/>
    <hyperlink r:id="rId586" ref="D826"/>
    <hyperlink r:id="rId587" ref="D827"/>
    <hyperlink r:id="rId588" ref="D828"/>
    <hyperlink r:id="rId589" ref="D829"/>
    <hyperlink r:id="rId590" ref="D830"/>
    <hyperlink r:id="rId591" ref="D831"/>
    <hyperlink r:id="rId592" ref="D832"/>
    <hyperlink r:id="rId593" ref="D833"/>
    <hyperlink r:id="rId594" ref="D834"/>
    <hyperlink r:id="rId595" ref="D835"/>
    <hyperlink r:id="rId596" ref="D836"/>
    <hyperlink r:id="rId597" ref="D837"/>
    <hyperlink r:id="rId598" ref="D838"/>
    <hyperlink r:id="rId599" ref="D839"/>
    <hyperlink r:id="rId600" ref="D840"/>
    <hyperlink r:id="rId601" ref="D841"/>
    <hyperlink r:id="rId602" ref="D842"/>
    <hyperlink r:id="rId603" ref="D843"/>
    <hyperlink r:id="rId604" ref="D844"/>
    <hyperlink r:id="rId605" ref="D845"/>
    <hyperlink r:id="rId606" ref="D846"/>
    <hyperlink r:id="rId607" ref="D847"/>
    <hyperlink r:id="rId608" ref="D848"/>
    <hyperlink r:id="rId609" ref="D849"/>
    <hyperlink r:id="rId610" ref="D850"/>
    <hyperlink r:id="rId611" ref="D851"/>
    <hyperlink r:id="rId612" ref="D852"/>
    <hyperlink r:id="rId613" ref="D853"/>
    <hyperlink r:id="rId614" ref="D854"/>
    <hyperlink r:id="rId615" ref="D855"/>
    <hyperlink r:id="rId616" ref="D856"/>
    <hyperlink r:id="rId617" ref="D857"/>
    <hyperlink r:id="rId618" ref="D858"/>
    <hyperlink r:id="rId619" ref="D859"/>
    <hyperlink r:id="rId620" ref="D860"/>
    <hyperlink r:id="rId621" ref="D861"/>
    <hyperlink r:id="rId622" ref="D862"/>
    <hyperlink r:id="rId623" ref="D863"/>
    <hyperlink r:id="rId624" ref="D864"/>
    <hyperlink r:id="rId625" ref="D865"/>
    <hyperlink r:id="rId626" ref="D866"/>
    <hyperlink r:id="rId627" ref="D867"/>
    <hyperlink r:id="rId628" ref="D868"/>
    <hyperlink r:id="rId629" ref="D869"/>
    <hyperlink r:id="rId630" ref="D870"/>
    <hyperlink r:id="rId631" ref="D881"/>
    <hyperlink r:id="rId632" ref="D882"/>
    <hyperlink r:id="rId633" ref="D883"/>
    <hyperlink r:id="rId634" ref="D884"/>
    <hyperlink r:id="rId635" ref="D885"/>
    <hyperlink r:id="rId636" ref="D886"/>
    <hyperlink r:id="rId637" ref="D887"/>
    <hyperlink r:id="rId638" ref="D888"/>
    <hyperlink r:id="rId639" ref="D889"/>
    <hyperlink r:id="rId640" ref="D890"/>
    <hyperlink r:id="rId641" ref="D901"/>
    <hyperlink r:id="rId642" ref="D902"/>
    <hyperlink r:id="rId643" ref="D903"/>
    <hyperlink r:id="rId644" ref="D904"/>
    <hyperlink r:id="rId645" ref="D905"/>
    <hyperlink r:id="rId646" ref="D906"/>
    <hyperlink r:id="rId647" ref="D907"/>
    <hyperlink r:id="rId648" ref="D908"/>
    <hyperlink r:id="rId649" ref="D909"/>
    <hyperlink r:id="rId650" ref="D910"/>
    <hyperlink r:id="rId651" ref="D911"/>
    <hyperlink r:id="rId652" ref="D912"/>
    <hyperlink r:id="rId653" ref="D913"/>
    <hyperlink r:id="rId654" ref="D914"/>
    <hyperlink r:id="rId655" ref="D915"/>
    <hyperlink r:id="rId656" ref="D916"/>
    <hyperlink r:id="rId657" ref="D917"/>
    <hyperlink r:id="rId658" ref="D918"/>
    <hyperlink r:id="rId659" ref="D919"/>
    <hyperlink r:id="rId660" ref="D920"/>
    <hyperlink r:id="rId661" ref="D921"/>
    <hyperlink r:id="rId662" ref="D922"/>
    <hyperlink r:id="rId663" ref="D923"/>
    <hyperlink r:id="rId664" ref="D924"/>
    <hyperlink r:id="rId665" ref="D925"/>
    <hyperlink r:id="rId666" ref="D926"/>
    <hyperlink r:id="rId667" ref="D927"/>
    <hyperlink r:id="rId668" ref="D928"/>
    <hyperlink r:id="rId669" ref="D929"/>
    <hyperlink r:id="rId670" ref="D930"/>
    <hyperlink r:id="rId671" ref="D931"/>
    <hyperlink r:id="rId672" ref="D932"/>
    <hyperlink r:id="rId673" ref="D933"/>
    <hyperlink r:id="rId674" ref="D934"/>
    <hyperlink r:id="rId675" ref="D935"/>
    <hyperlink r:id="rId676" ref="D936"/>
    <hyperlink r:id="rId677" ref="D937"/>
    <hyperlink r:id="rId678" ref="D938"/>
    <hyperlink r:id="rId679" ref="D939"/>
    <hyperlink r:id="rId680" ref="D940"/>
    <hyperlink r:id="rId681" ref="D941"/>
    <hyperlink r:id="rId682" ref="D942"/>
    <hyperlink r:id="rId683" ref="D943"/>
    <hyperlink r:id="rId684" ref="D944"/>
    <hyperlink r:id="rId685" ref="D945"/>
    <hyperlink r:id="rId686" ref="D946"/>
    <hyperlink r:id="rId687" ref="D947"/>
    <hyperlink r:id="rId688" ref="D948"/>
    <hyperlink r:id="rId689" ref="D949"/>
    <hyperlink r:id="rId690" ref="D950"/>
    <hyperlink r:id="rId691" ref="D951"/>
    <hyperlink r:id="rId692" ref="D952"/>
    <hyperlink r:id="rId693" ref="D953"/>
    <hyperlink r:id="rId694" ref="D954"/>
    <hyperlink r:id="rId695" ref="D955"/>
    <hyperlink r:id="rId696" ref="D956"/>
    <hyperlink r:id="rId697" ref="D957"/>
    <hyperlink r:id="rId698" ref="D958"/>
    <hyperlink r:id="rId699" ref="D959"/>
    <hyperlink r:id="rId700" ref="D960"/>
    <hyperlink r:id="rId701" ref="D961"/>
    <hyperlink r:id="rId702" ref="D962"/>
    <hyperlink r:id="rId703" ref="D963"/>
    <hyperlink r:id="rId704" ref="D964"/>
    <hyperlink r:id="rId705" ref="D965"/>
    <hyperlink r:id="rId706" ref="D966"/>
    <hyperlink r:id="rId707" ref="D967"/>
    <hyperlink r:id="rId708" ref="D968"/>
    <hyperlink r:id="rId709" ref="D969"/>
    <hyperlink r:id="rId710" ref="D970"/>
    <hyperlink r:id="rId711" ref="D971"/>
    <hyperlink r:id="rId712" ref="D972"/>
    <hyperlink r:id="rId713" ref="D973"/>
    <hyperlink r:id="rId714" ref="D974"/>
    <hyperlink r:id="rId715" ref="D975"/>
    <hyperlink r:id="rId716" ref="D976"/>
    <hyperlink r:id="rId717" ref="D977"/>
    <hyperlink r:id="rId718" ref="D978"/>
    <hyperlink r:id="rId719" ref="D979"/>
    <hyperlink r:id="rId720" ref="D1000"/>
    <hyperlink r:id="rId721" ref="D1001"/>
    <hyperlink r:id="rId722" ref="D1002"/>
    <hyperlink r:id="rId723" ref="D1003"/>
    <hyperlink r:id="rId724" ref="D1004"/>
    <hyperlink r:id="rId725" ref="D1005"/>
    <hyperlink r:id="rId726" ref="D1006"/>
    <hyperlink r:id="rId727" ref="D1007"/>
    <hyperlink r:id="rId728" ref="D1008"/>
    <hyperlink r:id="rId729" ref="D1009"/>
    <hyperlink r:id="rId730" ref="D1010"/>
    <hyperlink r:id="rId731" ref="D1011"/>
    <hyperlink r:id="rId732" ref="D1012"/>
    <hyperlink r:id="rId733" ref="D1013"/>
    <hyperlink r:id="rId734" ref="D1014"/>
    <hyperlink r:id="rId735" ref="D1015"/>
    <hyperlink r:id="rId736" ref="D1016"/>
    <hyperlink r:id="rId737" ref="D1017"/>
    <hyperlink r:id="rId738" ref="D1018"/>
    <hyperlink r:id="rId739" ref="D1019"/>
    <hyperlink r:id="rId740" ref="D1020"/>
    <hyperlink r:id="rId741" ref="D1021"/>
    <hyperlink r:id="rId742" ref="D1022"/>
    <hyperlink r:id="rId743" ref="D1023"/>
    <hyperlink r:id="rId744" ref="D1024"/>
    <hyperlink r:id="rId745" ref="D1025"/>
    <hyperlink r:id="rId746" ref="D1026"/>
    <hyperlink r:id="rId747" ref="D1027"/>
    <hyperlink r:id="rId748" ref="D1028"/>
    <hyperlink r:id="rId749" ref="D1029"/>
    <hyperlink r:id="rId750" ref="D1030"/>
    <hyperlink r:id="rId751" ref="D1031"/>
    <hyperlink r:id="rId752" ref="D1032"/>
    <hyperlink r:id="rId753" ref="D1033"/>
    <hyperlink r:id="rId754" ref="D1034"/>
    <hyperlink r:id="rId755" ref="D1035"/>
    <hyperlink r:id="rId756" ref="D1036"/>
    <hyperlink r:id="rId757" ref="D1037"/>
    <hyperlink r:id="rId758" ref="D1038"/>
    <hyperlink r:id="rId759" ref="D1039"/>
    <hyperlink r:id="rId760" ref="D1040"/>
    <hyperlink r:id="rId761" ref="D1041"/>
    <hyperlink r:id="rId762" ref="D1042"/>
    <hyperlink r:id="rId763" ref="D1043"/>
    <hyperlink r:id="rId764" ref="D1044"/>
    <hyperlink r:id="rId765" ref="D1045"/>
    <hyperlink r:id="rId766" ref="D1046"/>
    <hyperlink r:id="rId767" ref="D1047"/>
    <hyperlink r:id="rId768" ref="D1048"/>
    <hyperlink r:id="rId769" ref="D1049"/>
    <hyperlink r:id="rId770" ref="D1050"/>
    <hyperlink r:id="rId771" ref="D1051"/>
    <hyperlink r:id="rId772" ref="D1052"/>
    <hyperlink r:id="rId773" ref="D1053"/>
    <hyperlink r:id="rId774" ref="D1054"/>
    <hyperlink r:id="rId775" ref="D1055"/>
    <hyperlink r:id="rId776" ref="D1056"/>
    <hyperlink r:id="rId777" ref="D1057"/>
    <hyperlink r:id="rId778" ref="D1058"/>
    <hyperlink r:id="rId779" ref="D1059"/>
    <hyperlink r:id="rId780" ref="D1060"/>
    <hyperlink r:id="rId781" ref="D1061"/>
    <hyperlink r:id="rId782" ref="D1062"/>
    <hyperlink r:id="rId783" ref="D1063"/>
    <hyperlink r:id="rId784" ref="D1064"/>
    <hyperlink r:id="rId785" ref="D1065"/>
    <hyperlink r:id="rId786" ref="D1066"/>
    <hyperlink r:id="rId787" ref="D1067"/>
    <hyperlink r:id="rId788" ref="D1068"/>
    <hyperlink r:id="rId789" ref="D1069"/>
    <hyperlink r:id="rId790" ref="D1070"/>
    <hyperlink r:id="rId791" ref="D1071"/>
    <hyperlink r:id="rId792" ref="D1072"/>
    <hyperlink r:id="rId793" ref="D1073"/>
    <hyperlink r:id="rId794" ref="D1074"/>
    <hyperlink r:id="rId795" ref="D1075"/>
    <hyperlink r:id="rId796" ref="D1076"/>
    <hyperlink r:id="rId797" ref="D1077"/>
    <hyperlink r:id="rId798" ref="D1078"/>
    <hyperlink r:id="rId799" ref="D1099"/>
  </hyperlinks>
  <drawing r:id="rId800"/>
  <tableParts count="1">
    <tablePart r:id="rId80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4.13"/>
  </cols>
  <sheetData>
    <row r="1" ht="22.5" customHeight="1">
      <c r="A1" s="3" t="s">
        <v>19</v>
      </c>
      <c r="B1" s="3" t="s">
        <v>20</v>
      </c>
    </row>
    <row r="2" ht="22.5" customHeight="1">
      <c r="A2" s="6" t="s">
        <v>604</v>
      </c>
      <c r="B2" s="5" t="s">
        <v>2370</v>
      </c>
      <c r="D2" s="52" t="s">
        <v>16</v>
      </c>
      <c r="E2" s="52" t="s">
        <v>58</v>
      </c>
      <c r="F2" s="52" t="s">
        <v>2370</v>
      </c>
    </row>
    <row r="3" ht="22.5" customHeight="1">
      <c r="A3" s="6" t="s">
        <v>824</v>
      </c>
      <c r="B3" s="5" t="s">
        <v>58</v>
      </c>
      <c r="D3" s="2" t="s">
        <v>29</v>
      </c>
      <c r="E3" s="2">
        <v>35.0</v>
      </c>
      <c r="F3" s="2">
        <v>0.0</v>
      </c>
    </row>
    <row r="4" ht="22.5" customHeight="1">
      <c r="A4" s="6" t="s">
        <v>1117</v>
      </c>
      <c r="B4" s="5" t="s">
        <v>2370</v>
      </c>
      <c r="D4" s="2" t="s">
        <v>29</v>
      </c>
      <c r="E4" s="2">
        <v>3.0</v>
      </c>
      <c r="F4" s="2">
        <v>0.0</v>
      </c>
    </row>
    <row r="5" ht="22.5" customHeight="1">
      <c r="A5" s="6" t="s">
        <v>76</v>
      </c>
      <c r="B5" s="5" t="s">
        <v>2370</v>
      </c>
      <c r="D5" s="2" t="s">
        <v>38</v>
      </c>
      <c r="E5" s="2">
        <v>91.0</v>
      </c>
      <c r="F5" s="2">
        <v>4.0</v>
      </c>
    </row>
    <row r="6" ht="22.5" customHeight="1">
      <c r="A6" s="6" t="s">
        <v>515</v>
      </c>
      <c r="B6" s="5" t="s">
        <v>2370</v>
      </c>
      <c r="D6" s="2" t="s">
        <v>2396</v>
      </c>
      <c r="E6" s="2">
        <v>1.0</v>
      </c>
      <c r="F6" s="2">
        <v>0.0</v>
      </c>
    </row>
    <row r="7" ht="22.5" customHeight="1">
      <c r="A7" s="6" t="s">
        <v>337</v>
      </c>
      <c r="B7" s="5" t="s">
        <v>2370</v>
      </c>
      <c r="D7" s="2" t="s">
        <v>2388</v>
      </c>
      <c r="E7" s="2">
        <v>1.0</v>
      </c>
      <c r="F7" s="2">
        <v>0.0</v>
      </c>
    </row>
    <row r="8" ht="22.5" customHeight="1">
      <c r="A8" s="6" t="s">
        <v>163</v>
      </c>
      <c r="B8" s="5" t="s">
        <v>2370</v>
      </c>
      <c r="D8" s="2" t="s">
        <v>62</v>
      </c>
      <c r="E8" s="2">
        <v>23.0</v>
      </c>
      <c r="F8" s="2">
        <v>7.0</v>
      </c>
    </row>
    <row r="9" ht="22.5" customHeight="1">
      <c r="A9" s="6" t="s">
        <v>976</v>
      </c>
      <c r="B9" s="5" t="s">
        <v>2370</v>
      </c>
      <c r="D9" s="2" t="s">
        <v>36</v>
      </c>
      <c r="E9" s="2">
        <v>2.0</v>
      </c>
      <c r="F9" s="2">
        <v>19.0</v>
      </c>
    </row>
    <row r="10" ht="22.5" customHeight="1">
      <c r="A10" s="6" t="s">
        <v>1074</v>
      </c>
      <c r="B10" s="5" t="s">
        <v>2370</v>
      </c>
      <c r="D10" s="2" t="s">
        <v>36</v>
      </c>
      <c r="E10" s="2">
        <v>0.0</v>
      </c>
      <c r="F10" s="2">
        <v>1.0</v>
      </c>
    </row>
    <row r="11" ht="22.5" customHeight="1">
      <c r="A11" s="6" t="s">
        <v>741</v>
      </c>
      <c r="B11" s="5" t="s">
        <v>2370</v>
      </c>
      <c r="D11" s="2" t="s">
        <v>24</v>
      </c>
      <c r="E11" s="2">
        <v>14.0</v>
      </c>
      <c r="F11" s="2">
        <v>99.0</v>
      </c>
    </row>
    <row r="12" ht="22.5" customHeight="1">
      <c r="A12" s="6" t="s">
        <v>586</v>
      </c>
      <c r="B12" s="5" t="s">
        <v>2370</v>
      </c>
      <c r="D12" s="2" t="s">
        <v>2386</v>
      </c>
      <c r="E12" s="2">
        <v>1.0</v>
      </c>
      <c r="F12" s="2">
        <v>7.0</v>
      </c>
    </row>
    <row r="13" ht="22.5" customHeight="1">
      <c r="A13" s="6" t="s">
        <v>573</v>
      </c>
      <c r="B13" s="5" t="s">
        <v>2370</v>
      </c>
      <c r="D13" s="2" t="s">
        <v>2387</v>
      </c>
      <c r="E13" s="2">
        <v>1.0</v>
      </c>
      <c r="F13" s="2">
        <v>0.0</v>
      </c>
    </row>
    <row r="14" ht="22.5" customHeight="1">
      <c r="A14" s="6" t="s">
        <v>379</v>
      </c>
      <c r="B14" s="5" t="s">
        <v>2370</v>
      </c>
      <c r="D14" s="2" t="s">
        <v>32</v>
      </c>
      <c r="E14" s="2">
        <v>11.0</v>
      </c>
      <c r="F14" s="2">
        <v>120.0</v>
      </c>
    </row>
    <row r="15" ht="22.5" customHeight="1">
      <c r="A15" s="6" t="s">
        <v>359</v>
      </c>
      <c r="B15" s="5" t="s">
        <v>2370</v>
      </c>
      <c r="D15" s="2" t="s">
        <v>32</v>
      </c>
      <c r="E15" s="2">
        <v>0.0</v>
      </c>
      <c r="F15" s="2">
        <v>1.0</v>
      </c>
    </row>
    <row r="16" ht="22.5" customHeight="1">
      <c r="A16" s="6" t="s">
        <v>37</v>
      </c>
      <c r="B16" s="5" t="s">
        <v>2370</v>
      </c>
      <c r="D16" s="2" t="s">
        <v>43</v>
      </c>
      <c r="E16" s="2">
        <v>5.0</v>
      </c>
      <c r="F16" s="2">
        <v>140.0</v>
      </c>
    </row>
    <row r="17" ht="22.5" customHeight="1">
      <c r="A17" s="6" t="s">
        <v>295</v>
      </c>
      <c r="B17" s="5" t="s">
        <v>2370</v>
      </c>
      <c r="D17" s="2" t="s">
        <v>43</v>
      </c>
      <c r="E17" s="2">
        <v>0.0</v>
      </c>
      <c r="F17" s="2">
        <v>1.0</v>
      </c>
    </row>
    <row r="18" ht="22.5" customHeight="1">
      <c r="A18" s="6" t="s">
        <v>339</v>
      </c>
      <c r="B18" s="5" t="s">
        <v>2370</v>
      </c>
      <c r="D18" s="2" t="s">
        <v>2377</v>
      </c>
      <c r="E18" s="2">
        <v>0.0</v>
      </c>
      <c r="F18" s="2">
        <v>2.0</v>
      </c>
    </row>
    <row r="19" ht="22.5" customHeight="1">
      <c r="A19" s="6" t="s">
        <v>345</v>
      </c>
      <c r="B19" s="5" t="s">
        <v>2370</v>
      </c>
      <c r="D19" s="2" t="s">
        <v>2378</v>
      </c>
      <c r="E19" s="2">
        <v>0.0</v>
      </c>
      <c r="F19" s="2">
        <v>3.0</v>
      </c>
    </row>
    <row r="20" ht="22.5" customHeight="1">
      <c r="A20" s="6" t="s">
        <v>182</v>
      </c>
      <c r="B20" s="5" t="s">
        <v>2370</v>
      </c>
      <c r="D20" s="2" t="s">
        <v>28</v>
      </c>
      <c r="E20" s="2">
        <v>1.0</v>
      </c>
      <c r="F20" s="2">
        <v>69.0</v>
      </c>
    </row>
    <row r="21" ht="22.5" customHeight="1">
      <c r="A21" s="6" t="s">
        <v>540</v>
      </c>
      <c r="B21" s="5" t="s">
        <v>58</v>
      </c>
      <c r="D21" s="2" t="s">
        <v>2394</v>
      </c>
      <c r="E21" s="2">
        <v>0.0</v>
      </c>
      <c r="F21" s="2">
        <v>1.0</v>
      </c>
    </row>
    <row r="22" ht="22.5" customHeight="1">
      <c r="A22" s="6" t="s">
        <v>755</v>
      </c>
      <c r="B22" s="5" t="s">
        <v>2370</v>
      </c>
      <c r="D22" s="2" t="s">
        <v>58</v>
      </c>
      <c r="E22" s="2">
        <v>1.0</v>
      </c>
      <c r="F22" s="2">
        <v>13.0</v>
      </c>
    </row>
    <row r="23" ht="22.5" customHeight="1">
      <c r="A23" s="6" t="s">
        <v>69</v>
      </c>
      <c r="B23" s="5" t="s">
        <v>2370</v>
      </c>
      <c r="D23" s="2" t="s">
        <v>67</v>
      </c>
      <c r="E23" s="2">
        <v>0.0</v>
      </c>
      <c r="F23" s="2">
        <v>12.0</v>
      </c>
    </row>
    <row r="24" ht="22.5" customHeight="1">
      <c r="A24" s="6" t="s">
        <v>271</v>
      </c>
      <c r="B24" s="5" t="s">
        <v>2370</v>
      </c>
      <c r="D24" s="2" t="s">
        <v>89</v>
      </c>
      <c r="E24" s="2">
        <v>5.0</v>
      </c>
      <c r="F24" s="2">
        <v>6.0</v>
      </c>
    </row>
    <row r="25" ht="22.5" customHeight="1">
      <c r="A25" s="6" t="s">
        <v>881</v>
      </c>
      <c r="B25" s="5" t="s">
        <v>2370</v>
      </c>
      <c r="D25" s="2" t="s">
        <v>127</v>
      </c>
      <c r="E25" s="2">
        <v>32.0</v>
      </c>
      <c r="F25" s="2">
        <v>5.0</v>
      </c>
    </row>
    <row r="26" ht="22.5" customHeight="1">
      <c r="A26" s="6" t="s">
        <v>915</v>
      </c>
      <c r="B26" s="5" t="s">
        <v>2370</v>
      </c>
      <c r="D26" s="2" t="s">
        <v>2395</v>
      </c>
      <c r="E26" s="2">
        <v>0.0</v>
      </c>
      <c r="F26" s="2">
        <v>1.0</v>
      </c>
    </row>
    <row r="27" ht="22.5" customHeight="1">
      <c r="A27" s="6" t="s">
        <v>1149</v>
      </c>
      <c r="B27" s="5" t="s">
        <v>2370</v>
      </c>
    </row>
    <row r="28" ht="22.5" customHeight="1">
      <c r="A28" s="6" t="s">
        <v>60</v>
      </c>
      <c r="B28" s="5" t="s">
        <v>2370</v>
      </c>
    </row>
    <row r="29" ht="22.5" customHeight="1">
      <c r="A29" s="6" t="s">
        <v>297</v>
      </c>
      <c r="B29" s="5" t="s">
        <v>2370</v>
      </c>
    </row>
    <row r="30" ht="22.5" customHeight="1">
      <c r="A30" s="6" t="s">
        <v>763</v>
      </c>
      <c r="B30" s="5" t="s">
        <v>58</v>
      </c>
    </row>
    <row r="31" ht="22.5" customHeight="1">
      <c r="A31" s="6" t="s">
        <v>33</v>
      </c>
      <c r="B31" s="5" t="s">
        <v>2370</v>
      </c>
    </row>
    <row r="32" ht="22.5" customHeight="1">
      <c r="A32" s="6" t="s">
        <v>1035</v>
      </c>
      <c r="B32" s="5" t="s">
        <v>58</v>
      </c>
    </row>
    <row r="33" ht="22.5" customHeight="1">
      <c r="A33" s="6" t="s">
        <v>469</v>
      </c>
      <c r="B33" s="5" t="s">
        <v>58</v>
      </c>
    </row>
    <row r="34" ht="22.5" customHeight="1">
      <c r="A34" s="6" t="s">
        <v>206</v>
      </c>
      <c r="B34" s="5" t="s">
        <v>58</v>
      </c>
    </row>
    <row r="35" ht="22.5" customHeight="1">
      <c r="A35" s="6" t="s">
        <v>244</v>
      </c>
      <c r="B35" s="5" t="s">
        <v>58</v>
      </c>
    </row>
    <row r="36" ht="22.5" customHeight="1">
      <c r="A36" s="6" t="s">
        <v>906</v>
      </c>
      <c r="B36" s="5" t="s">
        <v>58</v>
      </c>
    </row>
    <row r="37" ht="22.5" customHeight="1">
      <c r="A37" s="6" t="s">
        <v>1089</v>
      </c>
      <c r="B37" s="5" t="s">
        <v>58</v>
      </c>
    </row>
    <row r="38" ht="22.5" customHeight="1">
      <c r="A38" s="6" t="s">
        <v>528</v>
      </c>
      <c r="B38" s="5" t="s">
        <v>2370</v>
      </c>
    </row>
    <row r="39" ht="22.5" customHeight="1">
      <c r="A39" s="6" t="s">
        <v>19</v>
      </c>
      <c r="B39" s="53"/>
    </row>
    <row r="40" ht="22.5" customHeight="1">
      <c r="A40" s="6" t="s">
        <v>273</v>
      </c>
      <c r="B40" s="5" t="s">
        <v>2370</v>
      </c>
    </row>
    <row r="41" ht="22.5" customHeight="1">
      <c r="A41" s="6" t="s">
        <v>577</v>
      </c>
      <c r="B41" s="5" t="s">
        <v>2370</v>
      </c>
    </row>
    <row r="42" ht="22.5" customHeight="1">
      <c r="A42" s="6" t="s">
        <v>134</v>
      </c>
      <c r="B42" s="5" t="s">
        <v>58</v>
      </c>
    </row>
    <row r="43" ht="22.5" customHeight="1">
      <c r="A43" s="6" t="s">
        <v>547</v>
      </c>
      <c r="B43" s="5" t="s">
        <v>58</v>
      </c>
    </row>
    <row r="44" ht="22.5" customHeight="1">
      <c r="A44" s="6" t="s">
        <v>138</v>
      </c>
      <c r="B44" s="5" t="s">
        <v>58</v>
      </c>
    </row>
    <row r="45" ht="22.5" customHeight="1">
      <c r="A45" s="6" t="s">
        <v>77</v>
      </c>
      <c r="B45" s="5" t="s">
        <v>2370</v>
      </c>
    </row>
    <row r="46" ht="22.5" customHeight="1">
      <c r="A46" s="6" t="s">
        <v>1009</v>
      </c>
      <c r="B46" s="5" t="s">
        <v>58</v>
      </c>
    </row>
    <row r="47" ht="22.5" customHeight="1">
      <c r="A47" s="6" t="s">
        <v>542</v>
      </c>
      <c r="B47" s="5" t="s">
        <v>2370</v>
      </c>
    </row>
    <row r="48" ht="22.5" customHeight="1">
      <c r="A48" s="6" t="s">
        <v>1252</v>
      </c>
      <c r="B48" s="5" t="s">
        <v>58</v>
      </c>
    </row>
    <row r="49" ht="22.5" customHeight="1">
      <c r="A49" s="6" t="s">
        <v>233</v>
      </c>
      <c r="B49" s="5" t="s">
        <v>2370</v>
      </c>
    </row>
    <row r="50" ht="22.5" customHeight="1">
      <c r="A50" s="6" t="s">
        <v>759</v>
      </c>
      <c r="B50" s="5" t="s">
        <v>2370</v>
      </c>
    </row>
    <row r="51" ht="22.5" customHeight="1">
      <c r="A51" s="6" t="s">
        <v>1258</v>
      </c>
      <c r="B51" s="5" t="s">
        <v>58</v>
      </c>
    </row>
    <row r="52" ht="22.5" customHeight="1">
      <c r="A52" s="6" t="s">
        <v>220</v>
      </c>
      <c r="B52" s="5" t="s">
        <v>2370</v>
      </c>
    </row>
    <row r="53" ht="22.5" customHeight="1">
      <c r="A53" s="6" t="s">
        <v>74</v>
      </c>
      <c r="B53" s="5" t="s">
        <v>2370</v>
      </c>
    </row>
    <row r="54" ht="22.5" customHeight="1">
      <c r="A54" s="6" t="s">
        <v>687</v>
      </c>
      <c r="B54" s="5" t="s">
        <v>2370</v>
      </c>
    </row>
    <row r="55" ht="22.5" customHeight="1">
      <c r="A55" s="6" t="s">
        <v>26</v>
      </c>
      <c r="B55" s="5" t="s">
        <v>2370</v>
      </c>
    </row>
    <row r="56" ht="22.5" customHeight="1">
      <c r="A56" s="6" t="s">
        <v>288</v>
      </c>
      <c r="B56" s="5" t="s">
        <v>2370</v>
      </c>
    </row>
    <row r="57" ht="22.5" customHeight="1">
      <c r="A57" s="6" t="s">
        <v>663</v>
      </c>
      <c r="B57" s="5" t="s">
        <v>2370</v>
      </c>
    </row>
    <row r="58" ht="22.5" customHeight="1">
      <c r="A58" s="6" t="s">
        <v>178</v>
      </c>
      <c r="B58" s="5" t="s">
        <v>2370</v>
      </c>
    </row>
    <row r="59" ht="22.5" customHeight="1">
      <c r="A59" s="6" t="s">
        <v>123</v>
      </c>
      <c r="B59" s="5" t="s">
        <v>2370</v>
      </c>
    </row>
    <row r="60" ht="22.5" customHeight="1">
      <c r="A60" s="6" t="s">
        <v>414</v>
      </c>
      <c r="B60" s="5" t="s">
        <v>2370</v>
      </c>
    </row>
    <row r="61" ht="22.5" customHeight="1">
      <c r="A61" s="6" t="s">
        <v>143</v>
      </c>
      <c r="B61" s="5" t="s">
        <v>2370</v>
      </c>
    </row>
    <row r="62" ht="22.5" customHeight="1">
      <c r="A62" s="6" t="s">
        <v>594</v>
      </c>
      <c r="B62" s="5" t="s">
        <v>58</v>
      </c>
    </row>
    <row r="63" ht="22.5" customHeight="1">
      <c r="A63" s="6" t="s">
        <v>1263</v>
      </c>
      <c r="B63" s="5" t="s">
        <v>58</v>
      </c>
    </row>
    <row r="64" ht="22.5" customHeight="1">
      <c r="A64" s="6" t="s">
        <v>112</v>
      </c>
      <c r="B64" s="5" t="s">
        <v>2370</v>
      </c>
    </row>
    <row r="65" ht="22.5" customHeight="1">
      <c r="A65" s="6" t="s">
        <v>73</v>
      </c>
      <c r="B65" s="5" t="s">
        <v>2370</v>
      </c>
    </row>
    <row r="66" ht="22.5" customHeight="1">
      <c r="A66" s="6" t="s">
        <v>1152</v>
      </c>
      <c r="B66" s="5" t="s">
        <v>2370</v>
      </c>
    </row>
    <row r="67" ht="22.5" customHeight="1">
      <c r="A67" s="6" t="s">
        <v>946</v>
      </c>
      <c r="B67" s="5" t="s">
        <v>58</v>
      </c>
    </row>
    <row r="68" ht="22.5" customHeight="1">
      <c r="A68" s="6" t="s">
        <v>250</v>
      </c>
      <c r="B68" s="5" t="s">
        <v>2370</v>
      </c>
    </row>
    <row r="69" ht="22.5" customHeight="1">
      <c r="A69" s="6" t="s">
        <v>126</v>
      </c>
      <c r="B69" s="5" t="s">
        <v>58</v>
      </c>
    </row>
    <row r="70" ht="22.5" customHeight="1">
      <c r="A70" s="6" t="s">
        <v>202</v>
      </c>
      <c r="B70" s="5" t="s">
        <v>2370</v>
      </c>
    </row>
    <row r="71" ht="22.5" customHeight="1">
      <c r="A71" s="6" t="s">
        <v>92</v>
      </c>
      <c r="B71" s="5" t="s">
        <v>2370</v>
      </c>
    </row>
    <row r="72" ht="22.5" customHeight="1">
      <c r="A72" s="6" t="s">
        <v>1007</v>
      </c>
      <c r="B72" s="5" t="s">
        <v>2370</v>
      </c>
    </row>
    <row r="73" ht="22.5" customHeight="1">
      <c r="A73" s="6" t="s">
        <v>812</v>
      </c>
      <c r="B73" s="5" t="s">
        <v>2370</v>
      </c>
    </row>
    <row r="74" ht="22.5" customHeight="1">
      <c r="A74" s="6" t="s">
        <v>446</v>
      </c>
      <c r="B74" s="5" t="s">
        <v>58</v>
      </c>
    </row>
    <row r="75" ht="22.5" customHeight="1">
      <c r="A75" s="6" t="s">
        <v>301</v>
      </c>
      <c r="B75" s="5" t="s">
        <v>2370</v>
      </c>
    </row>
    <row r="76" ht="22.5" customHeight="1">
      <c r="A76" s="6" t="s">
        <v>110</v>
      </c>
      <c r="B76" s="5" t="s">
        <v>2370</v>
      </c>
    </row>
    <row r="77" ht="22.5" customHeight="1">
      <c r="A77" s="6" t="s">
        <v>774</v>
      </c>
      <c r="B77" s="5" t="s">
        <v>58</v>
      </c>
    </row>
    <row r="78" ht="22.5" customHeight="1">
      <c r="A78" s="6" t="s">
        <v>563</v>
      </c>
      <c r="B78" s="5" t="s">
        <v>2370</v>
      </c>
    </row>
    <row r="79" ht="22.5" customHeight="1">
      <c r="A79" s="6" t="s">
        <v>120</v>
      </c>
      <c r="B79" s="5" t="s">
        <v>2370</v>
      </c>
    </row>
    <row r="80" ht="22.5" customHeight="1">
      <c r="A80" s="6" t="s">
        <v>786</v>
      </c>
      <c r="B80" s="5" t="s">
        <v>58</v>
      </c>
    </row>
    <row r="81" ht="22.5" customHeight="1">
      <c r="A81" s="6" t="s">
        <v>144</v>
      </c>
      <c r="B81" s="5" t="s">
        <v>58</v>
      </c>
    </row>
    <row r="82" ht="22.5" customHeight="1">
      <c r="A82" s="6" t="s">
        <v>832</v>
      </c>
      <c r="B82" s="5" t="s">
        <v>58</v>
      </c>
    </row>
    <row r="83" ht="22.5" customHeight="1">
      <c r="A83" s="6" t="s">
        <v>1019</v>
      </c>
      <c r="B83" s="5" t="s">
        <v>2370</v>
      </c>
    </row>
    <row r="84" ht="22.5" customHeight="1">
      <c r="A84" s="6" t="s">
        <v>1120</v>
      </c>
      <c r="B84" s="5" t="s">
        <v>2370</v>
      </c>
    </row>
    <row r="85" ht="22.5" customHeight="1">
      <c r="A85" s="6" t="s">
        <v>1207</v>
      </c>
      <c r="B85" s="5" t="s">
        <v>2370</v>
      </c>
    </row>
    <row r="86" ht="22.5" customHeight="1">
      <c r="A86" s="6" t="s">
        <v>39</v>
      </c>
      <c r="B86" s="5" t="s">
        <v>58</v>
      </c>
    </row>
    <row r="87" ht="22.5" customHeight="1">
      <c r="A87" s="6" t="s">
        <v>1146</v>
      </c>
      <c r="B87" s="5" t="s">
        <v>2370</v>
      </c>
    </row>
    <row r="88" ht="22.5" customHeight="1">
      <c r="A88" s="6" t="s">
        <v>487</v>
      </c>
      <c r="B88" s="5" t="s">
        <v>2370</v>
      </c>
    </row>
    <row r="89" ht="22.5" customHeight="1">
      <c r="A89" s="6" t="s">
        <v>521</v>
      </c>
      <c r="B89" s="5" t="s">
        <v>2370</v>
      </c>
    </row>
    <row r="90" ht="22.5" customHeight="1">
      <c r="A90" s="6" t="s">
        <v>168</v>
      </c>
      <c r="B90" s="5" t="s">
        <v>2370</v>
      </c>
    </row>
    <row r="91" ht="22.5" customHeight="1">
      <c r="A91" s="6" t="s">
        <v>701</v>
      </c>
      <c r="B91" s="5" t="s">
        <v>2370</v>
      </c>
    </row>
    <row r="92" ht="22.5" customHeight="1">
      <c r="A92" s="6" t="s">
        <v>226</v>
      </c>
      <c r="B92" s="5" t="s">
        <v>2370</v>
      </c>
    </row>
    <row r="93" ht="22.5" customHeight="1">
      <c r="A93" s="6" t="s">
        <v>71</v>
      </c>
      <c r="B93" s="5" t="s">
        <v>58</v>
      </c>
    </row>
    <row r="94" ht="22.5" customHeight="1">
      <c r="A94" s="6" t="s">
        <v>1027</v>
      </c>
      <c r="B94" s="5" t="s">
        <v>58</v>
      </c>
    </row>
    <row r="95" ht="22.5" customHeight="1">
      <c r="A95" s="6" t="s">
        <v>31</v>
      </c>
      <c r="B95" s="5" t="s">
        <v>2370</v>
      </c>
    </row>
    <row r="96" ht="22.5" customHeight="1">
      <c r="A96" s="6" t="s">
        <v>131</v>
      </c>
      <c r="B96" s="5" t="s">
        <v>2370</v>
      </c>
    </row>
    <row r="97" ht="22.5" customHeight="1">
      <c r="A97" s="6" t="s">
        <v>517</v>
      </c>
      <c r="B97" s="5" t="s">
        <v>58</v>
      </c>
    </row>
    <row r="98" ht="22.5" customHeight="1">
      <c r="A98" s="6" t="s">
        <v>48</v>
      </c>
      <c r="B98" s="5" t="s">
        <v>2370</v>
      </c>
    </row>
    <row r="99" ht="22.5" customHeight="1">
      <c r="A99" s="6" t="s">
        <v>373</v>
      </c>
      <c r="B99" s="5" t="s">
        <v>58</v>
      </c>
    </row>
    <row r="100" ht="22.5" customHeight="1">
      <c r="A100" s="6" t="s">
        <v>1154</v>
      </c>
      <c r="B100" s="5" t="s">
        <v>2370</v>
      </c>
    </row>
    <row r="101" ht="22.5" customHeight="1">
      <c r="A101" s="6" t="s">
        <v>222</v>
      </c>
      <c r="B101" s="5" t="s">
        <v>2370</v>
      </c>
    </row>
    <row r="102" ht="22.5" customHeight="1">
      <c r="A102" s="6" t="s">
        <v>551</v>
      </c>
      <c r="B102" s="5" t="s">
        <v>2370</v>
      </c>
    </row>
    <row r="103" ht="22.5" customHeight="1">
      <c r="A103" s="6" t="s">
        <v>314</v>
      </c>
      <c r="B103" s="5" t="s">
        <v>58</v>
      </c>
    </row>
    <row r="104" ht="22.5" customHeight="1">
      <c r="A104" s="6" t="s">
        <v>665</v>
      </c>
      <c r="B104" s="5" t="s">
        <v>2370</v>
      </c>
    </row>
    <row r="105" ht="22.5" customHeight="1">
      <c r="A105" s="6" t="s">
        <v>66</v>
      </c>
      <c r="B105" s="5" t="s">
        <v>2370</v>
      </c>
    </row>
    <row r="106" ht="22.5" customHeight="1">
      <c r="A106" s="6" t="s">
        <v>728</v>
      </c>
      <c r="B106" s="5" t="s">
        <v>58</v>
      </c>
    </row>
    <row r="107" ht="22.5" customHeight="1">
      <c r="A107" s="6" t="s">
        <v>720</v>
      </c>
      <c r="B107" s="5" t="s">
        <v>2370</v>
      </c>
    </row>
    <row r="108" ht="22.5" customHeight="1">
      <c r="A108" s="6" t="s">
        <v>157</v>
      </c>
      <c r="B108" s="5" t="s">
        <v>58</v>
      </c>
    </row>
    <row r="109" ht="22.5" customHeight="1">
      <c r="A109" s="6" t="s">
        <v>710</v>
      </c>
      <c r="B109" s="5" t="s">
        <v>2370</v>
      </c>
    </row>
    <row r="110" ht="22.5" customHeight="1">
      <c r="A110" s="6" t="s">
        <v>401</v>
      </c>
      <c r="B110" s="5" t="s">
        <v>2370</v>
      </c>
    </row>
    <row r="111" ht="22.5" customHeight="1">
      <c r="A111" s="6" t="s">
        <v>343</v>
      </c>
      <c r="B111" s="5" t="s">
        <v>2370</v>
      </c>
    </row>
    <row r="112" ht="22.5" customHeight="1">
      <c r="A112" s="6" t="s">
        <v>863</v>
      </c>
      <c r="B112" s="5" t="s">
        <v>58</v>
      </c>
    </row>
    <row r="113" ht="22.5" customHeight="1">
      <c r="A113" s="6" t="s">
        <v>820</v>
      </c>
      <c r="B113" s="5" t="s">
        <v>2370</v>
      </c>
    </row>
    <row r="114" ht="22.5" customHeight="1">
      <c r="A114" s="6" t="s">
        <v>1165</v>
      </c>
      <c r="B114" s="5" t="s">
        <v>2370</v>
      </c>
    </row>
    <row r="115" ht="22.5" customHeight="1">
      <c r="A115" s="6" t="s">
        <v>75</v>
      </c>
      <c r="B115" s="5" t="s">
        <v>58</v>
      </c>
    </row>
    <row r="116" ht="22.5" customHeight="1">
      <c r="A116" s="6" t="s">
        <v>1157</v>
      </c>
      <c r="B116" s="5" t="s">
        <v>58</v>
      </c>
    </row>
    <row r="117" ht="22.5" customHeight="1">
      <c r="A117" s="6" t="s">
        <v>801</v>
      </c>
      <c r="B117" s="5" t="s">
        <v>2370</v>
      </c>
    </row>
    <row r="118" ht="22.5" customHeight="1">
      <c r="A118" s="6" t="s">
        <v>633</v>
      </c>
      <c r="B118" s="5" t="s">
        <v>2370</v>
      </c>
    </row>
    <row r="119" ht="22.5" customHeight="1">
      <c r="A119" s="6" t="s">
        <v>419</v>
      </c>
      <c r="B119" s="5" t="s">
        <v>2370</v>
      </c>
    </row>
    <row r="120" ht="22.5" customHeight="1">
      <c r="A120" s="6" t="s">
        <v>68</v>
      </c>
      <c r="B120" s="5" t="s">
        <v>2370</v>
      </c>
    </row>
    <row r="121" ht="22.5" customHeight="1">
      <c r="A121" s="6" t="s">
        <v>122</v>
      </c>
      <c r="B121" s="5" t="s">
        <v>2370</v>
      </c>
    </row>
    <row r="122" ht="22.5" customHeight="1">
      <c r="A122" s="6" t="s">
        <v>669</v>
      </c>
      <c r="B122" s="5" t="s">
        <v>2370</v>
      </c>
    </row>
    <row r="123" ht="22.5" customHeight="1">
      <c r="A123" s="6" t="s">
        <v>990</v>
      </c>
      <c r="B123" s="5" t="s">
        <v>2370</v>
      </c>
    </row>
    <row r="124" ht="22.5" customHeight="1">
      <c r="A124" s="6" t="s">
        <v>308</v>
      </c>
      <c r="B124" s="5" t="s">
        <v>2370</v>
      </c>
    </row>
    <row r="125" ht="22.5" customHeight="1">
      <c r="A125" s="6" t="s">
        <v>416</v>
      </c>
      <c r="B125" s="5" t="s">
        <v>2370</v>
      </c>
    </row>
    <row r="126" ht="22.5" customHeight="1">
      <c r="A126" s="6" t="s">
        <v>454</v>
      </c>
      <c r="B126" s="5" t="s">
        <v>58</v>
      </c>
    </row>
    <row r="127" ht="22.5" customHeight="1">
      <c r="A127" s="6" t="s">
        <v>871</v>
      </c>
      <c r="B127" s="5" t="s">
        <v>58</v>
      </c>
    </row>
    <row r="128" ht="22.5" customHeight="1">
      <c r="A128" s="6" t="s">
        <v>705</v>
      </c>
      <c r="B128" s="5" t="s">
        <v>2370</v>
      </c>
    </row>
    <row r="129" ht="22.5" customHeight="1">
      <c r="A129" s="6" t="s">
        <v>380</v>
      </c>
      <c r="B129" s="5" t="s">
        <v>2370</v>
      </c>
    </row>
    <row r="130" ht="22.5" customHeight="1">
      <c r="A130" s="6" t="s">
        <v>332</v>
      </c>
      <c r="B130" s="5" t="s">
        <v>58</v>
      </c>
    </row>
    <row r="131" ht="22.5" customHeight="1">
      <c r="A131" s="6" t="s">
        <v>508</v>
      </c>
      <c r="B131" s="5" t="s">
        <v>2370</v>
      </c>
    </row>
    <row r="132" ht="22.5" customHeight="1">
      <c r="A132" s="6" t="s">
        <v>368</v>
      </c>
      <c r="B132" s="5" t="s">
        <v>58</v>
      </c>
    </row>
    <row r="133" ht="22.5" customHeight="1">
      <c r="A133" s="6" t="s">
        <v>103</v>
      </c>
      <c r="B133" s="5" t="s">
        <v>58</v>
      </c>
    </row>
    <row r="134" ht="22.5" customHeight="1">
      <c r="A134" s="6" t="s">
        <v>193</v>
      </c>
      <c r="B134" s="5" t="s">
        <v>2370</v>
      </c>
    </row>
    <row r="135" ht="22.5" customHeight="1">
      <c r="A135" s="6" t="s">
        <v>153</v>
      </c>
      <c r="B135" s="5" t="s">
        <v>58</v>
      </c>
    </row>
    <row r="136" ht="22.5" customHeight="1">
      <c r="A136" s="6" t="s">
        <v>237</v>
      </c>
      <c r="B136" s="5" t="s">
        <v>2370</v>
      </c>
    </row>
    <row r="137" ht="22.5" customHeight="1">
      <c r="A137" s="6" t="s">
        <v>251</v>
      </c>
      <c r="B137" s="5" t="s">
        <v>2370</v>
      </c>
    </row>
    <row r="138" ht="22.5" customHeight="1">
      <c r="A138" s="6" t="s">
        <v>809</v>
      </c>
      <c r="B138" s="5" t="s">
        <v>58</v>
      </c>
    </row>
    <row r="139" ht="22.5" customHeight="1">
      <c r="A139" s="6" t="s">
        <v>389</v>
      </c>
      <c r="B139" s="5" t="s">
        <v>58</v>
      </c>
    </row>
    <row r="140" ht="22.5" customHeight="1">
      <c r="A140" s="6" t="s">
        <v>475</v>
      </c>
      <c r="B140" s="5" t="s">
        <v>58</v>
      </c>
    </row>
    <row r="141" ht="22.5" customHeight="1">
      <c r="A141" s="6" t="s">
        <v>1079</v>
      </c>
      <c r="B141" s="5" t="s">
        <v>58</v>
      </c>
    </row>
    <row r="142" ht="22.5" customHeight="1">
      <c r="A142" s="6" t="s">
        <v>830</v>
      </c>
      <c r="B142" s="5" t="s">
        <v>2370</v>
      </c>
    </row>
    <row r="143" ht="22.5" customHeight="1">
      <c r="A143" s="6" t="s">
        <v>231</v>
      </c>
      <c r="B143" s="5" t="s">
        <v>2370</v>
      </c>
    </row>
    <row r="144" ht="22.5" customHeight="1">
      <c r="A144" s="6" t="s">
        <v>1137</v>
      </c>
      <c r="B144" s="5" t="s">
        <v>2370</v>
      </c>
    </row>
    <row r="145" ht="22.5" customHeight="1">
      <c r="A145" s="6" t="s">
        <v>707</v>
      </c>
      <c r="B145" s="5" t="s">
        <v>2370</v>
      </c>
    </row>
    <row r="146" ht="22.5" customHeight="1">
      <c r="A146" s="6" t="s">
        <v>85</v>
      </c>
      <c r="B146" s="5" t="s">
        <v>2370</v>
      </c>
    </row>
    <row r="147" ht="22.5" customHeight="1">
      <c r="A147" s="6" t="s">
        <v>299</v>
      </c>
      <c r="B147" s="5" t="s">
        <v>2370</v>
      </c>
    </row>
    <row r="148" ht="22.5" customHeight="1">
      <c r="A148" s="6" t="s">
        <v>506</v>
      </c>
      <c r="B148" s="5" t="s">
        <v>58</v>
      </c>
    </row>
    <row r="149" ht="22.5" customHeight="1">
      <c r="A149" s="6" t="s">
        <v>129</v>
      </c>
      <c r="B149" s="5" t="s">
        <v>58</v>
      </c>
    </row>
    <row r="150" ht="22.5" customHeight="1">
      <c r="A150" s="6" t="s">
        <v>950</v>
      </c>
      <c r="B150" s="5" t="s">
        <v>2370</v>
      </c>
    </row>
    <row r="151" ht="22.5" customHeight="1">
      <c r="A151" s="6" t="s">
        <v>1022</v>
      </c>
      <c r="B151" s="5" t="s">
        <v>2370</v>
      </c>
    </row>
    <row r="152" ht="22.5" customHeight="1">
      <c r="A152" s="6" t="s">
        <v>100</v>
      </c>
      <c r="B152" s="5" t="s">
        <v>2370</v>
      </c>
    </row>
    <row r="153" ht="22.5" customHeight="1">
      <c r="A153" s="6" t="s">
        <v>432</v>
      </c>
      <c r="B153" s="5" t="s">
        <v>2370</v>
      </c>
    </row>
    <row r="154" ht="22.5" customHeight="1">
      <c r="A154" s="6" t="s">
        <v>160</v>
      </c>
      <c r="B154" s="5" t="s">
        <v>2370</v>
      </c>
    </row>
    <row r="155" ht="22.5" customHeight="1">
      <c r="A155" s="6" t="s">
        <v>1247</v>
      </c>
      <c r="B155" s="5" t="s">
        <v>2370</v>
      </c>
    </row>
    <row r="156" ht="22.5" customHeight="1">
      <c r="A156" s="6" t="s">
        <v>602</v>
      </c>
      <c r="B156" s="5" t="s">
        <v>2370</v>
      </c>
    </row>
    <row r="157" ht="22.5" customHeight="1">
      <c r="A157" s="6" t="s">
        <v>612</v>
      </c>
      <c r="B157" s="5" t="s">
        <v>2370</v>
      </c>
    </row>
    <row r="158" ht="22.5" customHeight="1">
      <c r="A158" s="6" t="s">
        <v>170</v>
      </c>
      <c r="B158" s="5" t="s">
        <v>2370</v>
      </c>
    </row>
    <row r="159" ht="22.5" customHeight="1">
      <c r="A159" s="6" t="s">
        <v>962</v>
      </c>
      <c r="B159" s="5" t="s">
        <v>58</v>
      </c>
    </row>
    <row r="160" ht="22.5" customHeight="1">
      <c r="A160" s="6" t="s">
        <v>1179</v>
      </c>
      <c r="B160" s="5" t="s">
        <v>2370</v>
      </c>
    </row>
    <row r="161" ht="22.5" customHeight="1">
      <c r="A161" s="6" t="s">
        <v>264</v>
      </c>
      <c r="B161" s="5" t="s">
        <v>2370</v>
      </c>
    </row>
    <row r="162" ht="22.5" customHeight="1">
      <c r="A162" s="6" t="s">
        <v>276</v>
      </c>
      <c r="B162" s="5" t="s">
        <v>2370</v>
      </c>
    </row>
    <row r="163" ht="22.5" customHeight="1">
      <c r="A163" s="6" t="s">
        <v>1171</v>
      </c>
      <c r="B163" s="5" t="s">
        <v>2370</v>
      </c>
    </row>
    <row r="164" ht="22.5" customHeight="1">
      <c r="A164" s="6" t="s">
        <v>439</v>
      </c>
      <c r="B164" s="5" t="s">
        <v>58</v>
      </c>
    </row>
    <row r="165" ht="22.5" customHeight="1">
      <c r="A165" s="6" t="s">
        <v>107</v>
      </c>
      <c r="B165" s="5" t="s">
        <v>2370</v>
      </c>
    </row>
    <row r="166" ht="22.5" customHeight="1">
      <c r="A166" s="6" t="s">
        <v>70</v>
      </c>
      <c r="B166" s="5" t="s">
        <v>2370</v>
      </c>
    </row>
    <row r="167" ht="22.5" customHeight="1">
      <c r="A167" s="6" t="s">
        <v>929</v>
      </c>
      <c r="B167" s="5" t="s">
        <v>2370</v>
      </c>
    </row>
    <row r="168" ht="22.5" customHeight="1">
      <c r="A168" s="6" t="s">
        <v>98</v>
      </c>
      <c r="B168" s="5" t="s">
        <v>2370</v>
      </c>
    </row>
    <row r="169" ht="22.5" customHeight="1">
      <c r="A169" s="6" t="s">
        <v>284</v>
      </c>
      <c r="B169" s="5" t="s">
        <v>58</v>
      </c>
    </row>
    <row r="170" ht="22.5" customHeight="1">
      <c r="A170" s="6" t="s">
        <v>403</v>
      </c>
      <c r="B170" s="5" t="s">
        <v>2370</v>
      </c>
    </row>
    <row r="171" ht="22.5" customHeight="1">
      <c r="A171" s="6" t="s">
        <v>1163</v>
      </c>
      <c r="B171" s="5" t="s">
        <v>2370</v>
      </c>
    </row>
    <row r="172" ht="22.5" customHeight="1">
      <c r="A172" s="6" t="s">
        <v>579</v>
      </c>
      <c r="B172" s="5" t="s">
        <v>2370</v>
      </c>
    </row>
    <row r="173" ht="22.5" customHeight="1">
      <c r="A173" s="6" t="s">
        <v>558</v>
      </c>
      <c r="B173" s="5" t="s">
        <v>58</v>
      </c>
    </row>
    <row r="174" ht="22.5" customHeight="1">
      <c r="A174" s="6" t="s">
        <v>617</v>
      </c>
      <c r="B174" s="5" t="s">
        <v>58</v>
      </c>
    </row>
    <row r="175" ht="22.5" customHeight="1">
      <c r="A175" s="6" t="s">
        <v>198</v>
      </c>
      <c r="B175" s="5" t="s">
        <v>58</v>
      </c>
    </row>
    <row r="176" ht="22.5" customHeight="1">
      <c r="A176" s="6" t="s">
        <v>142</v>
      </c>
      <c r="B176" s="5" t="s">
        <v>58</v>
      </c>
    </row>
    <row r="177" ht="22.5" customHeight="1">
      <c r="A177" s="6" t="s">
        <v>101</v>
      </c>
      <c r="B177" s="5" t="s">
        <v>2370</v>
      </c>
    </row>
    <row r="178" ht="22.5" customHeight="1">
      <c r="A178" s="6" t="s">
        <v>628</v>
      </c>
      <c r="B178" s="5" t="s">
        <v>2370</v>
      </c>
    </row>
    <row r="179" ht="22.5" customHeight="1">
      <c r="A179" s="6" t="s">
        <v>1049</v>
      </c>
      <c r="B179" s="5" t="s">
        <v>2370</v>
      </c>
    </row>
    <row r="180" ht="22.5" customHeight="1">
      <c r="A180" s="6" t="s">
        <v>726</v>
      </c>
      <c r="B180" s="5" t="s">
        <v>2370</v>
      </c>
    </row>
    <row r="181" ht="22.5" customHeight="1">
      <c r="A181" s="6" t="s">
        <v>268</v>
      </c>
      <c r="B181" s="5" t="s">
        <v>58</v>
      </c>
    </row>
    <row r="182" ht="22.5" customHeight="1">
      <c r="A182" s="6" t="s">
        <v>533</v>
      </c>
      <c r="B182" s="5" t="s">
        <v>2370</v>
      </c>
    </row>
    <row r="183" ht="22.5" customHeight="1">
      <c r="A183" s="6" t="s">
        <v>575</v>
      </c>
      <c r="B183" s="5" t="s">
        <v>58</v>
      </c>
    </row>
    <row r="184" ht="22.5" customHeight="1">
      <c r="A184" s="6" t="s">
        <v>56</v>
      </c>
      <c r="B184" s="5" t="s">
        <v>2370</v>
      </c>
    </row>
    <row r="185" ht="22.5" customHeight="1">
      <c r="A185" s="6" t="s">
        <v>341</v>
      </c>
      <c r="B185" s="5" t="s">
        <v>2370</v>
      </c>
    </row>
    <row r="186" ht="22.5" customHeight="1">
      <c r="A186" s="6" t="s">
        <v>1256</v>
      </c>
      <c r="B186" s="5" t="s">
        <v>2370</v>
      </c>
    </row>
    <row r="187" ht="22.5" customHeight="1">
      <c r="A187" s="6" t="s">
        <v>583</v>
      </c>
      <c r="B187" s="5" t="s">
        <v>2370</v>
      </c>
    </row>
    <row r="188" ht="22.5" customHeight="1">
      <c r="A188" s="6" t="s">
        <v>748</v>
      </c>
      <c r="B188" s="5" t="s">
        <v>2370</v>
      </c>
    </row>
    <row r="189" ht="22.5" customHeight="1">
      <c r="A189" s="6" t="s">
        <v>944</v>
      </c>
      <c r="B189" s="5" t="s">
        <v>2370</v>
      </c>
    </row>
    <row r="190" ht="22.5" customHeight="1">
      <c r="A190" s="6" t="s">
        <v>464</v>
      </c>
      <c r="B190" s="5" t="s">
        <v>2370</v>
      </c>
    </row>
    <row r="191" ht="22.5" customHeight="1">
      <c r="A191" s="6" t="s">
        <v>94</v>
      </c>
      <c r="B191" s="5" t="s">
        <v>2370</v>
      </c>
    </row>
    <row r="192" ht="22.5" customHeight="1">
      <c r="A192" s="6" t="s">
        <v>679</v>
      </c>
      <c r="B192" s="5" t="s">
        <v>2370</v>
      </c>
    </row>
    <row r="193" ht="22.5" customHeight="1">
      <c r="A193" s="6" t="s">
        <v>818</v>
      </c>
      <c r="B193" s="5" t="s">
        <v>2370</v>
      </c>
    </row>
    <row r="194" ht="22.5" customHeight="1">
      <c r="A194" s="6" t="s">
        <v>545</v>
      </c>
      <c r="B194" s="5" t="s">
        <v>2370</v>
      </c>
    </row>
    <row r="195" ht="22.5" customHeight="1">
      <c r="A195" s="6" t="s">
        <v>816</v>
      </c>
      <c r="B195" s="5" t="s">
        <v>2370</v>
      </c>
    </row>
    <row r="196" ht="22.5" customHeight="1">
      <c r="A196" s="6" t="s">
        <v>849</v>
      </c>
      <c r="B196" s="5" t="s">
        <v>2370</v>
      </c>
    </row>
    <row r="197" ht="22.5" customHeight="1">
      <c r="A197" s="6" t="s">
        <v>1131</v>
      </c>
      <c r="B197" s="5" t="s">
        <v>58</v>
      </c>
    </row>
    <row r="198" ht="22.5" customHeight="1">
      <c r="A198" s="6" t="s">
        <v>771</v>
      </c>
      <c r="B198" s="5" t="s">
        <v>2370</v>
      </c>
    </row>
    <row r="199" ht="22.5" customHeight="1">
      <c r="A199" s="6" t="s">
        <v>671</v>
      </c>
      <c r="B199" s="5" t="s">
        <v>2370</v>
      </c>
    </row>
    <row r="200" ht="22.5" customHeight="1">
      <c r="A200" s="6" t="s">
        <v>436</v>
      </c>
      <c r="B200" s="5" t="s">
        <v>58</v>
      </c>
    </row>
    <row r="201" ht="22.5" customHeight="1">
      <c r="A201" s="6" t="s">
        <v>256</v>
      </c>
      <c r="B201" s="5" t="s">
        <v>58</v>
      </c>
    </row>
    <row r="202" ht="22.5" customHeight="1">
      <c r="A202" s="6" t="s">
        <v>311</v>
      </c>
      <c r="B202" s="5" t="s">
        <v>58</v>
      </c>
    </row>
    <row r="203" ht="22.5" customHeight="1">
      <c r="A203" s="6" t="s">
        <v>34</v>
      </c>
      <c r="B203" s="5" t="s">
        <v>2370</v>
      </c>
    </row>
    <row r="204" ht="22.5" customHeight="1">
      <c r="A204" s="6" t="s">
        <v>864</v>
      </c>
      <c r="B204" s="5" t="s">
        <v>2370</v>
      </c>
    </row>
    <row r="205" ht="22.5" customHeight="1">
      <c r="A205" s="6" t="s">
        <v>1066</v>
      </c>
      <c r="B205" s="5" t="s">
        <v>2370</v>
      </c>
    </row>
    <row r="206" ht="22.5" customHeight="1">
      <c r="A206" s="6" t="s">
        <v>513</v>
      </c>
      <c r="B206" s="5" t="s">
        <v>58</v>
      </c>
    </row>
    <row r="207" ht="22.5" customHeight="1">
      <c r="A207" s="6" t="s">
        <v>460</v>
      </c>
      <c r="B207" s="5" t="s">
        <v>2370</v>
      </c>
    </row>
    <row r="208" ht="22.5" customHeight="1">
      <c r="A208" s="6" t="s">
        <v>994</v>
      </c>
      <c r="B208" s="5" t="s">
        <v>2370</v>
      </c>
    </row>
    <row r="209" ht="22.5" customHeight="1">
      <c r="A209" s="6" t="s">
        <v>180</v>
      </c>
      <c r="B209" s="5" t="s">
        <v>58</v>
      </c>
    </row>
    <row r="210" ht="22.5" customHeight="1">
      <c r="A210" s="6" t="s">
        <v>909</v>
      </c>
      <c r="B210" s="5" t="s">
        <v>58</v>
      </c>
    </row>
    <row r="211" ht="22.5" customHeight="1">
      <c r="A211" s="6" t="s">
        <v>948</v>
      </c>
      <c r="B211" s="5" t="s">
        <v>2370</v>
      </c>
    </row>
    <row r="212" ht="22.5" customHeight="1">
      <c r="A212" s="6" t="s">
        <v>622</v>
      </c>
      <c r="B212" s="5" t="s">
        <v>2370</v>
      </c>
    </row>
    <row r="213" ht="22.5" customHeight="1">
      <c r="A213" s="6" t="s">
        <v>1174</v>
      </c>
      <c r="B213" s="5" t="s">
        <v>58</v>
      </c>
    </row>
    <row r="214" ht="22.5" customHeight="1">
      <c r="A214" s="6" t="s">
        <v>35</v>
      </c>
      <c r="B214" s="5" t="s">
        <v>2370</v>
      </c>
    </row>
    <row r="215" ht="22.5" customHeight="1">
      <c r="A215" s="6" t="s">
        <v>136</v>
      </c>
      <c r="B215" s="5" t="s">
        <v>2370</v>
      </c>
    </row>
    <row r="216" ht="22.5" customHeight="1">
      <c r="A216" s="6" t="s">
        <v>890</v>
      </c>
      <c r="B216" s="5" t="s">
        <v>2370</v>
      </c>
    </row>
    <row r="217" ht="22.5" customHeight="1">
      <c r="A217" s="6" t="s">
        <v>140</v>
      </c>
      <c r="B217" s="5" t="s">
        <v>58</v>
      </c>
    </row>
    <row r="218" ht="22.5" customHeight="1">
      <c r="A218" s="6" t="s">
        <v>1268</v>
      </c>
      <c r="B218" s="5" t="s">
        <v>2370</v>
      </c>
    </row>
    <row r="219" ht="22.5" customHeight="1">
      <c r="A219" s="6" t="s">
        <v>30</v>
      </c>
      <c r="B219" s="5" t="s">
        <v>2370</v>
      </c>
    </row>
    <row r="220" ht="22.5" customHeight="1">
      <c r="A220" s="6" t="s">
        <v>493</v>
      </c>
      <c r="B220" s="5" t="s">
        <v>2370</v>
      </c>
    </row>
    <row r="221" ht="22.5" customHeight="1">
      <c r="A221" s="6" t="s">
        <v>102</v>
      </c>
      <c r="B221" s="5" t="s">
        <v>2370</v>
      </c>
    </row>
    <row r="222" ht="22.5" customHeight="1">
      <c r="A222" s="6" t="s">
        <v>412</v>
      </c>
      <c r="B222" s="5" t="s">
        <v>58</v>
      </c>
    </row>
    <row r="223" ht="22.5" customHeight="1">
      <c r="A223" s="6" t="s">
        <v>330</v>
      </c>
      <c r="B223" s="5" t="s">
        <v>2370</v>
      </c>
    </row>
    <row r="224" ht="22.5" customHeight="1">
      <c r="A224" s="6" t="s">
        <v>211</v>
      </c>
      <c r="B224" s="5" t="s">
        <v>2370</v>
      </c>
    </row>
    <row r="225" ht="22.5" customHeight="1">
      <c r="A225" s="6" t="s">
        <v>777</v>
      </c>
      <c r="B225" s="5" t="s">
        <v>2370</v>
      </c>
    </row>
    <row r="226" ht="22.5" customHeight="1">
      <c r="A226" s="6" t="s">
        <v>822</v>
      </c>
      <c r="B226" s="5" t="s">
        <v>2370</v>
      </c>
    </row>
    <row r="227" ht="22.5" customHeight="1">
      <c r="A227" s="6" t="s">
        <v>334</v>
      </c>
      <c r="B227" s="5" t="s">
        <v>2370</v>
      </c>
    </row>
    <row r="228" ht="22.5" customHeight="1">
      <c r="A228" s="6" t="s">
        <v>689</v>
      </c>
      <c r="B228" s="5" t="s">
        <v>2370</v>
      </c>
    </row>
    <row r="229" ht="22.5" customHeight="1">
      <c r="A229" s="6" t="s">
        <v>239</v>
      </c>
      <c r="B229" s="5" t="s">
        <v>2370</v>
      </c>
    </row>
    <row r="230" ht="22.5" customHeight="1">
      <c r="A230" s="6" t="s">
        <v>1160</v>
      </c>
      <c r="B230" s="5" t="s">
        <v>2370</v>
      </c>
    </row>
    <row r="231" ht="22.5" customHeight="1">
      <c r="A231" s="6" t="s">
        <v>262</v>
      </c>
      <c r="B231" s="5" t="s">
        <v>2370</v>
      </c>
    </row>
    <row r="232" ht="22.5" customHeight="1">
      <c r="A232" s="6" t="s">
        <v>426</v>
      </c>
      <c r="B232" s="5" t="s">
        <v>58</v>
      </c>
    </row>
    <row r="233" ht="22.5" customHeight="1">
      <c r="A233" s="6" t="s">
        <v>606</v>
      </c>
      <c r="B233" s="5" t="s">
        <v>2370</v>
      </c>
    </row>
    <row r="234" ht="22.5" customHeight="1">
      <c r="A234" s="6" t="s">
        <v>978</v>
      </c>
      <c r="B234" s="5" t="s">
        <v>2370</v>
      </c>
    </row>
    <row r="235" ht="22.5" customHeight="1">
      <c r="A235" s="6" t="s">
        <v>598</v>
      </c>
      <c r="B235" s="5" t="s">
        <v>2370</v>
      </c>
    </row>
    <row r="236" ht="22.5" customHeight="1">
      <c r="A236" s="6" t="s">
        <v>709</v>
      </c>
      <c r="B236" s="5" t="s">
        <v>2370</v>
      </c>
    </row>
    <row r="237" ht="22.5" customHeight="1">
      <c r="A237" s="6" t="s">
        <v>934</v>
      </c>
      <c r="B237" s="5" t="s">
        <v>58</v>
      </c>
    </row>
    <row r="238" ht="22.5" customHeight="1">
      <c r="A238" s="6" t="s">
        <v>248</v>
      </c>
      <c r="B238" s="5" t="s">
        <v>58</v>
      </c>
    </row>
    <row r="239" ht="22.5" customHeight="1">
      <c r="A239" s="6" t="s">
        <v>850</v>
      </c>
      <c r="B239" s="5" t="s">
        <v>58</v>
      </c>
    </row>
    <row r="240" ht="22.5" customHeight="1">
      <c r="A240" s="6" t="s">
        <v>376</v>
      </c>
      <c r="B240" s="5" t="s">
        <v>58</v>
      </c>
    </row>
    <row r="241" ht="22.5" customHeight="1">
      <c r="A241" s="6" t="s">
        <v>150</v>
      </c>
      <c r="B241" s="5" t="s">
        <v>2370</v>
      </c>
    </row>
    <row r="242" ht="22.5" customHeight="1">
      <c r="A242" s="6" t="s">
        <v>1210</v>
      </c>
      <c r="B242" s="5" t="s">
        <v>2370</v>
      </c>
    </row>
    <row r="243" ht="22.5" customHeight="1">
      <c r="A243" s="6" t="s">
        <v>526</v>
      </c>
      <c r="B243" s="5" t="s">
        <v>2370</v>
      </c>
    </row>
    <row r="244" ht="22.5" customHeight="1">
      <c r="A244" s="6" t="s">
        <v>452</v>
      </c>
      <c r="B244" s="5" t="s">
        <v>2370</v>
      </c>
    </row>
    <row r="245" ht="22.5" customHeight="1">
      <c r="A245" s="6" t="s">
        <v>845</v>
      </c>
      <c r="B245" s="5" t="s">
        <v>58</v>
      </c>
    </row>
    <row r="246" ht="22.5" customHeight="1">
      <c r="A246" s="6" t="s">
        <v>1204</v>
      </c>
      <c r="B246" s="5" t="s">
        <v>2370</v>
      </c>
    </row>
    <row r="247" ht="22.5" customHeight="1">
      <c r="A247" s="6" t="s">
        <v>659</v>
      </c>
      <c r="B247" s="5" t="s">
        <v>58</v>
      </c>
    </row>
    <row r="248" ht="22.5" customHeight="1">
      <c r="A248" s="6" t="s">
        <v>549</v>
      </c>
      <c r="B248" s="5" t="s">
        <v>58</v>
      </c>
    </row>
    <row r="249" ht="22.5" customHeight="1">
      <c r="A249" s="6" t="s">
        <v>361</v>
      </c>
      <c r="B249" s="5" t="s">
        <v>2370</v>
      </c>
    </row>
    <row r="250" ht="22.5" customHeight="1">
      <c r="A250" s="6" t="s">
        <v>1095</v>
      </c>
      <c r="B250" s="5" t="s">
        <v>2370</v>
      </c>
    </row>
    <row r="251" ht="22.5" customHeight="1">
      <c r="A251" s="6" t="s">
        <v>519</v>
      </c>
      <c r="B251" s="5" t="s">
        <v>2370</v>
      </c>
    </row>
    <row r="252" ht="22.5" customHeight="1">
      <c r="A252" s="6" t="s">
        <v>423</v>
      </c>
      <c r="B252" s="5" t="s">
        <v>2370</v>
      </c>
    </row>
    <row r="253" ht="22.5" customHeight="1">
      <c r="A253" s="6" t="s">
        <v>495</v>
      </c>
      <c r="B253" s="5" t="s">
        <v>58</v>
      </c>
    </row>
    <row r="254" ht="22.5" customHeight="1">
      <c r="A254" s="6" t="s">
        <v>610</v>
      </c>
      <c r="B254" s="5" t="s">
        <v>2370</v>
      </c>
    </row>
    <row r="255" ht="22.5" customHeight="1">
      <c r="A255" s="6" t="s">
        <v>538</v>
      </c>
      <c r="B255" s="5" t="s">
        <v>58</v>
      </c>
    </row>
    <row r="256" ht="22.5" customHeight="1">
      <c r="A256" s="6" t="s">
        <v>997</v>
      </c>
      <c r="B256" s="5" t="s">
        <v>2370</v>
      </c>
    </row>
    <row r="257" ht="22.5" customHeight="1">
      <c r="A257" s="6" t="s">
        <v>348</v>
      </c>
      <c r="B257" s="5" t="s">
        <v>2370</v>
      </c>
    </row>
    <row r="258" ht="22.5" customHeight="1">
      <c r="A258" s="6" t="s">
        <v>804</v>
      </c>
      <c r="B258" s="5" t="s">
        <v>58</v>
      </c>
    </row>
    <row r="259" ht="22.5" customHeight="1">
      <c r="A259" s="6" t="s">
        <v>1254</v>
      </c>
      <c r="B259" s="5" t="s">
        <v>2370</v>
      </c>
    </row>
    <row r="260" ht="22.5" customHeight="1">
      <c r="A260" s="6" t="s">
        <v>50</v>
      </c>
      <c r="B260" s="5" t="s">
        <v>2370</v>
      </c>
    </row>
    <row r="261" ht="22.5" customHeight="1">
      <c r="A261" s="6" t="s">
        <v>83</v>
      </c>
      <c r="B261" s="5" t="s">
        <v>2370</v>
      </c>
    </row>
    <row r="262" ht="22.5" customHeight="1">
      <c r="A262" s="6" t="s">
        <v>667</v>
      </c>
      <c r="B262" s="5" t="s">
        <v>2370</v>
      </c>
    </row>
    <row r="263" ht="22.5" customHeight="1">
      <c r="A263" s="6" t="s">
        <v>45</v>
      </c>
      <c r="B263" s="5" t="s">
        <v>2370</v>
      </c>
    </row>
    <row r="264" ht="22.5" customHeight="1">
      <c r="A264" s="6" t="s">
        <v>1141</v>
      </c>
      <c r="B264" s="5" t="s">
        <v>2370</v>
      </c>
    </row>
    <row r="265" ht="22.5" customHeight="1">
      <c r="A265" s="6" t="s">
        <v>378</v>
      </c>
      <c r="B265" s="5" t="s">
        <v>2370</v>
      </c>
    </row>
    <row r="266" ht="22.5" customHeight="1">
      <c r="A266" s="6" t="s">
        <v>54</v>
      </c>
      <c r="B266" s="5" t="s">
        <v>2370</v>
      </c>
    </row>
    <row r="267" ht="22.5" customHeight="1">
      <c r="A267" s="6" t="s">
        <v>286</v>
      </c>
      <c r="B267" s="5" t="s">
        <v>2370</v>
      </c>
    </row>
    <row r="268" ht="22.5" customHeight="1">
      <c r="A268" s="6" t="s">
        <v>1106</v>
      </c>
      <c r="B268" s="5" t="s">
        <v>58</v>
      </c>
    </row>
    <row r="269" ht="22.5" customHeight="1">
      <c r="A269" s="6" t="s">
        <v>64</v>
      </c>
      <c r="B269" s="5" t="s">
        <v>58</v>
      </c>
    </row>
    <row r="270" ht="22.5" customHeight="1">
      <c r="A270" s="6" t="s">
        <v>52</v>
      </c>
      <c r="B270" s="5" t="s">
        <v>2370</v>
      </c>
    </row>
    <row r="271" ht="22.5" customHeight="1">
      <c r="A271" s="6" t="s">
        <v>421</v>
      </c>
      <c r="B271" s="5" t="s">
        <v>2370</v>
      </c>
    </row>
    <row r="272" ht="22.5" customHeight="1">
      <c r="A272" s="6" t="s">
        <v>797</v>
      </c>
      <c r="B272" s="5" t="s">
        <v>2370</v>
      </c>
    </row>
    <row r="273" ht="22.5" customHeight="1">
      <c r="A273" s="6" t="s">
        <v>692</v>
      </c>
      <c r="B273" s="5" t="s">
        <v>58</v>
      </c>
    </row>
    <row r="274" ht="22.5" customHeight="1">
      <c r="A274" s="6" t="s">
        <v>429</v>
      </c>
      <c r="B274" s="5" t="s">
        <v>2370</v>
      </c>
    </row>
    <row r="275" ht="22.5" customHeight="1">
      <c r="A275" s="6" t="s">
        <v>1212</v>
      </c>
      <c r="B275" s="5" t="s">
        <v>2370</v>
      </c>
    </row>
    <row r="276" ht="22.5" customHeight="1">
      <c r="A276" s="6" t="s">
        <v>814</v>
      </c>
      <c r="B276" s="5" t="s">
        <v>2370</v>
      </c>
    </row>
    <row r="277" ht="22.5" customHeight="1">
      <c r="A277" s="6" t="s">
        <v>115</v>
      </c>
      <c r="B277" s="5" t="s">
        <v>2370</v>
      </c>
    </row>
    <row r="278" ht="22.5" customHeight="1">
      <c r="A278" s="6" t="s">
        <v>788</v>
      </c>
      <c r="B278" s="5" t="s">
        <v>2370</v>
      </c>
    </row>
    <row r="279" ht="22.5" customHeight="1">
      <c r="A279" s="6" t="s">
        <v>861</v>
      </c>
      <c r="B279" s="5" t="s">
        <v>2370</v>
      </c>
    </row>
    <row r="280" ht="22.5" customHeight="1">
      <c r="A280" s="6" t="s">
        <v>410</v>
      </c>
      <c r="B280" s="5" t="s">
        <v>2370</v>
      </c>
    </row>
    <row r="281" ht="22.5" customHeight="1">
      <c r="A281" s="6" t="s">
        <v>631</v>
      </c>
      <c r="B281" s="5" t="s">
        <v>2370</v>
      </c>
    </row>
    <row r="282" ht="22.5" customHeight="1">
      <c r="A282" s="6" t="s">
        <v>325</v>
      </c>
      <c r="B282" s="5" t="s">
        <v>2370</v>
      </c>
    </row>
    <row r="283" ht="22.5" customHeight="1">
      <c r="A283" s="6" t="s">
        <v>96</v>
      </c>
      <c r="B283" s="5" t="s">
        <v>2370</v>
      </c>
    </row>
    <row r="284" ht="22.5" customHeight="1">
      <c r="A284" s="6" t="s">
        <v>293</v>
      </c>
      <c r="B284" s="5" t="s">
        <v>58</v>
      </c>
    </row>
    <row r="285" ht="22.5" customHeight="1">
      <c r="A285" s="6" t="s">
        <v>1038</v>
      </c>
      <c r="B285" s="5" t="s">
        <v>58</v>
      </c>
    </row>
    <row r="286" ht="22.5" customHeight="1">
      <c r="A286" s="6" t="s">
        <v>1270</v>
      </c>
      <c r="B286" s="5" t="s">
        <v>2370</v>
      </c>
    </row>
  </sheetData>
  <dataValidations>
    <dataValidation type="list" allowBlank="1" showErrorMessage="1" sqref="B2:B286">
      <formula1>"M,F"</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6.75"/>
  </cols>
  <sheetData>
    <row r="1">
      <c r="A1" s="42" t="s">
        <v>19</v>
      </c>
      <c r="B1" s="42" t="s">
        <v>6</v>
      </c>
      <c r="C1" s="42" t="s">
        <v>2</v>
      </c>
      <c r="D1" s="42" t="s">
        <v>2427</v>
      </c>
    </row>
    <row r="2">
      <c r="A2" s="41" t="s">
        <v>34</v>
      </c>
      <c r="B2" s="41" t="s">
        <v>25</v>
      </c>
      <c r="C2" s="54" t="s">
        <v>23</v>
      </c>
      <c r="D2" s="41" t="s">
        <v>36</v>
      </c>
    </row>
    <row r="3">
      <c r="A3" s="41" t="s">
        <v>52</v>
      </c>
      <c r="B3" s="41" t="s">
        <v>114</v>
      </c>
      <c r="C3" s="54" t="s">
        <v>40</v>
      </c>
      <c r="D3" s="41" t="s">
        <v>24</v>
      </c>
    </row>
    <row r="4">
      <c r="A4" s="41" t="s">
        <v>26</v>
      </c>
      <c r="B4" s="41" t="s">
        <v>167</v>
      </c>
      <c r="C4" s="54" t="s">
        <v>65</v>
      </c>
      <c r="D4" s="41" t="s">
        <v>32</v>
      </c>
    </row>
    <row r="5">
      <c r="A5" s="41" t="s">
        <v>153</v>
      </c>
      <c r="B5" s="41" t="s">
        <v>162</v>
      </c>
      <c r="C5" s="41" t="s">
        <v>72</v>
      </c>
      <c r="D5" s="41" t="s">
        <v>43</v>
      </c>
    </row>
    <row r="6">
      <c r="A6" s="41" t="s">
        <v>94</v>
      </c>
      <c r="B6" s="41" t="s">
        <v>91</v>
      </c>
      <c r="C6" s="54" t="s">
        <v>78</v>
      </c>
      <c r="D6" s="41" t="s">
        <v>28</v>
      </c>
    </row>
    <row r="7">
      <c r="A7" s="41" t="s">
        <v>134</v>
      </c>
      <c r="B7" s="41" t="s">
        <v>236</v>
      </c>
      <c r="C7" s="54" t="s">
        <v>99</v>
      </c>
      <c r="D7" s="41" t="s">
        <v>58</v>
      </c>
    </row>
    <row r="8">
      <c r="A8" s="41" t="s">
        <v>37</v>
      </c>
      <c r="B8" s="41" t="s">
        <v>313</v>
      </c>
      <c r="C8" s="54" t="s">
        <v>104</v>
      </c>
      <c r="D8" s="41" t="s">
        <v>67</v>
      </c>
    </row>
    <row r="9">
      <c r="A9" s="41" t="s">
        <v>83</v>
      </c>
      <c r="B9" s="41" t="s">
        <v>565</v>
      </c>
      <c r="C9" s="54" t="s">
        <v>121</v>
      </c>
      <c r="D9" s="41" t="s">
        <v>89</v>
      </c>
    </row>
    <row r="10">
      <c r="A10" s="41" t="s">
        <v>75</v>
      </c>
      <c r="B10" s="41" t="s">
        <v>762</v>
      </c>
      <c r="C10" s="54" t="s">
        <v>124</v>
      </c>
      <c r="D10" s="41" t="s">
        <v>127</v>
      </c>
    </row>
    <row r="11">
      <c r="A11" s="41" t="s">
        <v>168</v>
      </c>
      <c r="B11" s="41" t="s">
        <v>225</v>
      </c>
      <c r="C11" s="54" t="s">
        <v>141</v>
      </c>
      <c r="D11" s="41" t="s">
        <v>29</v>
      </c>
    </row>
    <row r="12">
      <c r="A12" s="41" t="s">
        <v>157</v>
      </c>
      <c r="B12" s="41" t="s">
        <v>324</v>
      </c>
      <c r="C12" s="54" t="s">
        <v>145</v>
      </c>
      <c r="D12" s="41" t="s">
        <v>38</v>
      </c>
    </row>
    <row r="13">
      <c r="A13" s="41" t="s">
        <v>193</v>
      </c>
      <c r="B13" s="41" t="s">
        <v>177</v>
      </c>
      <c r="C13" s="54" t="s">
        <v>164</v>
      </c>
      <c r="D13" s="41" t="s">
        <v>62</v>
      </c>
    </row>
    <row r="14">
      <c r="A14" s="41" t="s">
        <v>2428</v>
      </c>
      <c r="B14" s="41" t="s">
        <v>601</v>
      </c>
      <c r="C14" s="54" t="s">
        <v>165</v>
      </c>
      <c r="D14" s="54"/>
    </row>
    <row r="15">
      <c r="A15" s="41" t="s">
        <v>112</v>
      </c>
      <c r="B15" s="41" t="s">
        <v>328</v>
      </c>
      <c r="C15" s="54" t="s">
        <v>184</v>
      </c>
      <c r="D15" s="54"/>
    </row>
    <row r="16">
      <c r="A16" s="41" t="s">
        <v>211</v>
      </c>
      <c r="B16" s="41" t="s">
        <v>283</v>
      </c>
      <c r="C16" s="55" t="s">
        <v>196</v>
      </c>
      <c r="D16" s="56"/>
    </row>
    <row r="17">
      <c r="A17" s="41" t="s">
        <v>64</v>
      </c>
      <c r="B17" s="41" t="s">
        <v>2429</v>
      </c>
      <c r="C17" s="54" t="s">
        <v>203</v>
      </c>
      <c r="D17" s="54"/>
    </row>
    <row r="18">
      <c r="A18" s="41" t="s">
        <v>69</v>
      </c>
      <c r="C18" s="54" t="s">
        <v>217</v>
      </c>
      <c r="D18" s="54"/>
    </row>
    <row r="19">
      <c r="A19" s="41" t="s">
        <v>206</v>
      </c>
      <c r="C19" s="41" t="s">
        <v>232</v>
      </c>
      <c r="D19" s="41"/>
    </row>
    <row r="20">
      <c r="A20" s="41" t="s">
        <v>30</v>
      </c>
      <c r="B20" s="41"/>
      <c r="C20" s="54" t="s">
        <v>234</v>
      </c>
      <c r="D20" s="54"/>
    </row>
    <row r="21">
      <c r="A21" s="41" t="s">
        <v>142</v>
      </c>
      <c r="B21" s="41"/>
      <c r="C21" s="54" t="s">
        <v>249</v>
      </c>
      <c r="D21" s="54"/>
    </row>
    <row r="22">
      <c r="A22" s="41" t="s">
        <v>129</v>
      </c>
      <c r="B22" s="41"/>
      <c r="C22" s="54" t="s">
        <v>252</v>
      </c>
      <c r="D22" s="54"/>
    </row>
    <row r="23">
      <c r="A23" s="41" t="s">
        <v>222</v>
      </c>
      <c r="B23" s="41"/>
      <c r="C23" s="56" t="s">
        <v>265</v>
      </c>
      <c r="D23" s="56"/>
    </row>
    <row r="24">
      <c r="A24" s="41" t="s">
        <v>233</v>
      </c>
      <c r="B24" s="41"/>
      <c r="C24" s="54" t="s">
        <v>278</v>
      </c>
      <c r="D24" s="54"/>
    </row>
    <row r="25">
      <c r="A25" s="41" t="s">
        <v>248</v>
      </c>
      <c r="B25" s="41"/>
      <c r="C25" s="54" t="s">
        <v>279</v>
      </c>
      <c r="D25" s="54"/>
    </row>
    <row r="26">
      <c r="A26" s="41" t="s">
        <v>412</v>
      </c>
      <c r="B26" s="41"/>
      <c r="C26" s="41" t="s">
        <v>290</v>
      </c>
      <c r="D26" s="41"/>
    </row>
    <row r="27">
      <c r="A27" s="41" t="s">
        <v>50</v>
      </c>
      <c r="B27" s="41"/>
      <c r="C27" s="54" t="s">
        <v>309</v>
      </c>
      <c r="D27" s="54"/>
    </row>
    <row r="28">
      <c r="A28" s="41" t="s">
        <v>68</v>
      </c>
      <c r="B28" s="41"/>
      <c r="C28" s="54" t="s">
        <v>335</v>
      </c>
      <c r="D28" s="54"/>
    </row>
    <row r="29">
      <c r="A29" s="41" t="s">
        <v>180</v>
      </c>
      <c r="B29" s="41"/>
      <c r="C29" s="54" t="s">
        <v>349</v>
      </c>
      <c r="D29" s="54"/>
    </row>
    <row r="30">
      <c r="A30" s="41" t="s">
        <v>286</v>
      </c>
      <c r="B30" s="41"/>
      <c r="C30" s="54" t="s">
        <v>363</v>
      </c>
      <c r="D30" s="54"/>
    </row>
    <row r="31">
      <c r="A31" s="41" t="s">
        <v>178</v>
      </c>
      <c r="B31" s="41"/>
      <c r="C31" s="54" t="s">
        <v>377</v>
      </c>
      <c r="D31" s="54"/>
    </row>
    <row r="32">
      <c r="A32" s="41" t="s">
        <v>70</v>
      </c>
      <c r="B32" s="41"/>
      <c r="C32" s="54" t="s">
        <v>381</v>
      </c>
      <c r="D32" s="54"/>
    </row>
    <row r="33">
      <c r="A33" s="41" t="s">
        <v>416</v>
      </c>
      <c r="B33" s="41"/>
      <c r="C33" s="54" t="s">
        <v>382</v>
      </c>
      <c r="D33" s="54"/>
    </row>
    <row r="34">
      <c r="A34" s="41" t="s">
        <v>337</v>
      </c>
      <c r="B34" s="41"/>
      <c r="C34" s="54" t="s">
        <v>395</v>
      </c>
      <c r="D34" s="54"/>
    </row>
    <row r="35">
      <c r="A35" s="41" t="s">
        <v>577</v>
      </c>
      <c r="B35" s="41"/>
      <c r="C35" s="56" t="s">
        <v>407</v>
      </c>
      <c r="D35" s="56"/>
    </row>
    <row r="36">
      <c r="A36" s="41" t="s">
        <v>301</v>
      </c>
      <c r="B36" s="41"/>
      <c r="C36" s="56" t="s">
        <v>424</v>
      </c>
      <c r="D36" s="56"/>
    </row>
    <row r="37">
      <c r="A37" s="41" t="s">
        <v>157</v>
      </c>
      <c r="B37" s="41"/>
      <c r="C37" s="55" t="s">
        <v>2389</v>
      </c>
      <c r="D37" s="56"/>
    </row>
    <row r="38">
      <c r="A38" s="41" t="s">
        <v>297</v>
      </c>
      <c r="B38" s="41"/>
      <c r="C38" s="54" t="s">
        <v>441</v>
      </c>
      <c r="D38" s="54"/>
    </row>
    <row r="39">
      <c r="A39" s="41" t="s">
        <v>871</v>
      </c>
      <c r="B39" s="41"/>
      <c r="C39" s="54" t="s">
        <v>455</v>
      </c>
      <c r="D39" s="54"/>
    </row>
    <row r="40">
      <c r="A40" s="41" t="s">
        <v>103</v>
      </c>
      <c r="B40" s="41"/>
      <c r="C40" s="54" t="s">
        <v>470</v>
      </c>
      <c r="D40" s="54"/>
    </row>
    <row r="41">
      <c r="A41" s="41" t="s">
        <v>517</v>
      </c>
      <c r="B41" s="41"/>
      <c r="C41" s="54" t="s">
        <v>471</v>
      </c>
      <c r="D41" s="54"/>
    </row>
    <row r="42">
      <c r="A42" s="41" t="s">
        <v>612</v>
      </c>
      <c r="B42" s="41"/>
      <c r="C42" s="54" t="s">
        <v>483</v>
      </c>
      <c r="D42" s="54"/>
    </row>
    <row r="43">
      <c r="A43" s="41" t="s">
        <v>107</v>
      </c>
      <c r="B43" s="41"/>
      <c r="C43" s="54" t="s">
        <v>496</v>
      </c>
      <c r="D43" s="54"/>
    </row>
    <row r="44">
      <c r="A44" s="41" t="s">
        <v>101</v>
      </c>
      <c r="B44" s="41"/>
      <c r="C44" s="56" t="s">
        <v>511</v>
      </c>
      <c r="D44" s="56"/>
    </row>
    <row r="45">
      <c r="A45" s="41" t="s">
        <v>376</v>
      </c>
      <c r="B45" s="41"/>
      <c r="C45" s="54" t="s">
        <v>523</v>
      </c>
      <c r="D45" s="54"/>
    </row>
    <row r="46">
      <c r="A46" s="41" t="s">
        <v>850</v>
      </c>
      <c r="B46" s="41"/>
      <c r="C46" s="54" t="s">
        <v>536</v>
      </c>
      <c r="D46" s="54"/>
    </row>
    <row r="47">
      <c r="A47" s="41" t="s">
        <v>170</v>
      </c>
      <c r="B47" s="41"/>
      <c r="C47" s="54" t="s">
        <v>554</v>
      </c>
      <c r="D47" s="54"/>
    </row>
    <row r="48">
      <c r="A48" s="41" t="s">
        <v>239</v>
      </c>
      <c r="B48" s="41"/>
      <c r="C48" s="54" t="s">
        <v>567</v>
      </c>
      <c r="D48" s="54"/>
    </row>
    <row r="49">
      <c r="A49" s="41" t="s">
        <v>426</v>
      </c>
      <c r="B49" s="41"/>
      <c r="C49" s="54" t="s">
        <v>582</v>
      </c>
      <c r="D49" s="54"/>
    </row>
    <row r="50">
      <c r="A50" s="41" t="s">
        <v>728</v>
      </c>
      <c r="B50" s="41"/>
      <c r="C50" s="56" t="s">
        <v>584</v>
      </c>
      <c r="D50" s="56"/>
    </row>
    <row r="51">
      <c r="A51" s="41" t="s">
        <v>341</v>
      </c>
      <c r="B51" s="41"/>
      <c r="C51" s="56" t="s">
        <v>595</v>
      </c>
      <c r="D51" s="56"/>
    </row>
    <row r="52">
      <c r="A52" s="41" t="s">
        <v>771</v>
      </c>
      <c r="B52" s="41"/>
      <c r="C52" s="56" t="s">
        <v>607</v>
      </c>
      <c r="D52" s="56"/>
    </row>
    <row r="53">
      <c r="A53" s="41" t="s">
        <v>994</v>
      </c>
      <c r="B53" s="41"/>
      <c r="C53" s="54" t="s">
        <v>615</v>
      </c>
      <c r="D53" s="54"/>
    </row>
    <row r="54">
      <c r="A54" s="41" t="s">
        <v>720</v>
      </c>
      <c r="B54" s="41"/>
      <c r="C54" s="56" t="s">
        <v>629</v>
      </c>
      <c r="D54" s="56"/>
    </row>
    <row r="55">
      <c r="A55" s="41" t="s">
        <v>583</v>
      </c>
      <c r="B55" s="41"/>
      <c r="C55" s="54" t="s">
        <v>635</v>
      </c>
      <c r="D55" s="54"/>
    </row>
    <row r="56">
      <c r="A56" s="41" t="s">
        <v>558</v>
      </c>
      <c r="B56" s="41"/>
      <c r="C56" s="54" t="s">
        <v>645</v>
      </c>
      <c r="D56" s="54"/>
    </row>
    <row r="57">
      <c r="A57" s="41" t="s">
        <v>271</v>
      </c>
      <c r="B57" s="41"/>
      <c r="C57" s="56" t="s">
        <v>656</v>
      </c>
      <c r="D57" s="56"/>
    </row>
    <row r="58">
      <c r="A58" s="41" t="s">
        <v>361</v>
      </c>
      <c r="B58" s="41"/>
      <c r="C58" s="54" t="s">
        <v>672</v>
      </c>
      <c r="D58" s="54"/>
    </row>
    <row r="59">
      <c r="A59" s="41" t="s">
        <v>115</v>
      </c>
      <c r="B59" s="41"/>
      <c r="C59" s="56" t="s">
        <v>683</v>
      </c>
      <c r="D59" s="56"/>
    </row>
    <row r="60">
      <c r="A60" s="41" t="s">
        <v>1035</v>
      </c>
      <c r="B60" s="41"/>
      <c r="C60" s="54" t="s">
        <v>694</v>
      </c>
      <c r="D60" s="54"/>
    </row>
    <row r="61">
      <c r="A61" s="41" t="s">
        <v>508</v>
      </c>
      <c r="B61" s="41"/>
      <c r="C61" s="54" t="s">
        <v>708</v>
      </c>
      <c r="D61" s="54"/>
    </row>
    <row r="62">
      <c r="A62" s="41" t="s">
        <v>160</v>
      </c>
      <c r="B62" s="41"/>
      <c r="C62" s="54" t="s">
        <v>711</v>
      </c>
      <c r="D62" s="54"/>
    </row>
    <row r="63">
      <c r="A63" s="41" t="s">
        <v>631</v>
      </c>
      <c r="B63" s="41"/>
      <c r="C63" s="54" t="s">
        <v>723</v>
      </c>
      <c r="D63" s="54"/>
    </row>
    <row r="64">
      <c r="A64" s="41" t="s">
        <v>1212</v>
      </c>
      <c r="B64" s="41"/>
      <c r="C64" s="54" t="s">
        <v>736</v>
      </c>
      <c r="D64" s="54"/>
    </row>
    <row r="65">
      <c r="A65" s="41" t="s">
        <v>586</v>
      </c>
      <c r="B65" s="41"/>
      <c r="C65" s="54" t="s">
        <v>749</v>
      </c>
      <c r="D65" s="54"/>
    </row>
    <row r="66">
      <c r="A66" s="41" t="s">
        <v>157</v>
      </c>
      <c r="B66" s="41"/>
      <c r="C66" s="54" t="s">
        <v>764</v>
      </c>
      <c r="D66" s="54"/>
    </row>
    <row r="67">
      <c r="A67" s="41" t="s">
        <v>39</v>
      </c>
      <c r="B67" s="41"/>
      <c r="C67" s="54" t="s">
        <v>778</v>
      </c>
      <c r="D67" s="54"/>
    </row>
    <row r="68">
      <c r="A68" s="41" t="s">
        <v>256</v>
      </c>
      <c r="B68" s="41"/>
      <c r="C68" s="54" t="s">
        <v>779</v>
      </c>
      <c r="D68" s="54"/>
    </row>
    <row r="69">
      <c r="A69" s="41" t="s">
        <v>797</v>
      </c>
      <c r="B69" s="41"/>
      <c r="C69" s="56" t="s">
        <v>780</v>
      </c>
      <c r="D69" s="56"/>
    </row>
    <row r="70">
      <c r="A70" s="41" t="s">
        <v>134</v>
      </c>
      <c r="B70" s="41"/>
      <c r="C70" s="54" t="s">
        <v>791</v>
      </c>
      <c r="D70" s="54"/>
    </row>
    <row r="71">
      <c r="A71" s="41" t="s">
        <v>816</v>
      </c>
      <c r="B71" s="41"/>
      <c r="C71" s="54" t="s">
        <v>805</v>
      </c>
      <c r="D71" s="54"/>
    </row>
    <row r="72">
      <c r="A72" s="41" t="s">
        <v>475</v>
      </c>
      <c r="B72" s="41"/>
      <c r="C72" s="56" t="s">
        <v>806</v>
      </c>
      <c r="D72" s="56"/>
    </row>
    <row r="73">
      <c r="A73" s="41" t="s">
        <v>551</v>
      </c>
      <c r="B73" s="41"/>
      <c r="C73" s="54" t="s">
        <v>823</v>
      </c>
      <c r="D73" s="54"/>
    </row>
    <row r="74">
      <c r="A74" s="41" t="s">
        <v>131</v>
      </c>
      <c r="B74" s="41"/>
      <c r="C74" s="54" t="s">
        <v>825</v>
      </c>
      <c r="D74" s="54"/>
    </row>
    <row r="75">
      <c r="A75" s="41" t="s">
        <v>671</v>
      </c>
      <c r="B75" s="41"/>
      <c r="C75" s="54" t="s">
        <v>838</v>
      </c>
      <c r="D75" s="54"/>
    </row>
    <row r="76">
      <c r="A76" s="41" t="s">
        <v>237</v>
      </c>
      <c r="B76" s="41"/>
      <c r="C76" s="54" t="s">
        <v>851</v>
      </c>
      <c r="D76" s="54"/>
    </row>
    <row r="77">
      <c r="A77" s="41" t="s">
        <v>56</v>
      </c>
      <c r="B77" s="41"/>
      <c r="C77" s="54" t="s">
        <v>862</v>
      </c>
      <c r="D77" s="54"/>
    </row>
    <row r="78">
      <c r="A78" s="41" t="s">
        <v>110</v>
      </c>
      <c r="B78" s="41"/>
      <c r="C78" s="54" t="s">
        <v>865</v>
      </c>
      <c r="D78" s="54"/>
    </row>
    <row r="79">
      <c r="A79" s="41" t="s">
        <v>77</v>
      </c>
      <c r="B79" s="41"/>
      <c r="C79" s="54" t="s">
        <v>876</v>
      </c>
      <c r="D79" s="54"/>
    </row>
    <row r="80">
      <c r="A80" s="41" t="s">
        <v>726</v>
      </c>
      <c r="B80" s="41"/>
      <c r="C80" s="54" t="s">
        <v>888</v>
      </c>
      <c r="D80" s="54"/>
    </row>
    <row r="81">
      <c r="A81" s="41" t="s">
        <v>622</v>
      </c>
      <c r="B81" s="41"/>
      <c r="C81" s="54" t="s">
        <v>889</v>
      </c>
      <c r="D81" s="54"/>
    </row>
    <row r="82">
      <c r="A82" s="41" t="s">
        <v>198</v>
      </c>
      <c r="B82" s="41"/>
      <c r="C82" s="54" t="s">
        <v>891</v>
      </c>
      <c r="D82" s="54"/>
    </row>
    <row r="83">
      <c r="A83" s="41" t="s">
        <v>540</v>
      </c>
      <c r="B83" s="41"/>
      <c r="C83" s="54" t="s">
        <v>902</v>
      </c>
      <c r="D83" s="54"/>
    </row>
    <row r="84">
      <c r="A84" s="41" t="s">
        <v>515</v>
      </c>
      <c r="B84" s="41"/>
      <c r="C84" s="54" t="s">
        <v>911</v>
      </c>
      <c r="D84" s="54"/>
    </row>
    <row r="85">
      <c r="A85" s="41" t="s">
        <v>460</v>
      </c>
      <c r="B85" s="41"/>
      <c r="C85" s="54" t="s">
        <v>912</v>
      </c>
      <c r="D85" s="54"/>
    </row>
    <row r="86">
      <c r="A86" s="41" t="s">
        <v>163</v>
      </c>
      <c r="B86" s="41"/>
      <c r="C86" s="54" t="s">
        <v>924</v>
      </c>
      <c r="D86" s="54"/>
    </row>
    <row r="87">
      <c r="A87" s="41" t="s">
        <v>575</v>
      </c>
      <c r="B87" s="41"/>
      <c r="C87" s="56" t="s">
        <v>938</v>
      </c>
      <c r="D87" s="56"/>
    </row>
    <row r="88">
      <c r="A88" s="41" t="s">
        <v>1049</v>
      </c>
      <c r="B88" s="41"/>
      <c r="C88" s="54" t="s">
        <v>951</v>
      </c>
      <c r="D88" s="54"/>
    </row>
    <row r="89">
      <c r="A89" s="41" t="s">
        <v>1171</v>
      </c>
      <c r="B89" s="41"/>
      <c r="C89" s="54" t="s">
        <v>963</v>
      </c>
      <c r="D89" s="54"/>
    </row>
    <row r="90">
      <c r="A90" s="41" t="s">
        <v>268</v>
      </c>
      <c r="B90" s="41"/>
      <c r="C90" s="54" t="s">
        <v>973</v>
      </c>
      <c r="D90" s="54"/>
    </row>
    <row r="91">
      <c r="A91" s="41" t="s">
        <v>126</v>
      </c>
      <c r="B91" s="41"/>
      <c r="C91" s="54" t="s">
        <v>986</v>
      </c>
      <c r="D91" s="54"/>
    </row>
    <row r="92">
      <c r="A92" s="41" t="s">
        <v>92</v>
      </c>
      <c r="B92" s="41"/>
      <c r="C92" s="54" t="s">
        <v>998</v>
      </c>
      <c r="D92" s="54"/>
    </row>
    <row r="93">
      <c r="A93" s="41" t="s">
        <v>429</v>
      </c>
      <c r="B93" s="41"/>
      <c r="C93" s="54" t="s">
        <v>1011</v>
      </c>
      <c r="D93" s="54"/>
    </row>
    <row r="94">
      <c r="A94" s="41" t="s">
        <v>401</v>
      </c>
      <c r="B94" s="41"/>
      <c r="C94" s="54" t="s">
        <v>1020</v>
      </c>
      <c r="D94" s="54"/>
    </row>
    <row r="95">
      <c r="A95" s="41" t="s">
        <v>373</v>
      </c>
      <c r="B95" s="41"/>
      <c r="C95" s="54" t="s">
        <v>1033</v>
      </c>
      <c r="D95" s="54"/>
    </row>
    <row r="96">
      <c r="A96" s="41" t="s">
        <v>1066</v>
      </c>
      <c r="B96" s="41"/>
      <c r="C96" s="54" t="s">
        <v>1046</v>
      </c>
      <c r="D96" s="54"/>
    </row>
    <row r="97">
      <c r="A97" s="41" t="s">
        <v>513</v>
      </c>
      <c r="B97" s="41"/>
      <c r="C97" s="54" t="s">
        <v>1047</v>
      </c>
      <c r="D97" s="54"/>
    </row>
    <row r="98">
      <c r="A98" s="41" t="s">
        <v>436</v>
      </c>
      <c r="B98" s="41"/>
    </row>
    <row r="99">
      <c r="A99" s="41" t="s">
        <v>311</v>
      </c>
      <c r="B99" s="41"/>
      <c r="C99" s="54" t="s">
        <v>1059</v>
      </c>
      <c r="D99" s="54"/>
    </row>
    <row r="100">
      <c r="A100" s="41" t="s">
        <v>864</v>
      </c>
      <c r="B100" s="41"/>
      <c r="C100" s="54" t="s">
        <v>1060</v>
      </c>
      <c r="D100" s="54"/>
    </row>
    <row r="101">
      <c r="A101" s="41" t="s">
        <v>692</v>
      </c>
      <c r="B101" s="41"/>
      <c r="C101" s="54" t="s">
        <v>1072</v>
      </c>
      <c r="D101" s="54"/>
    </row>
    <row r="102">
      <c r="A102" s="41" t="s">
        <v>659</v>
      </c>
      <c r="B102" s="41"/>
      <c r="C102" s="54" t="s">
        <v>1084</v>
      </c>
      <c r="D102" s="54"/>
    </row>
    <row r="103">
      <c r="A103" s="41" t="s">
        <v>788</v>
      </c>
      <c r="B103" s="41"/>
      <c r="C103" s="54" t="s">
        <v>1097</v>
      </c>
      <c r="D103" s="54"/>
    </row>
    <row r="104">
      <c r="A104" s="41" t="s">
        <v>617</v>
      </c>
      <c r="B104" s="41"/>
      <c r="C104" s="54" t="s">
        <v>1109</v>
      </c>
      <c r="D104" s="54"/>
    </row>
    <row r="105">
      <c r="A105" s="41" t="s">
        <v>1038</v>
      </c>
      <c r="B105" s="41"/>
      <c r="C105" s="54" t="s">
        <v>1122</v>
      </c>
      <c r="D105" s="54"/>
    </row>
    <row r="106">
      <c r="A106" s="41" t="s">
        <v>293</v>
      </c>
      <c r="B106" s="41"/>
      <c r="C106" s="54" t="s">
        <v>1132</v>
      </c>
      <c r="D106" s="54"/>
    </row>
    <row r="107">
      <c r="A107" s="41" t="s">
        <v>628</v>
      </c>
      <c r="B107" s="41"/>
      <c r="C107" s="54" t="s">
        <v>1144</v>
      </c>
      <c r="D107" s="54"/>
    </row>
    <row r="108">
      <c r="A108" s="41" t="s">
        <v>533</v>
      </c>
      <c r="B108" s="41"/>
      <c r="C108" s="56" t="s">
        <v>1155</v>
      </c>
      <c r="D108" s="56"/>
    </row>
    <row r="109">
      <c r="A109" s="41" t="s">
        <v>96</v>
      </c>
      <c r="B109" s="41"/>
      <c r="C109" s="41" t="s">
        <v>1167</v>
      </c>
      <c r="D109" s="41"/>
    </row>
    <row r="110">
      <c r="A110" s="41" t="s">
        <v>325</v>
      </c>
      <c r="B110" s="41"/>
      <c r="C110" s="54" t="s">
        <v>1168</v>
      </c>
      <c r="D110" s="54"/>
    </row>
    <row r="111">
      <c r="A111" s="41" t="s">
        <v>1256</v>
      </c>
      <c r="B111" s="41"/>
      <c r="C111" s="56" t="s">
        <v>1169</v>
      </c>
      <c r="D111" s="56"/>
    </row>
    <row r="112">
      <c r="A112" s="41" t="s">
        <v>861</v>
      </c>
      <c r="B112" s="41"/>
      <c r="C112" s="54" t="s">
        <v>1182</v>
      </c>
      <c r="D112" s="54"/>
    </row>
    <row r="113">
      <c r="A113" s="41" t="s">
        <v>583</v>
      </c>
      <c r="B113" s="41"/>
      <c r="C113" s="54" t="s">
        <v>1193</v>
      </c>
      <c r="D113" s="54"/>
    </row>
    <row r="114">
      <c r="A114" s="41" t="s">
        <v>748</v>
      </c>
      <c r="B114" s="41"/>
      <c r="C114" s="54" t="s">
        <v>1205</v>
      </c>
      <c r="D114" s="54"/>
    </row>
    <row r="115">
      <c r="A115" s="41" t="s">
        <v>944</v>
      </c>
      <c r="B115" s="41"/>
      <c r="C115" s="54" t="s">
        <v>1219</v>
      </c>
      <c r="D115" s="54"/>
    </row>
    <row r="116">
      <c r="A116" s="41" t="s">
        <v>464</v>
      </c>
      <c r="B116" s="41"/>
      <c r="C116" s="55" t="s">
        <v>2415</v>
      </c>
      <c r="D116" s="56"/>
    </row>
    <row r="117">
      <c r="A117" s="41" t="s">
        <v>2430</v>
      </c>
      <c r="B117" s="41"/>
      <c r="C117" s="54" t="s">
        <v>1229</v>
      </c>
      <c r="D117" s="54"/>
    </row>
    <row r="118">
      <c r="A118" s="41" t="s">
        <v>545</v>
      </c>
      <c r="B118" s="41"/>
      <c r="C118" s="54" t="s">
        <v>1240</v>
      </c>
      <c r="D118" s="54"/>
    </row>
    <row r="119">
      <c r="A119" s="41" t="s">
        <v>1131</v>
      </c>
      <c r="B119" s="41"/>
      <c r="C119" s="54" t="s">
        <v>1259</v>
      </c>
      <c r="D119" s="54"/>
    </row>
    <row r="120">
      <c r="A120" s="41" t="s">
        <v>410</v>
      </c>
      <c r="B120" s="41"/>
      <c r="C120" s="56" t="s">
        <v>1250</v>
      </c>
      <c r="D120" s="56"/>
    </row>
    <row r="121">
      <c r="A121" s="41" t="s">
        <v>909</v>
      </c>
      <c r="B121" s="41"/>
      <c r="C121" s="54" t="s">
        <v>1272</v>
      </c>
      <c r="D121" s="54"/>
    </row>
    <row r="122">
      <c r="A122" s="41" t="s">
        <v>822</v>
      </c>
      <c r="B122" s="41"/>
      <c r="C122" s="54" t="s">
        <v>1273</v>
      </c>
      <c r="D122" s="54"/>
    </row>
    <row r="123">
      <c r="A123" s="41" t="s">
        <v>689</v>
      </c>
      <c r="B123" s="41"/>
      <c r="C123" s="54" t="s">
        <v>1274</v>
      </c>
      <c r="D123" s="54"/>
    </row>
    <row r="124">
      <c r="A124" s="41" t="s">
        <v>538</v>
      </c>
      <c r="B124" s="41"/>
      <c r="C124" s="41"/>
      <c r="D124" s="41"/>
    </row>
    <row r="125">
      <c r="A125" s="41" t="s">
        <v>1160</v>
      </c>
      <c r="B125" s="41"/>
      <c r="C125" s="41"/>
      <c r="D125" s="41"/>
    </row>
    <row r="126">
      <c r="A126" s="41" t="s">
        <v>262</v>
      </c>
      <c r="B126" s="41"/>
      <c r="C126" s="41"/>
      <c r="D126" s="41"/>
    </row>
    <row r="127">
      <c r="A127" s="41" t="s">
        <v>2431</v>
      </c>
      <c r="B127" s="41"/>
      <c r="C127" s="41"/>
      <c r="D127" s="41"/>
    </row>
    <row r="128">
      <c r="A128" s="41" t="s">
        <v>610</v>
      </c>
      <c r="B128" s="41"/>
      <c r="C128" s="41"/>
      <c r="D128" s="41"/>
    </row>
    <row r="129">
      <c r="A129" s="41" t="s">
        <v>2432</v>
      </c>
      <c r="B129" s="41"/>
      <c r="C129" s="41"/>
      <c r="D129" s="41"/>
    </row>
    <row r="130">
      <c r="A130" s="41" t="s">
        <v>978</v>
      </c>
      <c r="B130" s="41"/>
      <c r="C130" s="41"/>
      <c r="D130" s="41"/>
    </row>
    <row r="131">
      <c r="A131" s="41" t="s">
        <v>598</v>
      </c>
      <c r="B131" s="41"/>
      <c r="C131" s="41"/>
      <c r="D131" s="41"/>
    </row>
    <row r="132">
      <c r="A132" s="41" t="s">
        <v>934</v>
      </c>
      <c r="B132" s="41"/>
      <c r="C132" s="41"/>
      <c r="D132" s="41"/>
    </row>
    <row r="133">
      <c r="A133" s="41" t="s">
        <v>495</v>
      </c>
      <c r="B133" s="41"/>
      <c r="C133" s="41"/>
      <c r="D133" s="41"/>
    </row>
    <row r="134">
      <c r="A134" s="41" t="s">
        <v>423</v>
      </c>
      <c r="B134" s="41"/>
      <c r="C134" s="41"/>
      <c r="D134" s="41"/>
    </row>
    <row r="135">
      <c r="A135" s="41" t="s">
        <v>519</v>
      </c>
      <c r="B135" s="41"/>
      <c r="C135" s="41"/>
      <c r="D135" s="41"/>
    </row>
    <row r="136">
      <c r="A136" s="41" t="s">
        <v>1095</v>
      </c>
      <c r="B136" s="41"/>
      <c r="C136" s="41"/>
      <c r="D136" s="41"/>
    </row>
    <row r="137">
      <c r="A137" s="41" t="s">
        <v>150</v>
      </c>
      <c r="B137" s="41"/>
      <c r="C137" s="41"/>
      <c r="D137" s="41"/>
    </row>
    <row r="138">
      <c r="A138" s="41" t="s">
        <v>1210</v>
      </c>
      <c r="B138" s="41"/>
      <c r="C138" s="41"/>
      <c r="D138" s="41"/>
    </row>
    <row r="139">
      <c r="A139" s="41" t="s">
        <v>526</v>
      </c>
      <c r="B139" s="41"/>
      <c r="C139" s="41"/>
      <c r="D139" s="41"/>
    </row>
    <row r="140">
      <c r="A140" s="41" t="s">
        <v>452</v>
      </c>
      <c r="B140" s="41"/>
      <c r="C140" s="41"/>
      <c r="D140" s="41"/>
    </row>
    <row r="141">
      <c r="A141" s="41" t="s">
        <v>845</v>
      </c>
      <c r="B141" s="41"/>
      <c r="C141" s="41"/>
      <c r="D141" s="41"/>
    </row>
    <row r="142">
      <c r="A142" s="41" t="s">
        <v>549</v>
      </c>
      <c r="B142" s="41"/>
      <c r="C142" s="41"/>
      <c r="D142" s="41"/>
    </row>
    <row r="143">
      <c r="A143" s="41" t="s">
        <v>334</v>
      </c>
      <c r="B143" s="41"/>
      <c r="C143" s="41"/>
      <c r="D143" s="41"/>
    </row>
    <row r="144">
      <c r="A144" s="41" t="s">
        <v>948</v>
      </c>
      <c r="B144" s="41"/>
      <c r="C144" s="41"/>
      <c r="D144" s="41"/>
    </row>
    <row r="145">
      <c r="A145" s="41" t="s">
        <v>579</v>
      </c>
      <c r="B145" s="41"/>
      <c r="C145" s="41"/>
      <c r="D145" s="41"/>
    </row>
    <row r="146">
      <c r="A146" s="41" t="s">
        <v>1174</v>
      </c>
      <c r="B146" s="41"/>
      <c r="C146" s="41"/>
      <c r="D146" s="41"/>
    </row>
    <row r="147">
      <c r="A147" s="41" t="s">
        <v>421</v>
      </c>
      <c r="B147" s="41"/>
      <c r="C147" s="41"/>
      <c r="D147" s="41"/>
    </row>
    <row r="148">
      <c r="A148" s="41" t="s">
        <v>35</v>
      </c>
      <c r="B148" s="41"/>
      <c r="C148" s="41"/>
      <c r="D148" s="41"/>
    </row>
    <row r="149">
      <c r="A149" s="41" t="s">
        <v>1204</v>
      </c>
      <c r="B149" s="41"/>
      <c r="C149" s="41"/>
      <c r="D149" s="41"/>
    </row>
    <row r="150">
      <c r="A150" s="41" t="s">
        <v>1106</v>
      </c>
      <c r="B150" s="41"/>
      <c r="C150" s="41"/>
      <c r="D150" s="41"/>
    </row>
    <row r="151">
      <c r="A151" s="41" t="s">
        <v>54</v>
      </c>
      <c r="B151" s="41"/>
      <c r="C151" s="41"/>
      <c r="D151" s="41"/>
    </row>
    <row r="152">
      <c r="A152" s="41" t="s">
        <v>1141</v>
      </c>
      <c r="B152" s="41"/>
      <c r="C152" s="41"/>
      <c r="D152" s="41"/>
    </row>
    <row r="153">
      <c r="A153" s="41" t="s">
        <v>45</v>
      </c>
      <c r="B153" s="41"/>
      <c r="C153" s="41"/>
      <c r="D153" s="41"/>
    </row>
    <row r="154">
      <c r="A154" s="41" t="s">
        <v>136</v>
      </c>
      <c r="B154" s="41"/>
      <c r="C154" s="41"/>
      <c r="D154" s="41"/>
    </row>
    <row r="155">
      <c r="A155" s="41" t="s">
        <v>890</v>
      </c>
      <c r="B155" s="41"/>
      <c r="C155" s="41"/>
      <c r="D155" s="41"/>
    </row>
    <row r="156">
      <c r="A156" s="41" t="s">
        <v>140</v>
      </c>
      <c r="B156" s="41"/>
      <c r="C156" s="41"/>
      <c r="D156" s="41"/>
    </row>
    <row r="157">
      <c r="A157" s="41" t="s">
        <v>1268</v>
      </c>
      <c r="B157" s="41"/>
      <c r="C157" s="41"/>
      <c r="D157" s="41"/>
    </row>
    <row r="158">
      <c r="A158" s="41" t="s">
        <v>667</v>
      </c>
      <c r="B158" s="41"/>
      <c r="C158" s="41"/>
      <c r="D158" s="41"/>
    </row>
    <row r="159">
      <c r="A159" s="41" t="s">
        <v>1254</v>
      </c>
      <c r="B159" s="41"/>
      <c r="C159" s="41"/>
      <c r="D159" s="41"/>
    </row>
    <row r="160">
      <c r="A160" s="41" t="s">
        <v>804</v>
      </c>
      <c r="B160" s="41"/>
      <c r="C160" s="41"/>
      <c r="D160" s="41"/>
    </row>
    <row r="161">
      <c r="A161" s="41" t="s">
        <v>493</v>
      </c>
      <c r="B161" s="41"/>
      <c r="C161" s="41"/>
      <c r="D161" s="41"/>
    </row>
    <row r="162">
      <c r="A162" s="41" t="s">
        <v>348</v>
      </c>
      <c r="B162" s="41"/>
      <c r="C162" s="41"/>
      <c r="D162" s="41"/>
    </row>
    <row r="163">
      <c r="A163" s="41" t="s">
        <v>330</v>
      </c>
      <c r="B163" s="41"/>
      <c r="C163" s="41"/>
      <c r="D163" s="41"/>
    </row>
    <row r="164">
      <c r="A164" s="41" t="s">
        <v>997</v>
      </c>
      <c r="B164" s="41"/>
      <c r="C164" s="41"/>
      <c r="D164" s="41"/>
    </row>
    <row r="165">
      <c r="A165" s="41" t="s">
        <v>777</v>
      </c>
      <c r="B165" s="41"/>
      <c r="C165" s="41"/>
      <c r="D165" s="41"/>
    </row>
    <row r="166">
      <c r="A166" s="41" t="s">
        <v>85</v>
      </c>
      <c r="B166" s="41"/>
      <c r="C166" s="41"/>
      <c r="D166" s="41"/>
    </row>
    <row r="167">
      <c r="A167" s="41" t="s">
        <v>1163</v>
      </c>
      <c r="B167" s="41"/>
      <c r="C167" s="41"/>
      <c r="D167" s="41"/>
    </row>
    <row r="168">
      <c r="A168" s="41" t="s">
        <v>547</v>
      </c>
      <c r="B168" s="41"/>
      <c r="C168" s="41"/>
      <c r="D168" s="41"/>
    </row>
    <row r="169">
      <c r="A169" s="41" t="s">
        <v>1009</v>
      </c>
      <c r="B169" s="41"/>
      <c r="C169" s="41"/>
      <c r="D169" s="41"/>
    </row>
    <row r="170">
      <c r="A170" s="41" t="s">
        <v>542</v>
      </c>
      <c r="B170" s="41"/>
      <c r="C170" s="41"/>
      <c r="D170" s="41"/>
    </row>
    <row r="171">
      <c r="A171" s="41" t="s">
        <v>1252</v>
      </c>
      <c r="B171" s="41"/>
      <c r="C171" s="41"/>
      <c r="D171" s="41"/>
    </row>
    <row r="172">
      <c r="A172" s="41" t="s">
        <v>759</v>
      </c>
      <c r="B172" s="41"/>
      <c r="C172" s="41"/>
      <c r="D172" s="41"/>
    </row>
    <row r="173">
      <c r="A173" s="41" t="s">
        <v>1258</v>
      </c>
      <c r="B173" s="41"/>
      <c r="C173" s="41"/>
      <c r="D173" s="41"/>
    </row>
    <row r="174">
      <c r="A174" s="41" t="s">
        <v>220</v>
      </c>
      <c r="B174" s="41"/>
      <c r="C174" s="41"/>
      <c r="D174" s="41"/>
    </row>
    <row r="175">
      <c r="A175" s="41" t="s">
        <v>687</v>
      </c>
      <c r="B175" s="41"/>
      <c r="C175" s="41"/>
      <c r="D175" s="41"/>
    </row>
    <row r="176">
      <c r="A176" s="41" t="s">
        <v>288</v>
      </c>
      <c r="B176" s="41"/>
      <c r="C176" s="41"/>
      <c r="D176" s="41"/>
    </row>
    <row r="177">
      <c r="A177" s="41" t="s">
        <v>663</v>
      </c>
      <c r="B177" s="41"/>
      <c r="C177" s="41"/>
      <c r="D177" s="41"/>
    </row>
    <row r="178">
      <c r="A178" s="41" t="s">
        <v>123</v>
      </c>
      <c r="B178" s="41"/>
      <c r="C178" s="41"/>
      <c r="D178" s="41"/>
    </row>
    <row r="179">
      <c r="A179" s="41" t="s">
        <v>2433</v>
      </c>
      <c r="B179" s="41"/>
      <c r="C179" s="41"/>
      <c r="D179" s="41"/>
    </row>
    <row r="180">
      <c r="A180" s="41" t="s">
        <v>594</v>
      </c>
      <c r="B180" s="41"/>
      <c r="C180" s="41"/>
      <c r="D180" s="41"/>
    </row>
    <row r="181">
      <c r="A181" s="41" t="s">
        <v>1263</v>
      </c>
      <c r="B181" s="41"/>
      <c r="C181" s="41"/>
      <c r="D181" s="41"/>
    </row>
    <row r="182">
      <c r="A182" s="41" t="s">
        <v>2434</v>
      </c>
      <c r="B182" s="41"/>
      <c r="C182" s="41"/>
      <c r="D182" s="41"/>
    </row>
    <row r="183">
      <c r="A183" s="41" t="s">
        <v>1152</v>
      </c>
      <c r="B183" s="41"/>
      <c r="C183" s="41"/>
      <c r="D183" s="41"/>
    </row>
    <row r="184">
      <c r="A184" s="41" t="s">
        <v>946</v>
      </c>
      <c r="B184" s="41"/>
      <c r="C184" s="41"/>
      <c r="D184" s="41"/>
    </row>
    <row r="185">
      <c r="A185" s="41" t="s">
        <v>202</v>
      </c>
      <c r="B185" s="41"/>
      <c r="C185" s="41"/>
      <c r="D185" s="41"/>
    </row>
    <row r="186">
      <c r="A186" s="41" t="s">
        <v>1007</v>
      </c>
      <c r="B186" s="41"/>
      <c r="C186" s="41"/>
      <c r="D186" s="41"/>
    </row>
    <row r="187">
      <c r="A187" s="41" t="s">
        <v>812</v>
      </c>
      <c r="B187" s="41"/>
      <c r="C187" s="41"/>
      <c r="D187" s="41"/>
    </row>
    <row r="188">
      <c r="A188" s="41" t="s">
        <v>446</v>
      </c>
      <c r="B188" s="41"/>
      <c r="C188" s="41"/>
      <c r="D188" s="41"/>
    </row>
    <row r="189">
      <c r="A189" s="41" t="s">
        <v>774</v>
      </c>
      <c r="B189" s="41"/>
      <c r="C189" s="41"/>
      <c r="D189" s="41"/>
    </row>
    <row r="190">
      <c r="A190" s="41" t="s">
        <v>563</v>
      </c>
      <c r="B190" s="41"/>
      <c r="C190" s="41"/>
      <c r="D190" s="41"/>
    </row>
    <row r="191">
      <c r="A191" s="41" t="s">
        <v>120</v>
      </c>
      <c r="B191" s="41"/>
      <c r="C191" s="41"/>
      <c r="D191" s="41"/>
    </row>
    <row r="192">
      <c r="A192" s="41" t="s">
        <v>786</v>
      </c>
      <c r="B192" s="41"/>
      <c r="C192" s="41"/>
      <c r="D192" s="41"/>
    </row>
    <row r="193">
      <c r="A193" s="41" t="s">
        <v>138</v>
      </c>
      <c r="B193" s="41"/>
      <c r="C193" s="41"/>
      <c r="D193" s="41"/>
    </row>
    <row r="194">
      <c r="A194" s="41" t="s">
        <v>134</v>
      </c>
      <c r="B194" s="41"/>
      <c r="C194" s="41"/>
      <c r="D194" s="41"/>
    </row>
    <row r="195">
      <c r="A195" s="41" t="s">
        <v>1019</v>
      </c>
      <c r="B195" s="41"/>
      <c r="C195" s="41"/>
      <c r="D195" s="41"/>
    </row>
    <row r="196">
      <c r="A196" s="41" t="s">
        <v>273</v>
      </c>
      <c r="B196" s="41"/>
      <c r="C196" s="41"/>
      <c r="D196" s="41"/>
    </row>
    <row r="197">
      <c r="A197" s="41" t="s">
        <v>1117</v>
      </c>
      <c r="B197" s="41"/>
      <c r="C197" s="41"/>
      <c r="D197" s="41"/>
    </row>
    <row r="198">
      <c r="A198" s="41" t="s">
        <v>515</v>
      </c>
      <c r="B198" s="41"/>
      <c r="C198" s="41"/>
      <c r="D198" s="41"/>
    </row>
    <row r="199">
      <c r="A199" s="41" t="s">
        <v>976</v>
      </c>
      <c r="B199" s="41"/>
      <c r="C199" s="41"/>
      <c r="D199" s="41"/>
    </row>
    <row r="200">
      <c r="A200" s="41" t="s">
        <v>1074</v>
      </c>
      <c r="B200" s="41"/>
      <c r="C200" s="41"/>
      <c r="D200" s="41"/>
    </row>
    <row r="201">
      <c r="A201" s="41" t="s">
        <v>741</v>
      </c>
      <c r="B201" s="41"/>
      <c r="C201" s="41"/>
      <c r="D201" s="41"/>
    </row>
    <row r="202">
      <c r="A202" s="41" t="s">
        <v>573</v>
      </c>
      <c r="B202" s="41"/>
      <c r="C202" s="41"/>
      <c r="D202" s="41"/>
    </row>
    <row r="203">
      <c r="A203" s="41" t="s">
        <v>379</v>
      </c>
      <c r="B203" s="41"/>
      <c r="C203" s="41"/>
      <c r="D203" s="41"/>
    </row>
    <row r="204">
      <c r="A204" s="41" t="s">
        <v>359</v>
      </c>
      <c r="B204" s="41"/>
      <c r="C204" s="41"/>
      <c r="D204" s="41"/>
    </row>
    <row r="205">
      <c r="A205" s="41" t="s">
        <v>295</v>
      </c>
      <c r="B205" s="41"/>
      <c r="C205" s="41"/>
      <c r="D205" s="41"/>
    </row>
    <row r="206">
      <c r="A206" s="41" t="s">
        <v>339</v>
      </c>
      <c r="B206" s="41"/>
      <c r="C206" s="41"/>
      <c r="D206" s="41"/>
    </row>
    <row r="207">
      <c r="A207" s="41" t="s">
        <v>345</v>
      </c>
      <c r="B207" s="41"/>
      <c r="C207" s="41"/>
      <c r="D207" s="41"/>
    </row>
    <row r="208">
      <c r="A208" s="41" t="s">
        <v>182</v>
      </c>
      <c r="B208" s="41"/>
      <c r="C208" s="41"/>
      <c r="D208" s="41"/>
    </row>
    <row r="209">
      <c r="A209" s="41" t="s">
        <v>2435</v>
      </c>
      <c r="B209" s="41"/>
      <c r="C209" s="41"/>
      <c r="D209" s="41"/>
    </row>
    <row r="210">
      <c r="A210" s="41" t="s">
        <v>881</v>
      </c>
      <c r="B210" s="41"/>
      <c r="C210" s="41"/>
      <c r="D210" s="41"/>
    </row>
    <row r="211">
      <c r="A211" s="41" t="s">
        <v>915</v>
      </c>
      <c r="B211" s="41"/>
      <c r="C211" s="41"/>
      <c r="D211" s="41"/>
    </row>
    <row r="212">
      <c r="A212" s="41" t="s">
        <v>1149</v>
      </c>
      <c r="B212" s="41"/>
      <c r="C212" s="41"/>
      <c r="D212" s="41"/>
    </row>
    <row r="213">
      <c r="A213" s="41" t="s">
        <v>60</v>
      </c>
      <c r="B213" s="41"/>
      <c r="C213" s="41"/>
      <c r="D213" s="41"/>
    </row>
    <row r="214">
      <c r="A214" s="41" t="s">
        <v>2436</v>
      </c>
      <c r="B214" s="41"/>
      <c r="C214" s="41"/>
      <c r="D214" s="41"/>
    </row>
    <row r="215">
      <c r="A215" s="41" t="s">
        <v>2437</v>
      </c>
      <c r="B215" s="41"/>
      <c r="C215" s="41"/>
      <c r="D215" s="41"/>
    </row>
    <row r="216">
      <c r="A216" s="41" t="s">
        <v>763</v>
      </c>
      <c r="B216" s="41"/>
      <c r="C216" s="41"/>
      <c r="D216" s="41"/>
    </row>
    <row r="217">
      <c r="A217" s="41" t="s">
        <v>763</v>
      </c>
      <c r="B217" s="41"/>
      <c r="C217" s="41"/>
      <c r="D217" s="41"/>
    </row>
    <row r="218">
      <c r="A218" s="41" t="s">
        <v>33</v>
      </c>
      <c r="B218" s="41"/>
      <c r="C218" s="41"/>
      <c r="D218" s="41"/>
    </row>
    <row r="219">
      <c r="A219" s="41" t="s">
        <v>469</v>
      </c>
      <c r="B219" s="41"/>
      <c r="C219" s="41"/>
      <c r="D219" s="41"/>
    </row>
    <row r="220">
      <c r="A220" s="41" t="s">
        <v>206</v>
      </c>
      <c r="B220" s="41"/>
      <c r="C220" s="41"/>
      <c r="D220" s="41"/>
    </row>
    <row r="221">
      <c r="A221" s="41" t="s">
        <v>906</v>
      </c>
      <c r="B221" s="41"/>
      <c r="C221" s="41"/>
      <c r="D221" s="41"/>
    </row>
    <row r="222">
      <c r="A222" s="41" t="s">
        <v>1089</v>
      </c>
      <c r="B222" s="41"/>
      <c r="C222" s="41"/>
      <c r="D222" s="41"/>
    </row>
    <row r="223">
      <c r="A223" s="41" t="s">
        <v>528</v>
      </c>
      <c r="B223" s="41"/>
      <c r="C223" s="41"/>
      <c r="D223" s="41"/>
    </row>
    <row r="224">
      <c r="A224" s="41" t="s">
        <v>832</v>
      </c>
      <c r="B224" s="41"/>
      <c r="C224" s="41"/>
      <c r="D224" s="41"/>
    </row>
    <row r="225">
      <c r="A225" s="41" t="s">
        <v>1120</v>
      </c>
      <c r="B225" s="41"/>
      <c r="C225" s="41"/>
      <c r="D225" s="41"/>
    </row>
    <row r="226">
      <c r="A226" s="41" t="s">
        <v>403</v>
      </c>
      <c r="B226" s="41"/>
      <c r="C226" s="41"/>
      <c r="D226" s="41"/>
    </row>
    <row r="227">
      <c r="A227" s="41" t="s">
        <v>332</v>
      </c>
      <c r="B227" s="41"/>
      <c r="C227" s="41"/>
      <c r="D227" s="41"/>
    </row>
    <row r="228">
      <c r="A228" s="41" t="s">
        <v>809</v>
      </c>
      <c r="B228" s="41"/>
      <c r="C228" s="41"/>
      <c r="D228" s="41"/>
    </row>
    <row r="229">
      <c r="A229" s="41" t="s">
        <v>389</v>
      </c>
      <c r="B229" s="41"/>
      <c r="C229" s="41"/>
      <c r="D229" s="41"/>
    </row>
    <row r="230">
      <c r="A230" s="41" t="s">
        <v>1079</v>
      </c>
      <c r="B230" s="41"/>
      <c r="C230" s="41"/>
      <c r="D230" s="41"/>
    </row>
    <row r="231">
      <c r="A231" s="41" t="s">
        <v>830</v>
      </c>
      <c r="B231" s="41"/>
      <c r="C231" s="41"/>
      <c r="D231" s="41"/>
    </row>
    <row r="232">
      <c r="A232" s="41" t="s">
        <v>231</v>
      </c>
      <c r="B232" s="41"/>
      <c r="C232" s="41"/>
      <c r="D232" s="41"/>
    </row>
    <row r="233">
      <c r="A233" s="41" t="s">
        <v>1137</v>
      </c>
      <c r="B233" s="41"/>
      <c r="C233" s="41"/>
      <c r="D233" s="41"/>
    </row>
    <row r="234">
      <c r="A234" s="41" t="s">
        <v>707</v>
      </c>
      <c r="B234" s="41"/>
      <c r="C234" s="41"/>
      <c r="D234" s="41"/>
    </row>
    <row r="235">
      <c r="A235" s="41" t="s">
        <v>604</v>
      </c>
      <c r="B235" s="41"/>
      <c r="C235" s="41"/>
      <c r="D235" s="41"/>
    </row>
    <row r="236">
      <c r="A236" s="41" t="s">
        <v>299</v>
      </c>
      <c r="B236" s="41"/>
      <c r="C236" s="41"/>
      <c r="D236" s="41"/>
    </row>
    <row r="237">
      <c r="A237" s="41" t="s">
        <v>506</v>
      </c>
      <c r="B237" s="41"/>
      <c r="C237" s="41"/>
      <c r="D237" s="41"/>
    </row>
    <row r="238">
      <c r="A238" s="41" t="s">
        <v>950</v>
      </c>
      <c r="B238" s="41"/>
      <c r="C238" s="41"/>
      <c r="D238" s="41"/>
    </row>
    <row r="239">
      <c r="A239" s="41" t="s">
        <v>1022</v>
      </c>
      <c r="B239" s="41"/>
      <c r="C239" s="41"/>
      <c r="D239" s="41"/>
    </row>
    <row r="240">
      <c r="A240" s="41" t="s">
        <v>432</v>
      </c>
      <c r="B240" s="41"/>
      <c r="C240" s="41"/>
      <c r="D240" s="41"/>
    </row>
    <row r="241">
      <c r="A241" s="41" t="s">
        <v>1247</v>
      </c>
      <c r="B241" s="41"/>
      <c r="C241" s="41"/>
      <c r="D241" s="41"/>
    </row>
    <row r="242">
      <c r="A242" s="41" t="s">
        <v>602</v>
      </c>
      <c r="B242" s="41"/>
      <c r="C242" s="41"/>
      <c r="D242" s="41"/>
    </row>
    <row r="243">
      <c r="A243" s="41" t="s">
        <v>962</v>
      </c>
      <c r="B243" s="41"/>
      <c r="C243" s="41"/>
      <c r="D243" s="41"/>
    </row>
    <row r="244">
      <c r="A244" s="41" t="s">
        <v>1179</v>
      </c>
      <c r="B244" s="41"/>
      <c r="C244" s="41"/>
      <c r="D244" s="41"/>
    </row>
    <row r="245">
      <c r="A245" s="41" t="s">
        <v>264</v>
      </c>
      <c r="B245" s="41"/>
      <c r="C245" s="41"/>
      <c r="D245" s="41"/>
    </row>
    <row r="246">
      <c r="A246" s="41" t="s">
        <v>276</v>
      </c>
      <c r="B246" s="41"/>
      <c r="C246" s="41"/>
      <c r="D246" s="41"/>
    </row>
    <row r="247">
      <c r="A247" s="41" t="s">
        <v>439</v>
      </c>
      <c r="B247" s="41"/>
      <c r="C247" s="41"/>
      <c r="D247" s="41"/>
    </row>
    <row r="248">
      <c r="A248" s="41" t="s">
        <v>929</v>
      </c>
      <c r="B248" s="41"/>
      <c r="C248" s="41"/>
      <c r="D248" s="41"/>
    </row>
    <row r="249">
      <c r="A249" s="41" t="s">
        <v>98</v>
      </c>
      <c r="B249" s="41"/>
      <c r="C249" s="41"/>
      <c r="D249" s="41"/>
    </row>
    <row r="250">
      <c r="A250" s="41" t="s">
        <v>284</v>
      </c>
      <c r="B250" s="41"/>
      <c r="C250" s="41"/>
      <c r="D250" s="41"/>
    </row>
    <row r="251">
      <c r="A251" s="41" t="s">
        <v>368</v>
      </c>
      <c r="B251" s="41"/>
      <c r="C251" s="41"/>
      <c r="D251" s="41"/>
    </row>
    <row r="252">
      <c r="A252" s="41" t="s">
        <v>705</v>
      </c>
      <c r="B252" s="41"/>
      <c r="C252" s="41"/>
      <c r="D252" s="41"/>
    </row>
    <row r="253">
      <c r="A253" s="41" t="s">
        <v>1207</v>
      </c>
      <c r="B253" s="41"/>
      <c r="C253" s="41"/>
      <c r="D253" s="41"/>
    </row>
    <row r="254">
      <c r="A254" s="41" t="s">
        <v>454</v>
      </c>
      <c r="B254" s="41"/>
      <c r="C254" s="41"/>
      <c r="D254" s="41"/>
    </row>
    <row r="255">
      <c r="A255" s="41" t="s">
        <v>1146</v>
      </c>
      <c r="B255" s="41"/>
      <c r="C255" s="41"/>
      <c r="D255" s="41"/>
    </row>
    <row r="256">
      <c r="A256" s="41" t="s">
        <v>487</v>
      </c>
      <c r="B256" s="41"/>
      <c r="C256" s="41"/>
      <c r="D256" s="41"/>
    </row>
    <row r="257">
      <c r="A257" s="41" t="s">
        <v>521</v>
      </c>
      <c r="B257" s="41"/>
      <c r="C257" s="41"/>
      <c r="D257" s="41"/>
    </row>
    <row r="258">
      <c r="A258" s="41" t="s">
        <v>701</v>
      </c>
      <c r="B258" s="41"/>
      <c r="C258" s="41"/>
      <c r="D258" s="41"/>
    </row>
    <row r="259">
      <c r="A259" s="41" t="s">
        <v>226</v>
      </c>
      <c r="B259" s="41"/>
      <c r="C259" s="41"/>
      <c r="D259" s="41"/>
    </row>
    <row r="260">
      <c r="A260" s="41" t="s">
        <v>1027</v>
      </c>
      <c r="B260" s="41"/>
      <c r="C260" s="41"/>
      <c r="D260" s="41"/>
    </row>
    <row r="261">
      <c r="A261" s="41" t="s">
        <v>31</v>
      </c>
      <c r="B261" s="41"/>
      <c r="C261" s="41"/>
      <c r="D261" s="41"/>
    </row>
    <row r="262">
      <c r="A262" s="41" t="s">
        <v>48</v>
      </c>
      <c r="B262" s="41"/>
      <c r="C262" s="41"/>
      <c r="D262" s="41"/>
    </row>
    <row r="263">
      <c r="A263" s="41" t="s">
        <v>1154</v>
      </c>
      <c r="B263" s="41"/>
      <c r="C263" s="41"/>
      <c r="D263" s="41"/>
    </row>
    <row r="264">
      <c r="A264" s="41" t="s">
        <v>314</v>
      </c>
      <c r="B264" s="41"/>
      <c r="C264" s="41"/>
      <c r="D264" s="41"/>
    </row>
    <row r="265">
      <c r="A265" s="41" t="s">
        <v>665</v>
      </c>
      <c r="B265" s="41"/>
      <c r="C265" s="41"/>
      <c r="D265" s="41"/>
    </row>
    <row r="266">
      <c r="A266" s="41" t="s">
        <v>66</v>
      </c>
      <c r="B266" s="41"/>
      <c r="C266" s="41"/>
      <c r="D266" s="41"/>
    </row>
    <row r="267">
      <c r="A267" s="41" t="s">
        <v>157</v>
      </c>
      <c r="B267" s="41"/>
      <c r="C267" s="41"/>
      <c r="D267" s="41"/>
    </row>
    <row r="268">
      <c r="A268" s="41" t="s">
        <v>343</v>
      </c>
      <c r="B268" s="41"/>
      <c r="C268" s="41"/>
      <c r="D268" s="41"/>
    </row>
    <row r="269">
      <c r="A269" s="41" t="s">
        <v>820</v>
      </c>
      <c r="B269" s="41"/>
      <c r="C269" s="41"/>
      <c r="D269" s="41"/>
    </row>
    <row r="270">
      <c r="A270" s="41" t="s">
        <v>1165</v>
      </c>
      <c r="B270" s="41"/>
      <c r="C270" s="41"/>
      <c r="D270" s="41"/>
    </row>
    <row r="271">
      <c r="A271" s="41" t="s">
        <v>1157</v>
      </c>
      <c r="B271" s="41"/>
      <c r="C271" s="41"/>
      <c r="D271" s="41"/>
    </row>
    <row r="272">
      <c r="A272" s="41" t="s">
        <v>801</v>
      </c>
      <c r="B272" s="41"/>
      <c r="C272" s="41"/>
      <c r="D272" s="41"/>
    </row>
    <row r="273">
      <c r="A273" s="41" t="s">
        <v>633</v>
      </c>
      <c r="B273" s="41"/>
      <c r="C273" s="41"/>
      <c r="D273" s="41"/>
    </row>
    <row r="274">
      <c r="A274" s="41" t="s">
        <v>419</v>
      </c>
      <c r="B274" s="41"/>
      <c r="C274" s="41"/>
      <c r="D274" s="41"/>
    </row>
    <row r="275">
      <c r="A275" s="41" t="s">
        <v>122</v>
      </c>
      <c r="B275" s="41"/>
      <c r="C275" s="41"/>
      <c r="D275" s="41"/>
    </row>
    <row r="276">
      <c r="A276" s="41" t="s">
        <v>669</v>
      </c>
      <c r="B276" s="41"/>
      <c r="C276" s="41"/>
      <c r="D276" s="41"/>
    </row>
    <row r="277">
      <c r="A277" s="41" t="s">
        <v>990</v>
      </c>
      <c r="B277" s="41"/>
      <c r="C277" s="41"/>
      <c r="D277" s="41"/>
    </row>
    <row r="278">
      <c r="A278" s="41" t="s">
        <v>71</v>
      </c>
      <c r="B278" s="41"/>
      <c r="C278" s="41"/>
      <c r="D278" s="41"/>
    </row>
    <row r="279">
      <c r="A279" s="41" t="s">
        <v>73</v>
      </c>
      <c r="B279" s="41"/>
      <c r="C279" s="41"/>
      <c r="D279" s="41"/>
    </row>
    <row r="280">
      <c r="A280" s="41" t="s">
        <v>74</v>
      </c>
      <c r="B280" s="41"/>
      <c r="C280" s="41"/>
      <c r="D280" s="41"/>
    </row>
    <row r="281">
      <c r="A281" s="41" t="s">
        <v>76</v>
      </c>
      <c r="B281" s="41"/>
      <c r="C281" s="41"/>
      <c r="D281" s="41"/>
    </row>
    <row r="282">
      <c r="A282" s="41" t="s">
        <v>100</v>
      </c>
      <c r="B282" s="41"/>
      <c r="C282" s="41"/>
      <c r="D282" s="41"/>
    </row>
    <row r="283">
      <c r="A283" s="41" t="s">
        <v>102</v>
      </c>
      <c r="B283" s="41"/>
      <c r="C283" s="41"/>
      <c r="D283" s="41"/>
    </row>
    <row r="284">
      <c r="A284" s="41" t="s">
        <v>143</v>
      </c>
      <c r="B284" s="41"/>
      <c r="C284" s="41"/>
      <c r="D284" s="41"/>
    </row>
    <row r="285">
      <c r="A285" s="41" t="s">
        <v>144</v>
      </c>
      <c r="B285" s="41"/>
      <c r="C285" s="41"/>
      <c r="D285" s="41"/>
    </row>
    <row r="286">
      <c r="A286" s="41" t="s">
        <v>98</v>
      </c>
    </row>
    <row r="287">
      <c r="A287" s="41" t="s">
        <v>251</v>
      </c>
    </row>
    <row r="288">
      <c r="A288" s="41" t="s">
        <v>250</v>
      </c>
    </row>
    <row r="289">
      <c r="A289" s="41" t="s">
        <v>157</v>
      </c>
    </row>
    <row r="290">
      <c r="A290" s="41" t="s">
        <v>378</v>
      </c>
    </row>
    <row r="291">
      <c r="A291" s="41" t="s">
        <v>380</v>
      </c>
    </row>
    <row r="292">
      <c r="A292" s="41" t="s">
        <v>709</v>
      </c>
    </row>
    <row r="293">
      <c r="A293" s="41" t="s">
        <v>710</v>
      </c>
    </row>
    <row r="294">
      <c r="A294" s="41" t="s">
        <v>824</v>
      </c>
    </row>
    <row r="295">
      <c r="A295" s="41" t="s">
        <v>2438</v>
      </c>
    </row>
    <row r="296">
      <c r="A296" s="41" t="s">
        <v>2439</v>
      </c>
    </row>
    <row r="297">
      <c r="A297" s="41" t="s">
        <v>863</v>
      </c>
    </row>
    <row r="298">
      <c r="A298" s="41" t="s">
        <v>2440</v>
      </c>
    </row>
    <row r="299">
      <c r="A299" s="41" t="s">
        <v>2441</v>
      </c>
    </row>
    <row r="300">
      <c r="A300" s="41" t="s">
        <v>2442</v>
      </c>
    </row>
    <row r="301">
      <c r="A301" s="41" t="s">
        <v>2443</v>
      </c>
    </row>
    <row r="302">
      <c r="A302" s="41" t="s">
        <v>748</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54" t="str">
        <f>IFERROR(__xludf.DUMMYFUNCTION("QUERY(Database!A:A, ""SELECT A, COUNT(A) GROUP BY A ORDER BY COUNT(A) LABEL COUNT(A) 'Frequency'"")
"),"")</f>
        <v/>
      </c>
      <c r="B1" s="56" t="str">
        <f>IFERROR(__xludf.DUMMYFUNCTION("""COMPUTED_VALUE"""),"Frequency")</f>
        <v>Frequency</v>
      </c>
    </row>
    <row r="2" hidden="1">
      <c r="A2" s="56" t="str">
        <f>IFERROR(__xludf.DUMMYFUNCTION("""COMPUTED_VALUE"""),"Jaldhar Basanti")</f>
        <v>Jaldhar Basanti</v>
      </c>
      <c r="B2" s="54">
        <f>IFERROR(__xludf.DUMMYFUNCTION("""COMPUTED_VALUE"""),1.0)</f>
        <v>1</v>
      </c>
    </row>
    <row r="3">
      <c r="A3" s="55" t="str">
        <f>IFERROR(__xludf.DUMMYFUNCTION("""COMPUTED_VALUE"""),"Raga")</f>
        <v>Raga</v>
      </c>
      <c r="B3" s="54">
        <f>IFERROR(__xludf.DUMMYFUNCTION("""COMPUTED_VALUE"""),1.0)</f>
        <v>1</v>
      </c>
    </row>
    <row r="4">
      <c r="A4" s="55" t="str">
        <f>IFERROR(__xludf.DUMMYFUNCTION("""COMPUTED_VALUE"""),"Zila Kafi")</f>
        <v>Zila Kafi</v>
      </c>
      <c r="B4" s="54">
        <f>IFERROR(__xludf.DUMMYFUNCTION("""COMPUTED_VALUE"""),1.0)</f>
        <v>1</v>
      </c>
    </row>
    <row r="5">
      <c r="A5" s="55" t="str">
        <f>IFERROR(__xludf.DUMMYFUNCTION("""COMPUTED_VALUE"""),"Bheem")</f>
        <v>Bheem</v>
      </c>
      <c r="B5" s="54">
        <f>IFERROR(__xludf.DUMMYFUNCTION("""COMPUTED_VALUE"""),3.0)</f>
        <v>3</v>
      </c>
    </row>
    <row r="6">
      <c r="A6" s="55" t="str">
        <f>IFERROR(__xludf.DUMMYFUNCTION("""COMPUTED_VALUE"""),"Hemshri")</f>
        <v>Hemshri</v>
      </c>
      <c r="B6" s="54">
        <f>IFERROR(__xludf.DUMMYFUNCTION("""COMPUTED_VALUE"""),3.0)</f>
        <v>3</v>
      </c>
    </row>
    <row r="7">
      <c r="A7" s="55" t="str">
        <f>IFERROR(__xludf.DUMMYFUNCTION("""COMPUTED_VALUE"""),"Tilang Bahar")</f>
        <v>Tilang Bahar</v>
      </c>
      <c r="B7" s="54">
        <f>IFERROR(__xludf.DUMMYFUNCTION("""COMPUTED_VALUE"""),4.0)</f>
        <v>4</v>
      </c>
    </row>
    <row r="8">
      <c r="A8" s="55" t="str">
        <f>IFERROR(__xludf.DUMMYFUNCTION("""COMPUTED_VALUE"""),"Hem Bihag")</f>
        <v>Hem Bihag</v>
      </c>
      <c r="B8" s="54">
        <f>IFERROR(__xludf.DUMMYFUNCTION("""COMPUTED_VALUE"""),5.0)</f>
        <v>5</v>
      </c>
    </row>
    <row r="9">
      <c r="A9" s="55" t="str">
        <f>IFERROR(__xludf.DUMMYFUNCTION("""COMPUTED_VALUE"""),"Bilawal")</f>
        <v>Bilawal</v>
      </c>
      <c r="B9" s="54">
        <f>IFERROR(__xludf.DUMMYFUNCTION("""COMPUTED_VALUE"""),6.0)</f>
        <v>6</v>
      </c>
    </row>
    <row r="10">
      <c r="A10" s="56" t="str">
        <f>IFERROR(__xludf.DUMMYFUNCTION("""COMPUTED_VALUE"""),"Chandranandan")</f>
        <v>Chandranandan</v>
      </c>
      <c r="B10" s="54">
        <f>IFERROR(__xludf.DUMMYFUNCTION("""COMPUTED_VALUE"""),6.0)</f>
        <v>6</v>
      </c>
    </row>
    <row r="11">
      <c r="A11" s="56" t="str">
        <f>IFERROR(__xludf.DUMMYFUNCTION("""COMPUTED_VALUE"""),"Gopika Basant")</f>
        <v>Gopika Basant</v>
      </c>
      <c r="B11" s="54">
        <f>IFERROR(__xludf.DUMMYFUNCTION("""COMPUTED_VALUE"""),6.0)</f>
        <v>6</v>
      </c>
    </row>
    <row r="12">
      <c r="A12" s="56" t="str">
        <f>IFERROR(__xludf.DUMMYFUNCTION("""COMPUTED_VALUE"""),"Hari Kauns")</f>
        <v>Hari Kauns</v>
      </c>
      <c r="B12" s="54">
        <f>IFERROR(__xludf.DUMMYFUNCTION("""COMPUTED_VALUE"""),6.0)</f>
        <v>6</v>
      </c>
    </row>
    <row r="13">
      <c r="A13" s="55" t="str">
        <f>IFERROR(__xludf.DUMMYFUNCTION("""COMPUTED_VALUE"""),"Megh Malhar")</f>
        <v>Megh Malhar</v>
      </c>
      <c r="B13" s="54">
        <f>IFERROR(__xludf.DUMMYFUNCTION("""COMPUTED_VALUE"""),6.0)</f>
        <v>6</v>
      </c>
    </row>
    <row r="14">
      <c r="A14" s="56" t="str">
        <f>IFERROR(__xludf.DUMMYFUNCTION("""COMPUTED_VALUE"""),"Shivranjani")</f>
        <v>Shivranjani</v>
      </c>
      <c r="B14" s="54">
        <f>IFERROR(__xludf.DUMMYFUNCTION("""COMPUTED_VALUE"""),6.0)</f>
        <v>6</v>
      </c>
    </row>
    <row r="15">
      <c r="A15" s="56" t="str">
        <f>IFERROR(__xludf.DUMMYFUNCTION("""COMPUTED_VALUE"""),"Bairagi Todi")</f>
        <v>Bairagi Todi</v>
      </c>
      <c r="B15" s="54">
        <f>IFERROR(__xludf.DUMMYFUNCTION("""COMPUTED_VALUE"""),7.0)</f>
        <v>7</v>
      </c>
    </row>
    <row r="16">
      <c r="A16" s="56" t="str">
        <f>IFERROR(__xludf.DUMMYFUNCTION("""COMPUTED_VALUE"""),"Jaldhar Kedar")</f>
        <v>Jaldhar Kedar</v>
      </c>
      <c r="B16" s="54">
        <f>IFERROR(__xludf.DUMMYFUNCTION("""COMPUTED_VALUE"""),7.0)</f>
        <v>7</v>
      </c>
    </row>
    <row r="17">
      <c r="A17" s="56" t="str">
        <f>IFERROR(__xludf.DUMMYFUNCTION("""COMPUTED_VALUE"""),"Jayat")</f>
        <v>Jayat</v>
      </c>
      <c r="B17" s="54">
        <f>IFERROR(__xludf.DUMMYFUNCTION("""COMPUTED_VALUE"""),7.0)</f>
        <v>7</v>
      </c>
    </row>
    <row r="18">
      <c r="A18" s="56" t="str">
        <f>IFERROR(__xludf.DUMMYFUNCTION("""COMPUTED_VALUE"""),"Pilu")</f>
        <v>Pilu</v>
      </c>
      <c r="B18" s="54">
        <f>IFERROR(__xludf.DUMMYFUNCTION("""COMPUTED_VALUE"""),7.0)</f>
        <v>7</v>
      </c>
    </row>
    <row r="19">
      <c r="A19" s="55" t="str">
        <f>IFERROR(__xludf.DUMMYFUNCTION("""COMPUTED_VALUE"""),"Shobhawari")</f>
        <v>Shobhawari</v>
      </c>
      <c r="B19" s="54">
        <f>IFERROR(__xludf.DUMMYFUNCTION("""COMPUTED_VALUE"""),7.0)</f>
        <v>7</v>
      </c>
    </row>
    <row r="20">
      <c r="A20" s="56" t="str">
        <f>IFERROR(__xludf.DUMMYFUNCTION("""COMPUTED_VALUE"""),"Bihari")</f>
        <v>Bihari</v>
      </c>
      <c r="B20" s="54">
        <f>IFERROR(__xludf.DUMMYFUNCTION("""COMPUTED_VALUE"""),8.0)</f>
        <v>8</v>
      </c>
    </row>
    <row r="21">
      <c r="A21" s="56" t="str">
        <f>IFERROR(__xludf.DUMMYFUNCTION("""COMPUTED_VALUE"""),"Hanskinki")</f>
        <v>Hanskinki</v>
      </c>
      <c r="B21" s="54">
        <f>IFERROR(__xludf.DUMMYFUNCTION("""COMPUTED_VALUE"""),8.0)</f>
        <v>8</v>
      </c>
    </row>
    <row r="22">
      <c r="A22" s="56" t="str">
        <f>IFERROR(__xludf.DUMMYFUNCTION("""COMPUTED_VALUE"""),"Khambhavati")</f>
        <v>Khambhavati</v>
      </c>
      <c r="B22" s="54">
        <f>IFERROR(__xludf.DUMMYFUNCTION("""COMPUTED_VALUE"""),8.0)</f>
        <v>8</v>
      </c>
    </row>
    <row r="23">
      <c r="A23" s="56" t="str">
        <f>IFERROR(__xludf.DUMMYFUNCTION("""COMPUTED_VALUE"""),"Narayani")</f>
        <v>Narayani</v>
      </c>
      <c r="B23" s="54">
        <f>IFERROR(__xludf.DUMMYFUNCTION("""COMPUTED_VALUE"""),8.0)</f>
        <v>8</v>
      </c>
    </row>
    <row r="24">
      <c r="A24" s="56" t="str">
        <f>IFERROR(__xludf.DUMMYFUNCTION("""COMPUTED_VALUE"""),"Parameshwari")</f>
        <v>Parameshwari</v>
      </c>
      <c r="B24" s="54">
        <f>IFERROR(__xludf.DUMMYFUNCTION("""COMPUTED_VALUE"""),8.0)</f>
        <v>8</v>
      </c>
    </row>
    <row r="25">
      <c r="A25" s="56" t="str">
        <f>IFERROR(__xludf.DUMMYFUNCTION("""COMPUTED_VALUE"""),"Shahana")</f>
        <v>Shahana</v>
      </c>
      <c r="B25" s="54">
        <f>IFERROR(__xludf.DUMMYFUNCTION("""COMPUTED_VALUE"""),8.0)</f>
        <v>8</v>
      </c>
    </row>
    <row r="26">
      <c r="A26" s="56" t="str">
        <f>IFERROR(__xludf.DUMMYFUNCTION("""COMPUTED_VALUE"""),"Tilak Kamod")</f>
        <v>Tilak Kamod</v>
      </c>
      <c r="B26" s="54">
        <f>IFERROR(__xludf.DUMMYFUNCTION("""COMPUTED_VALUE"""),8.0)</f>
        <v>8</v>
      </c>
    </row>
    <row r="27">
      <c r="A27" s="56" t="str">
        <f>IFERROR(__xludf.DUMMYFUNCTION("""COMPUTED_VALUE"""),"Basant Mukhari")</f>
        <v>Basant Mukhari</v>
      </c>
      <c r="B27" s="54">
        <f>IFERROR(__xludf.DUMMYFUNCTION("""COMPUTED_VALUE"""),9.0)</f>
        <v>9</v>
      </c>
    </row>
    <row r="28">
      <c r="A28" s="56" t="str">
        <f>IFERROR(__xludf.DUMMYFUNCTION("""COMPUTED_VALUE"""),"Bhimpalasi")</f>
        <v>Bhimpalasi</v>
      </c>
      <c r="B28" s="54">
        <f>IFERROR(__xludf.DUMMYFUNCTION("""COMPUTED_VALUE"""),9.0)</f>
        <v>9</v>
      </c>
    </row>
    <row r="29">
      <c r="A29" s="56" t="str">
        <f>IFERROR(__xludf.DUMMYFUNCTION("""COMPUTED_VALUE"""),"Bhupali Todi")</f>
        <v>Bhupali Todi</v>
      </c>
      <c r="B29" s="54">
        <f>IFERROR(__xludf.DUMMYFUNCTION("""COMPUTED_VALUE"""),9.0)</f>
        <v>9</v>
      </c>
    </row>
    <row r="30">
      <c r="A30" s="56" t="str">
        <f>IFERROR(__xludf.DUMMYFUNCTION("""COMPUTED_VALUE"""),"Bibhas")</f>
        <v>Bibhas</v>
      </c>
      <c r="B30" s="54">
        <f>IFERROR(__xludf.DUMMYFUNCTION("""COMPUTED_VALUE"""),9.0)</f>
        <v>9</v>
      </c>
    </row>
    <row r="31">
      <c r="A31" s="56" t="str">
        <f>IFERROR(__xludf.DUMMYFUNCTION("""COMPUTED_VALUE"""),"Bihagda")</f>
        <v>Bihagda</v>
      </c>
      <c r="B31" s="54">
        <f>IFERROR(__xludf.DUMMYFUNCTION("""COMPUTED_VALUE"""),9.0)</f>
        <v>9</v>
      </c>
    </row>
    <row r="32">
      <c r="A32" s="56" t="str">
        <f>IFERROR(__xludf.DUMMYFUNCTION("""COMPUTED_VALUE"""),"Chhayanat")</f>
        <v>Chhayanat</v>
      </c>
      <c r="B32" s="54">
        <f>IFERROR(__xludf.DUMMYFUNCTION("""COMPUTED_VALUE"""),9.0)</f>
        <v>9</v>
      </c>
    </row>
    <row r="33">
      <c r="A33" s="56" t="str">
        <f>IFERROR(__xludf.DUMMYFUNCTION("""COMPUTED_VALUE"""),"Desi")</f>
        <v>Desi</v>
      </c>
      <c r="B33" s="54">
        <f>IFERROR(__xludf.DUMMYFUNCTION("""COMPUTED_VALUE"""),9.0)</f>
        <v>9</v>
      </c>
    </row>
    <row r="34">
      <c r="A34" s="56" t="str">
        <f>IFERROR(__xludf.DUMMYFUNCTION("""COMPUTED_VALUE"""),"Dev Gandhar")</f>
        <v>Dev Gandhar</v>
      </c>
      <c r="B34" s="54">
        <f>IFERROR(__xludf.DUMMYFUNCTION("""COMPUTED_VALUE"""),9.0)</f>
        <v>9</v>
      </c>
    </row>
    <row r="35">
      <c r="A35" s="56" t="str">
        <f>IFERROR(__xludf.DUMMYFUNCTION("""COMPUTED_VALUE"""),"Dhani")</f>
        <v>Dhani</v>
      </c>
      <c r="B35" s="54">
        <f>IFERROR(__xludf.DUMMYFUNCTION("""COMPUTED_VALUE"""),9.0)</f>
        <v>9</v>
      </c>
    </row>
    <row r="36">
      <c r="A36" s="56" t="str">
        <f>IFERROR(__xludf.DUMMYFUNCTION("""COMPUTED_VALUE"""),"Gauri")</f>
        <v>Gauri</v>
      </c>
      <c r="B36" s="54">
        <f>IFERROR(__xludf.DUMMYFUNCTION("""COMPUTED_VALUE"""),9.0)</f>
        <v>9</v>
      </c>
    </row>
    <row r="37">
      <c r="A37" s="56" t="str">
        <f>IFERROR(__xludf.DUMMYFUNCTION("""COMPUTED_VALUE"""),"Gorakh Kalyan")</f>
        <v>Gorakh Kalyan</v>
      </c>
      <c r="B37" s="54">
        <f>IFERROR(__xludf.DUMMYFUNCTION("""COMPUTED_VALUE"""),9.0)</f>
        <v>9</v>
      </c>
    </row>
    <row r="38">
      <c r="A38" s="56" t="str">
        <f>IFERROR(__xludf.DUMMYFUNCTION("""COMPUTED_VALUE"""),"Gurjari Todi")</f>
        <v>Gurjari Todi</v>
      </c>
      <c r="B38" s="54">
        <f>IFERROR(__xludf.DUMMYFUNCTION("""COMPUTED_VALUE"""),9.0)</f>
        <v>9</v>
      </c>
    </row>
    <row r="39">
      <c r="A39" s="56" t="str">
        <f>IFERROR(__xludf.DUMMYFUNCTION("""COMPUTED_VALUE"""),"Hindol")</f>
        <v>Hindol</v>
      </c>
      <c r="B39" s="54">
        <f>IFERROR(__xludf.DUMMYFUNCTION("""COMPUTED_VALUE"""),9.0)</f>
        <v>9</v>
      </c>
    </row>
    <row r="40">
      <c r="A40" s="56" t="str">
        <f>IFERROR(__xludf.DUMMYFUNCTION("""COMPUTED_VALUE"""),"Jaunpuri")</f>
        <v>Jaunpuri</v>
      </c>
      <c r="B40" s="54">
        <f>IFERROR(__xludf.DUMMYFUNCTION("""COMPUTED_VALUE"""),9.0)</f>
        <v>9</v>
      </c>
    </row>
    <row r="41">
      <c r="A41" s="56" t="str">
        <f>IFERROR(__xludf.DUMMYFUNCTION("""COMPUTED_VALUE"""),"Lanka Dahan Sarang")</f>
        <v>Lanka Dahan Sarang</v>
      </c>
      <c r="B41" s="54">
        <f>IFERROR(__xludf.DUMMYFUNCTION("""COMPUTED_VALUE"""),9.0)</f>
        <v>9</v>
      </c>
    </row>
    <row r="42">
      <c r="A42" s="56" t="str">
        <f>IFERROR(__xludf.DUMMYFUNCTION("""COMPUTED_VALUE"""),"Malgunji")</f>
        <v>Malgunji</v>
      </c>
      <c r="B42" s="54">
        <f>IFERROR(__xludf.DUMMYFUNCTION("""COMPUTED_VALUE"""),9.0)</f>
        <v>9</v>
      </c>
    </row>
    <row r="43">
      <c r="A43" s="56" t="str">
        <f>IFERROR(__xludf.DUMMYFUNCTION("""COMPUTED_VALUE"""),"Mand")</f>
        <v>Mand</v>
      </c>
      <c r="B43" s="54">
        <f>IFERROR(__xludf.DUMMYFUNCTION("""COMPUTED_VALUE"""),9.0)</f>
        <v>9</v>
      </c>
    </row>
    <row r="44">
      <c r="A44" s="56" t="str">
        <f>IFERROR(__xludf.DUMMYFUNCTION("""COMPUTED_VALUE"""),"Nayaki Kanada")</f>
        <v>Nayaki Kanada</v>
      </c>
      <c r="B44" s="54">
        <f>IFERROR(__xludf.DUMMYFUNCTION("""COMPUTED_VALUE"""),9.0)</f>
        <v>9</v>
      </c>
    </row>
    <row r="45">
      <c r="A45" s="56" t="str">
        <f>IFERROR(__xludf.DUMMYFUNCTION("""COMPUTED_VALUE"""),"Ramkali")</f>
        <v>Ramkali</v>
      </c>
      <c r="B45" s="54">
        <f>IFERROR(__xludf.DUMMYFUNCTION("""COMPUTED_VALUE"""),9.0)</f>
        <v>9</v>
      </c>
    </row>
    <row r="46">
      <c r="A46" s="56" t="str">
        <f>IFERROR(__xludf.DUMMYFUNCTION("""COMPUTED_VALUE"""),"Shankara")</f>
        <v>Shankara</v>
      </c>
      <c r="B46" s="54">
        <f>IFERROR(__xludf.DUMMYFUNCTION("""COMPUTED_VALUE"""),9.0)</f>
        <v>9</v>
      </c>
    </row>
    <row r="47">
      <c r="A47" s="56" t="str">
        <f>IFERROR(__xludf.DUMMYFUNCTION("""COMPUTED_VALUE"""),"Shuddha Basant")</f>
        <v>Shuddha Basant</v>
      </c>
      <c r="B47" s="54">
        <f>IFERROR(__xludf.DUMMYFUNCTION("""COMPUTED_VALUE"""),9.0)</f>
        <v>9</v>
      </c>
    </row>
    <row r="48">
      <c r="A48" s="56" t="str">
        <f>IFERROR(__xludf.DUMMYFUNCTION("""COMPUTED_VALUE"""),"Sindhura")</f>
        <v>Sindhura</v>
      </c>
      <c r="B48" s="54">
        <f>IFERROR(__xludf.DUMMYFUNCTION("""COMPUTED_VALUE"""),9.0)</f>
        <v>9</v>
      </c>
    </row>
    <row r="49">
      <c r="A49" s="56" t="str">
        <f>IFERROR(__xludf.DUMMYFUNCTION("""COMPUTED_VALUE"""),"Sohini")</f>
        <v>Sohini</v>
      </c>
      <c r="B49" s="54">
        <f>IFERROR(__xludf.DUMMYFUNCTION("""COMPUTED_VALUE"""),9.0)</f>
        <v>9</v>
      </c>
    </row>
    <row r="50">
      <c r="A50" s="56" t="str">
        <f>IFERROR(__xludf.DUMMYFUNCTION("""COMPUTED_VALUE"""),"Tilang")</f>
        <v>Tilang</v>
      </c>
      <c r="B50" s="54">
        <f>IFERROR(__xludf.DUMMYFUNCTION("""COMPUTED_VALUE"""),9.0)</f>
        <v>9</v>
      </c>
    </row>
    <row r="51">
      <c r="A51" s="56" t="str">
        <f>IFERROR(__xludf.DUMMYFUNCTION("""COMPUTED_VALUE"""),"Abhogi")</f>
        <v>Abhogi</v>
      </c>
      <c r="B51" s="54">
        <f>IFERROR(__xludf.DUMMYFUNCTION("""COMPUTED_VALUE"""),10.0)</f>
        <v>10</v>
      </c>
    </row>
    <row r="52">
      <c r="A52" s="56" t="str">
        <f>IFERROR(__xludf.DUMMYFUNCTION("""COMPUTED_VALUE"""),"Adana")</f>
        <v>Adana</v>
      </c>
      <c r="B52" s="54">
        <f>IFERROR(__xludf.DUMMYFUNCTION("""COMPUTED_VALUE"""),10.0)</f>
        <v>10</v>
      </c>
    </row>
    <row r="53">
      <c r="A53" s="56" t="str">
        <f>IFERROR(__xludf.DUMMYFUNCTION("""COMPUTED_VALUE"""),"Ahir Bhairav")</f>
        <v>Ahir Bhairav</v>
      </c>
      <c r="B53" s="54">
        <f>IFERROR(__xludf.DUMMYFUNCTION("""COMPUTED_VALUE"""),10.0)</f>
        <v>10</v>
      </c>
    </row>
    <row r="54">
      <c r="A54" s="56" t="str">
        <f>IFERROR(__xludf.DUMMYFUNCTION("""COMPUTED_VALUE"""),"Alhaiya Bilawal")</f>
        <v>Alhaiya Bilawal</v>
      </c>
      <c r="B54" s="54">
        <f>IFERROR(__xludf.DUMMYFUNCTION("""COMPUTED_VALUE"""),10.0)</f>
        <v>10</v>
      </c>
    </row>
    <row r="55">
      <c r="A55" s="56" t="str">
        <f>IFERROR(__xludf.DUMMYFUNCTION("""COMPUTED_VALUE"""),"Asavari (komal re)")</f>
        <v>Asavari (komal re)</v>
      </c>
      <c r="B55" s="54">
        <f>IFERROR(__xludf.DUMMYFUNCTION("""COMPUTED_VALUE"""),10.0)</f>
        <v>10</v>
      </c>
    </row>
    <row r="56">
      <c r="A56" s="56" t="str">
        <f>IFERROR(__xludf.DUMMYFUNCTION("""COMPUTED_VALUE"""),"Bageshri")</f>
        <v>Bageshri</v>
      </c>
      <c r="B56" s="54">
        <f>IFERROR(__xludf.DUMMYFUNCTION("""COMPUTED_VALUE"""),10.0)</f>
        <v>10</v>
      </c>
    </row>
    <row r="57">
      <c r="A57" s="56" t="str">
        <f>IFERROR(__xludf.DUMMYFUNCTION("""COMPUTED_VALUE"""),"Bahar")</f>
        <v>Bahar</v>
      </c>
      <c r="B57" s="54">
        <f>IFERROR(__xludf.DUMMYFUNCTION("""COMPUTED_VALUE"""),10.0)</f>
        <v>10</v>
      </c>
    </row>
    <row r="58">
      <c r="A58" s="56" t="str">
        <f>IFERROR(__xludf.DUMMYFUNCTION("""COMPUTED_VALUE"""),"Bairagi")</f>
        <v>Bairagi</v>
      </c>
      <c r="B58" s="54">
        <f>IFERROR(__xludf.DUMMYFUNCTION("""COMPUTED_VALUE"""),10.0)</f>
        <v>10</v>
      </c>
    </row>
    <row r="59">
      <c r="A59" s="56" t="str">
        <f>IFERROR(__xludf.DUMMYFUNCTION("""COMPUTED_VALUE"""),"Basant")</f>
        <v>Basant</v>
      </c>
      <c r="B59" s="54">
        <f>IFERROR(__xludf.DUMMYFUNCTION("""COMPUTED_VALUE"""),10.0)</f>
        <v>10</v>
      </c>
    </row>
    <row r="60">
      <c r="A60" s="56" t="str">
        <f>IFERROR(__xludf.DUMMYFUNCTION("""COMPUTED_VALUE"""),"Bhairav")</f>
        <v>Bhairav</v>
      </c>
      <c r="B60" s="54">
        <f>IFERROR(__xludf.DUMMYFUNCTION("""COMPUTED_VALUE"""),10.0)</f>
        <v>10</v>
      </c>
    </row>
    <row r="61">
      <c r="A61" s="56" t="str">
        <f>IFERROR(__xludf.DUMMYFUNCTION("""COMPUTED_VALUE"""),"Bhairavi")</f>
        <v>Bhairavi</v>
      </c>
      <c r="B61" s="54">
        <f>IFERROR(__xludf.DUMMYFUNCTION("""COMPUTED_VALUE"""),10.0)</f>
        <v>10</v>
      </c>
    </row>
    <row r="62">
      <c r="A62" s="56" t="str">
        <f>IFERROR(__xludf.DUMMYFUNCTION("""COMPUTED_VALUE"""),"Bhatiyar")</f>
        <v>Bhatiyar</v>
      </c>
      <c r="B62" s="54">
        <f>IFERROR(__xludf.DUMMYFUNCTION("""COMPUTED_VALUE"""),10.0)</f>
        <v>10</v>
      </c>
    </row>
    <row r="63">
      <c r="A63" s="56" t="str">
        <f>IFERROR(__xludf.DUMMYFUNCTION("""COMPUTED_VALUE"""),"Bhupali")</f>
        <v>Bhupali</v>
      </c>
      <c r="B63" s="54">
        <f>IFERROR(__xludf.DUMMYFUNCTION("""COMPUTED_VALUE"""),10.0)</f>
        <v>10</v>
      </c>
    </row>
    <row r="64">
      <c r="A64" s="56" t="str">
        <f>IFERROR(__xludf.DUMMYFUNCTION("""COMPUTED_VALUE"""),"Bihag")</f>
        <v>Bihag</v>
      </c>
      <c r="B64" s="54">
        <f>IFERROR(__xludf.DUMMYFUNCTION("""COMPUTED_VALUE"""),10.0)</f>
        <v>10</v>
      </c>
    </row>
    <row r="65">
      <c r="A65" s="56" t="str">
        <f>IFERROR(__xludf.DUMMYFUNCTION("""COMPUTED_VALUE"""),"Bilaskhani Todi")</f>
        <v>Bilaskhani Todi</v>
      </c>
      <c r="B65" s="54">
        <f>IFERROR(__xludf.DUMMYFUNCTION("""COMPUTED_VALUE"""),10.0)</f>
        <v>10</v>
      </c>
    </row>
    <row r="66">
      <c r="A66" s="56" t="str">
        <f>IFERROR(__xludf.DUMMYFUNCTION("""COMPUTED_VALUE"""),"Champakali")</f>
        <v>Champakali</v>
      </c>
      <c r="B66" s="54">
        <f>IFERROR(__xludf.DUMMYFUNCTION("""COMPUTED_VALUE"""),10.0)</f>
        <v>10</v>
      </c>
    </row>
    <row r="67">
      <c r="A67" s="56" t="str">
        <f>IFERROR(__xludf.DUMMYFUNCTION("""COMPUTED_VALUE"""),"Charukeshi")</f>
        <v>Charukeshi</v>
      </c>
      <c r="B67" s="54">
        <f>IFERROR(__xludf.DUMMYFUNCTION("""COMPUTED_VALUE"""),10.0)</f>
        <v>10</v>
      </c>
    </row>
    <row r="68">
      <c r="A68" s="56" t="str">
        <f>IFERROR(__xludf.DUMMYFUNCTION("""COMPUTED_VALUE"""),"Darbari Kanada")</f>
        <v>Darbari Kanada</v>
      </c>
      <c r="B68" s="54">
        <f>IFERROR(__xludf.DUMMYFUNCTION("""COMPUTED_VALUE"""),10.0)</f>
        <v>10</v>
      </c>
    </row>
    <row r="69">
      <c r="A69" s="56" t="str">
        <f>IFERROR(__xludf.DUMMYFUNCTION("""COMPUTED_VALUE"""),"Desh")</f>
        <v>Desh</v>
      </c>
      <c r="B69" s="54">
        <f>IFERROR(__xludf.DUMMYFUNCTION("""COMPUTED_VALUE"""),10.0)</f>
        <v>10</v>
      </c>
    </row>
    <row r="70">
      <c r="A70" s="56" t="str">
        <f>IFERROR(__xludf.DUMMYFUNCTION("""COMPUTED_VALUE"""),"Deshkar")</f>
        <v>Deshkar</v>
      </c>
      <c r="B70" s="54">
        <f>IFERROR(__xludf.DUMMYFUNCTION("""COMPUTED_VALUE"""),10.0)</f>
        <v>10</v>
      </c>
    </row>
    <row r="71">
      <c r="A71" s="56" t="str">
        <f>IFERROR(__xludf.DUMMYFUNCTION("""COMPUTED_VALUE"""),"Devgiri Bilawal")</f>
        <v>Devgiri Bilawal</v>
      </c>
      <c r="B71" s="54">
        <f>IFERROR(__xludf.DUMMYFUNCTION("""COMPUTED_VALUE"""),10.0)</f>
        <v>10</v>
      </c>
    </row>
    <row r="72">
      <c r="A72" s="56" t="str">
        <f>IFERROR(__xludf.DUMMYFUNCTION("""COMPUTED_VALUE"""),"Durga")</f>
        <v>Durga</v>
      </c>
      <c r="B72" s="54">
        <f>IFERROR(__xludf.DUMMYFUNCTION("""COMPUTED_VALUE"""),10.0)</f>
        <v>10</v>
      </c>
    </row>
    <row r="73">
      <c r="A73" s="56" t="str">
        <f>IFERROR(__xludf.DUMMYFUNCTION("""COMPUTED_VALUE"""),"Gaud Malhar")</f>
        <v>Gaud Malhar</v>
      </c>
      <c r="B73" s="54">
        <f>IFERROR(__xludf.DUMMYFUNCTION("""COMPUTED_VALUE"""),10.0)</f>
        <v>10</v>
      </c>
    </row>
    <row r="74">
      <c r="A74" s="56" t="str">
        <f>IFERROR(__xludf.DUMMYFUNCTION("""COMPUTED_VALUE"""),"Gaud Sarang")</f>
        <v>Gaud Sarang</v>
      </c>
      <c r="B74" s="54">
        <f>IFERROR(__xludf.DUMMYFUNCTION("""COMPUTED_VALUE"""),10.0)</f>
        <v>10</v>
      </c>
    </row>
    <row r="75">
      <c r="A75" s="56" t="str">
        <f>IFERROR(__xludf.DUMMYFUNCTION("""COMPUTED_VALUE"""),"Gavati")</f>
        <v>Gavati</v>
      </c>
      <c r="B75" s="54">
        <f>IFERROR(__xludf.DUMMYFUNCTION("""COMPUTED_VALUE"""),10.0)</f>
        <v>10</v>
      </c>
    </row>
    <row r="76">
      <c r="A76" s="56" t="str">
        <f>IFERROR(__xludf.DUMMYFUNCTION("""COMPUTED_VALUE"""),"Gunakri")</f>
        <v>Gunakri</v>
      </c>
      <c r="B76" s="54">
        <f>IFERROR(__xludf.DUMMYFUNCTION("""COMPUTED_VALUE"""),10.0)</f>
        <v>10</v>
      </c>
    </row>
    <row r="77">
      <c r="A77" s="56" t="str">
        <f>IFERROR(__xludf.DUMMYFUNCTION("""COMPUTED_VALUE"""),"Hameer")</f>
        <v>Hameer</v>
      </c>
      <c r="B77" s="54">
        <f>IFERROR(__xludf.DUMMYFUNCTION("""COMPUTED_VALUE"""),10.0)</f>
        <v>10</v>
      </c>
    </row>
    <row r="78">
      <c r="A78" s="56" t="str">
        <f>IFERROR(__xludf.DUMMYFUNCTION("""COMPUTED_VALUE"""),"Hansadhwani")</f>
        <v>Hansadhwani</v>
      </c>
      <c r="B78" s="54">
        <f>IFERROR(__xludf.DUMMYFUNCTION("""COMPUTED_VALUE"""),10.0)</f>
        <v>10</v>
      </c>
    </row>
    <row r="79">
      <c r="A79" s="56" t="str">
        <f>IFERROR(__xludf.DUMMYFUNCTION("""COMPUTED_VALUE"""),"Hemant")</f>
        <v>Hemant</v>
      </c>
      <c r="B79" s="54">
        <f>IFERROR(__xludf.DUMMYFUNCTION("""COMPUTED_VALUE"""),10.0)</f>
        <v>10</v>
      </c>
    </row>
    <row r="80">
      <c r="A80" s="56" t="str">
        <f>IFERROR(__xludf.DUMMYFUNCTION("""COMPUTED_VALUE"""),"Jaijaiwanti")</f>
        <v>Jaijaiwanti</v>
      </c>
      <c r="B80" s="54">
        <f>IFERROR(__xludf.DUMMYFUNCTION("""COMPUTED_VALUE"""),10.0)</f>
        <v>10</v>
      </c>
    </row>
    <row r="81">
      <c r="A81" s="56" t="str">
        <f>IFERROR(__xludf.DUMMYFUNCTION("""COMPUTED_VALUE"""),"Jhinjoti")</f>
        <v>Jhinjoti</v>
      </c>
      <c r="B81" s="54">
        <f>IFERROR(__xludf.DUMMYFUNCTION("""COMPUTED_VALUE"""),10.0)</f>
        <v>10</v>
      </c>
    </row>
    <row r="82">
      <c r="A82" s="56" t="str">
        <f>IFERROR(__xludf.DUMMYFUNCTION("""COMPUTED_VALUE"""),"Jog")</f>
        <v>Jog</v>
      </c>
      <c r="B82" s="54">
        <f>IFERROR(__xludf.DUMMYFUNCTION("""COMPUTED_VALUE"""),10.0)</f>
        <v>10</v>
      </c>
    </row>
    <row r="83">
      <c r="A83" s="56" t="str">
        <f>IFERROR(__xludf.DUMMYFUNCTION("""COMPUTED_VALUE"""),"Jogkauns")</f>
        <v>Jogkauns</v>
      </c>
      <c r="B83" s="54">
        <f>IFERROR(__xludf.DUMMYFUNCTION("""COMPUTED_VALUE"""),10.0)</f>
        <v>10</v>
      </c>
    </row>
    <row r="84">
      <c r="A84" s="56" t="str">
        <f>IFERROR(__xludf.DUMMYFUNCTION("""COMPUTED_VALUE"""),"Kafi")</f>
        <v>Kafi</v>
      </c>
      <c r="B84" s="54">
        <f>IFERROR(__xludf.DUMMYFUNCTION("""COMPUTED_VALUE"""),10.0)</f>
        <v>10</v>
      </c>
    </row>
    <row r="85">
      <c r="A85" s="56" t="str">
        <f>IFERROR(__xludf.DUMMYFUNCTION("""COMPUTED_VALUE"""),"Kamod")</f>
        <v>Kamod</v>
      </c>
      <c r="B85" s="54">
        <f>IFERROR(__xludf.DUMMYFUNCTION("""COMPUTED_VALUE"""),10.0)</f>
        <v>10</v>
      </c>
    </row>
    <row r="86">
      <c r="A86" s="56" t="str">
        <f>IFERROR(__xludf.DUMMYFUNCTION("""COMPUTED_VALUE"""),"Kaunsi Kanada")</f>
        <v>Kaunsi Kanada</v>
      </c>
      <c r="B86" s="54">
        <f>IFERROR(__xludf.DUMMYFUNCTION("""COMPUTED_VALUE"""),10.0)</f>
        <v>10</v>
      </c>
    </row>
    <row r="87">
      <c r="A87" s="56" t="str">
        <f>IFERROR(__xludf.DUMMYFUNCTION("""COMPUTED_VALUE"""),"Kaushik Dhwani")</f>
        <v>Kaushik Dhwani</v>
      </c>
      <c r="B87" s="54">
        <f>IFERROR(__xludf.DUMMYFUNCTION("""COMPUTED_VALUE"""),10.0)</f>
        <v>10</v>
      </c>
    </row>
    <row r="88">
      <c r="A88" s="56" t="str">
        <f>IFERROR(__xludf.DUMMYFUNCTION("""COMPUTED_VALUE"""),"Kedar")</f>
        <v>Kedar</v>
      </c>
      <c r="B88" s="54">
        <f>IFERROR(__xludf.DUMMYFUNCTION("""COMPUTED_VALUE"""),10.0)</f>
        <v>10</v>
      </c>
    </row>
    <row r="89">
      <c r="A89" s="56" t="str">
        <f>IFERROR(__xludf.DUMMYFUNCTION("""COMPUTED_VALUE"""),"Khamaj")</f>
        <v>Khamaj</v>
      </c>
      <c r="B89" s="54">
        <f>IFERROR(__xludf.DUMMYFUNCTION("""COMPUTED_VALUE"""),10.0)</f>
        <v>10</v>
      </c>
    </row>
    <row r="90">
      <c r="A90" s="56" t="str">
        <f>IFERROR(__xludf.DUMMYFUNCTION("""COMPUTED_VALUE"""),"Kirwani")</f>
        <v>Kirwani</v>
      </c>
      <c r="B90" s="54">
        <f>IFERROR(__xludf.DUMMYFUNCTION("""COMPUTED_VALUE"""),10.0)</f>
        <v>10</v>
      </c>
    </row>
    <row r="91">
      <c r="A91" s="56" t="str">
        <f>IFERROR(__xludf.DUMMYFUNCTION("""COMPUTED_VALUE"""),"Lalit")</f>
        <v>Lalit</v>
      </c>
      <c r="B91" s="54">
        <f>IFERROR(__xludf.DUMMYFUNCTION("""COMPUTED_VALUE"""),10.0)</f>
        <v>10</v>
      </c>
    </row>
    <row r="92">
      <c r="A92" s="56" t="str">
        <f>IFERROR(__xludf.DUMMYFUNCTION("""COMPUTED_VALUE"""),"Madhukauns")</f>
        <v>Madhukauns</v>
      </c>
      <c r="B92" s="54">
        <f>IFERROR(__xludf.DUMMYFUNCTION("""COMPUTED_VALUE"""),10.0)</f>
        <v>10</v>
      </c>
    </row>
    <row r="93">
      <c r="A93" s="56" t="str">
        <f>IFERROR(__xludf.DUMMYFUNCTION("""COMPUTED_VALUE"""),"Madhumand Sarang")</f>
        <v>Madhumand Sarang</v>
      </c>
      <c r="B93" s="54">
        <f>IFERROR(__xludf.DUMMYFUNCTION("""COMPUTED_VALUE"""),10.0)</f>
        <v>10</v>
      </c>
    </row>
    <row r="94">
      <c r="A94" s="56" t="str">
        <f>IFERROR(__xludf.DUMMYFUNCTION("""COMPUTED_VALUE"""),"Malkauns")</f>
        <v>Malkauns</v>
      </c>
      <c r="B94" s="54">
        <f>IFERROR(__xludf.DUMMYFUNCTION("""COMPUTED_VALUE"""),10.0)</f>
        <v>10</v>
      </c>
    </row>
    <row r="95">
      <c r="A95" s="56" t="str">
        <f>IFERROR(__xludf.DUMMYFUNCTION("""COMPUTED_VALUE"""),"Manj Khamaj")</f>
        <v>Manj Khamaj</v>
      </c>
      <c r="B95" s="54">
        <f>IFERROR(__xludf.DUMMYFUNCTION("""COMPUTED_VALUE"""),10.0)</f>
        <v>10</v>
      </c>
    </row>
    <row r="96">
      <c r="A96" s="56" t="str">
        <f>IFERROR(__xludf.DUMMYFUNCTION("""COMPUTED_VALUE"""),"Maru Bihag")</f>
        <v>Maru Bihag</v>
      </c>
      <c r="B96" s="54">
        <f>IFERROR(__xludf.DUMMYFUNCTION("""COMPUTED_VALUE"""),10.0)</f>
        <v>10</v>
      </c>
    </row>
    <row r="97">
      <c r="A97" s="56" t="str">
        <f>IFERROR(__xludf.DUMMYFUNCTION("""COMPUTED_VALUE"""),"Marwa")</f>
        <v>Marwa</v>
      </c>
      <c r="B97" s="54">
        <f>IFERROR(__xludf.DUMMYFUNCTION("""COMPUTED_VALUE"""),10.0)</f>
        <v>10</v>
      </c>
    </row>
    <row r="98">
      <c r="A98" s="56" t="str">
        <f>IFERROR(__xludf.DUMMYFUNCTION("""COMPUTED_VALUE"""),"Megh")</f>
        <v>Megh</v>
      </c>
      <c r="B98" s="54">
        <f>IFERROR(__xludf.DUMMYFUNCTION("""COMPUTED_VALUE"""),10.0)</f>
        <v>10</v>
      </c>
    </row>
    <row r="99">
      <c r="A99" s="56" t="str">
        <f>IFERROR(__xludf.DUMMYFUNCTION("""COMPUTED_VALUE"""),"Miyan ki Malhar")</f>
        <v>Miyan ki Malhar</v>
      </c>
      <c r="B99" s="54">
        <f>IFERROR(__xludf.DUMMYFUNCTION("""COMPUTED_VALUE"""),10.0)</f>
        <v>10</v>
      </c>
    </row>
    <row r="100">
      <c r="A100" s="56" t="str">
        <f>IFERROR(__xludf.DUMMYFUNCTION("""COMPUTED_VALUE"""),"Multani")</f>
        <v>Multani</v>
      </c>
      <c r="B100" s="54">
        <f>IFERROR(__xludf.DUMMYFUNCTION("""COMPUTED_VALUE"""),10.0)</f>
        <v>10</v>
      </c>
    </row>
    <row r="101">
      <c r="A101" s="56" t="str">
        <f>IFERROR(__xludf.DUMMYFUNCTION("""COMPUTED_VALUE"""),"Nat Bhairav")</f>
        <v>Nat Bhairav</v>
      </c>
      <c r="B101" s="54">
        <f>IFERROR(__xludf.DUMMYFUNCTION("""COMPUTED_VALUE"""),10.0)</f>
        <v>10</v>
      </c>
    </row>
    <row r="102">
      <c r="A102" s="56" t="str">
        <f>IFERROR(__xludf.DUMMYFUNCTION("""COMPUTED_VALUE"""),"Pahadi")</f>
        <v>Pahadi</v>
      </c>
      <c r="B102" s="54">
        <f>IFERROR(__xludf.DUMMYFUNCTION("""COMPUTED_VALUE"""),10.0)</f>
        <v>10</v>
      </c>
    </row>
    <row r="103">
      <c r="A103" s="56" t="str">
        <f>IFERROR(__xludf.DUMMYFUNCTION("""COMPUTED_VALUE"""),"Patdeep")</f>
        <v>Patdeep</v>
      </c>
      <c r="B103" s="54">
        <f>IFERROR(__xludf.DUMMYFUNCTION("""COMPUTED_VALUE"""),10.0)</f>
        <v>10</v>
      </c>
    </row>
    <row r="104">
      <c r="A104" s="56" t="str">
        <f>IFERROR(__xludf.DUMMYFUNCTION("""COMPUTED_VALUE"""),"Poorvi")</f>
        <v>Poorvi</v>
      </c>
      <c r="B104" s="54">
        <f>IFERROR(__xludf.DUMMYFUNCTION("""COMPUTED_VALUE"""),10.0)</f>
        <v>10</v>
      </c>
    </row>
    <row r="105">
      <c r="A105" s="56" t="str">
        <f>IFERROR(__xludf.DUMMYFUNCTION("""COMPUTED_VALUE"""),"Puriya")</f>
        <v>Puriya</v>
      </c>
      <c r="B105" s="54">
        <f>IFERROR(__xludf.DUMMYFUNCTION("""COMPUTED_VALUE"""),10.0)</f>
        <v>10</v>
      </c>
    </row>
    <row r="106">
      <c r="A106" s="56" t="str">
        <f>IFERROR(__xludf.DUMMYFUNCTION("""COMPUTED_VALUE"""),"Puriya Dhanashree")</f>
        <v>Puriya Dhanashree</v>
      </c>
      <c r="B106" s="54">
        <f>IFERROR(__xludf.DUMMYFUNCTION("""COMPUTED_VALUE"""),10.0)</f>
        <v>10</v>
      </c>
    </row>
    <row r="107">
      <c r="A107" s="56" t="str">
        <f>IFERROR(__xludf.DUMMYFUNCTION("""COMPUTED_VALUE"""),"Puriya Kalyan")</f>
        <v>Puriya Kalyan</v>
      </c>
      <c r="B107" s="54">
        <f>IFERROR(__xludf.DUMMYFUNCTION("""COMPUTED_VALUE"""),10.0)</f>
        <v>10</v>
      </c>
    </row>
    <row r="108">
      <c r="A108" s="56" t="str">
        <f>IFERROR(__xludf.DUMMYFUNCTION("""COMPUTED_VALUE"""),"Rageshri")</f>
        <v>Rageshri</v>
      </c>
      <c r="B108" s="54">
        <f>IFERROR(__xludf.DUMMYFUNCTION("""COMPUTED_VALUE"""),10.0)</f>
        <v>10</v>
      </c>
    </row>
    <row r="109">
      <c r="A109" s="56" t="str">
        <f>IFERROR(__xludf.DUMMYFUNCTION("""COMPUTED_VALUE"""),"Ramdasi Malhar")</f>
        <v>Ramdasi Malhar</v>
      </c>
      <c r="B109" s="54">
        <f>IFERROR(__xludf.DUMMYFUNCTION("""COMPUTED_VALUE"""),10.0)</f>
        <v>10</v>
      </c>
    </row>
    <row r="110">
      <c r="A110" s="56" t="str">
        <f>IFERROR(__xludf.DUMMYFUNCTION("""COMPUTED_VALUE"""),"Salagavarali")</f>
        <v>Salagavarali</v>
      </c>
      <c r="B110" s="54">
        <f>IFERROR(__xludf.DUMMYFUNCTION("""COMPUTED_VALUE"""),10.0)</f>
        <v>10</v>
      </c>
    </row>
    <row r="111">
      <c r="A111" s="56" t="str">
        <f>IFERROR(__xludf.DUMMYFUNCTION("""COMPUTED_VALUE"""),"Sarang")</f>
        <v>Sarang</v>
      </c>
      <c r="B111" s="54">
        <f>IFERROR(__xludf.DUMMYFUNCTION("""COMPUTED_VALUE"""),10.0)</f>
        <v>10</v>
      </c>
    </row>
    <row r="112">
      <c r="A112" s="56" t="str">
        <f>IFERROR(__xludf.DUMMYFUNCTION("""COMPUTED_VALUE"""),"Saraswati")</f>
        <v>Saraswati</v>
      </c>
      <c r="B112" s="54">
        <f>IFERROR(__xludf.DUMMYFUNCTION("""COMPUTED_VALUE"""),10.0)</f>
        <v>10</v>
      </c>
    </row>
    <row r="113">
      <c r="A113" s="56" t="str">
        <f>IFERROR(__xludf.DUMMYFUNCTION("""COMPUTED_VALUE"""),"Shri")</f>
        <v>Shri</v>
      </c>
      <c r="B113" s="54">
        <f>IFERROR(__xludf.DUMMYFUNCTION("""COMPUTED_VALUE"""),10.0)</f>
        <v>10</v>
      </c>
    </row>
    <row r="114">
      <c r="A114" s="56" t="str">
        <f>IFERROR(__xludf.DUMMYFUNCTION("""COMPUTED_VALUE"""),"Shuddh Sarang")</f>
        <v>Shuddh Sarang</v>
      </c>
      <c r="B114" s="54">
        <f>IFERROR(__xludf.DUMMYFUNCTION("""COMPUTED_VALUE"""),10.0)</f>
        <v>10</v>
      </c>
    </row>
    <row r="115">
      <c r="A115" s="56" t="str">
        <f>IFERROR(__xludf.DUMMYFUNCTION("""COMPUTED_VALUE"""),"Shuddha Kalyan")</f>
        <v>Shuddha Kalyan</v>
      </c>
      <c r="B115" s="54">
        <f>IFERROR(__xludf.DUMMYFUNCTION("""COMPUTED_VALUE"""),10.0)</f>
        <v>10</v>
      </c>
    </row>
    <row r="116">
      <c r="A116" s="56" t="str">
        <f>IFERROR(__xludf.DUMMYFUNCTION("""COMPUTED_VALUE"""),"Shyam Kalyan")</f>
        <v>Shyam Kalyan</v>
      </c>
      <c r="B116" s="54">
        <f>IFERROR(__xludf.DUMMYFUNCTION("""COMPUTED_VALUE"""),10.0)</f>
        <v>10</v>
      </c>
    </row>
    <row r="117">
      <c r="A117" s="56" t="str">
        <f>IFERROR(__xludf.DUMMYFUNCTION("""COMPUTED_VALUE"""),"Surdasi Malhar")</f>
        <v>Surdasi Malhar</v>
      </c>
      <c r="B117" s="54">
        <f>IFERROR(__xludf.DUMMYFUNCTION("""COMPUTED_VALUE"""),10.0)</f>
        <v>10</v>
      </c>
    </row>
    <row r="118">
      <c r="A118" s="56" t="str">
        <f>IFERROR(__xludf.DUMMYFUNCTION("""COMPUTED_VALUE"""),"Todi")</f>
        <v>Todi</v>
      </c>
      <c r="B118" s="54">
        <f>IFERROR(__xludf.DUMMYFUNCTION("""COMPUTED_VALUE"""),10.0)</f>
        <v>10</v>
      </c>
    </row>
    <row r="119">
      <c r="A119" s="56" t="str">
        <f>IFERROR(__xludf.DUMMYFUNCTION("""COMPUTED_VALUE"""),"Yaman Kalyan")</f>
        <v>Yaman Kalyan</v>
      </c>
      <c r="B119" s="54">
        <f>IFERROR(__xludf.DUMMYFUNCTION("""COMPUTED_VALUE"""),10.0)</f>
        <v>10</v>
      </c>
    </row>
    <row r="120">
      <c r="A120" s="56" t="str">
        <f>IFERROR(__xludf.DUMMYFUNCTION("""COMPUTED_VALUE"""),"Nand")</f>
        <v>Nand</v>
      </c>
      <c r="B120" s="54">
        <f>IFERROR(__xludf.DUMMYFUNCTION("""COMPUTED_VALUE"""),11.0)</f>
        <v>11</v>
      </c>
    </row>
    <row r="121">
      <c r="A121" s="56" t="str">
        <f>IFERROR(__xludf.DUMMYFUNCTION("""COMPUTED_VALUE"""),"Chandrakauns")</f>
        <v>Chandrakauns</v>
      </c>
      <c r="B121" s="54">
        <f>IFERROR(__xludf.DUMMYFUNCTION("""COMPUTED_VALUE"""),15.0)</f>
        <v>15</v>
      </c>
    </row>
    <row r="122">
      <c r="A122" s="56" t="str">
        <f>IFERROR(__xludf.DUMMYFUNCTION("""COMPUTED_VALUE"""),"Madhuvanti")</f>
        <v>Madhuvanti</v>
      </c>
      <c r="B122" s="54">
        <f>IFERROR(__xludf.DUMMYFUNCTION("""COMPUTED_VALUE"""),19.0)</f>
        <v>19</v>
      </c>
    </row>
    <row r="123">
      <c r="A123" s="56"/>
      <c r="B123" s="54"/>
    </row>
    <row r="124">
      <c r="A124" s="56"/>
      <c r="B124" s="54"/>
    </row>
    <row r="125">
      <c r="A125" s="56"/>
      <c r="B125" s="54"/>
    </row>
    <row r="126">
      <c r="A126" s="56"/>
      <c r="B126" s="54"/>
    </row>
    <row r="127">
      <c r="A127" s="56"/>
      <c r="B127" s="54"/>
    </row>
    <row r="128">
      <c r="A128" s="56"/>
      <c r="B128" s="54"/>
    </row>
    <row r="129">
      <c r="A129" s="56"/>
      <c r="B129" s="54"/>
    </row>
    <row r="130">
      <c r="A130" s="56"/>
      <c r="B130" s="54"/>
    </row>
    <row r="131">
      <c r="A131" s="56"/>
      <c r="B131" s="54"/>
    </row>
    <row r="132">
      <c r="A132" s="56"/>
      <c r="B132" s="54"/>
    </row>
    <row r="133">
      <c r="A133" s="56"/>
      <c r="B133" s="54"/>
    </row>
    <row r="134">
      <c r="A134" s="56"/>
      <c r="B134" s="54"/>
    </row>
    <row r="135">
      <c r="A135" s="56"/>
      <c r="B135" s="54"/>
    </row>
    <row r="136">
      <c r="A136" s="56"/>
      <c r="B136" s="54"/>
    </row>
    <row r="137">
      <c r="A137" s="56"/>
      <c r="B137" s="54"/>
    </row>
    <row r="138">
      <c r="A138" s="56"/>
      <c r="B138" s="54"/>
    </row>
    <row r="139">
      <c r="A139" s="56"/>
      <c r="B139" s="54"/>
    </row>
    <row r="140">
      <c r="A140" s="56"/>
      <c r="B140" s="54"/>
    </row>
    <row r="141">
      <c r="A141" s="56"/>
      <c r="B141" s="54"/>
    </row>
    <row r="142">
      <c r="A142" s="56"/>
      <c r="B142" s="54"/>
    </row>
    <row r="143">
      <c r="A143" s="56"/>
      <c r="B143" s="54"/>
    </row>
    <row r="144">
      <c r="A144" s="56"/>
      <c r="B144" s="54"/>
    </row>
    <row r="145">
      <c r="A145" s="56"/>
      <c r="B145" s="54"/>
    </row>
    <row r="146">
      <c r="A146" s="56"/>
      <c r="B146" s="54"/>
    </row>
    <row r="147">
      <c r="A147" s="56"/>
      <c r="B147" s="54"/>
    </row>
    <row r="148">
      <c r="A148" s="56"/>
      <c r="B148" s="54"/>
    </row>
    <row r="149">
      <c r="A149" s="56"/>
      <c r="B149" s="54"/>
    </row>
    <row r="150">
      <c r="A150" s="56"/>
      <c r="B150" s="54"/>
    </row>
    <row r="151">
      <c r="A151" s="56"/>
      <c r="B151" s="54"/>
    </row>
    <row r="152">
      <c r="A152" s="56"/>
      <c r="B152" s="54"/>
    </row>
    <row r="153">
      <c r="A153" s="56"/>
      <c r="B153" s="54"/>
    </row>
    <row r="154">
      <c r="A154" s="56"/>
      <c r="B154" s="54"/>
    </row>
    <row r="155">
      <c r="A155" s="56"/>
      <c r="B155" s="54"/>
    </row>
    <row r="156">
      <c r="A156" s="56"/>
      <c r="B156" s="54"/>
    </row>
    <row r="157">
      <c r="A157" s="56"/>
      <c r="B157" s="54"/>
    </row>
    <row r="158">
      <c r="A158" s="56"/>
      <c r="B158" s="54"/>
    </row>
    <row r="159">
      <c r="A159" s="56"/>
      <c r="B159" s="54"/>
    </row>
    <row r="160">
      <c r="A160" s="56"/>
      <c r="B160" s="54"/>
    </row>
    <row r="161">
      <c r="A161" s="56"/>
      <c r="B161" s="54"/>
    </row>
    <row r="162">
      <c r="A162" s="56"/>
      <c r="B162" s="54"/>
    </row>
    <row r="163">
      <c r="A163" s="56"/>
      <c r="B163" s="54"/>
    </row>
    <row r="164">
      <c r="A164" s="56"/>
      <c r="B164" s="54"/>
    </row>
    <row r="165">
      <c r="A165" s="56"/>
      <c r="B165" s="54"/>
    </row>
    <row r="166">
      <c r="A166" s="56"/>
      <c r="B166" s="54"/>
    </row>
    <row r="167">
      <c r="A167" s="56"/>
      <c r="B167" s="54"/>
    </row>
    <row r="168">
      <c r="A168" s="56"/>
      <c r="B168" s="54"/>
    </row>
    <row r="169">
      <c r="A169" s="56"/>
      <c r="B169" s="54"/>
    </row>
    <row r="170">
      <c r="A170" s="56"/>
      <c r="B170" s="54"/>
    </row>
    <row r="171">
      <c r="A171" s="56"/>
      <c r="B171" s="54"/>
    </row>
    <row r="172">
      <c r="A172" s="56"/>
      <c r="B172" s="54"/>
    </row>
    <row r="173">
      <c r="A173" s="56"/>
      <c r="B173" s="54"/>
    </row>
    <row r="174">
      <c r="A174" s="56"/>
      <c r="B174" s="54"/>
    </row>
    <row r="175">
      <c r="A175" s="56"/>
      <c r="B175" s="54"/>
    </row>
    <row r="176">
      <c r="A176" s="56"/>
      <c r="B176" s="54"/>
    </row>
    <row r="177">
      <c r="A177" s="56"/>
      <c r="B177" s="54"/>
    </row>
    <row r="178">
      <c r="A178" s="56"/>
      <c r="B178" s="54"/>
    </row>
    <row r="179">
      <c r="A179" s="56"/>
      <c r="B179" s="54"/>
    </row>
    <row r="180">
      <c r="A180" s="56"/>
      <c r="B180" s="54"/>
    </row>
    <row r="181">
      <c r="A181" s="56"/>
      <c r="B181" s="54"/>
    </row>
    <row r="182">
      <c r="A182" s="56"/>
      <c r="B182" s="54"/>
    </row>
    <row r="183">
      <c r="A183" s="56"/>
      <c r="B183" s="54"/>
    </row>
    <row r="184">
      <c r="A184" s="56"/>
      <c r="B184" s="54"/>
    </row>
    <row r="185">
      <c r="A185" s="56"/>
      <c r="B185" s="54"/>
    </row>
    <row r="186">
      <c r="A186" s="56"/>
      <c r="B186" s="54"/>
    </row>
    <row r="187">
      <c r="A187" s="56"/>
      <c r="B187" s="54"/>
    </row>
    <row r="188">
      <c r="A188" s="56"/>
      <c r="B188" s="54"/>
    </row>
    <row r="189">
      <c r="A189" s="56"/>
      <c r="B189" s="54"/>
    </row>
    <row r="190">
      <c r="A190" s="56"/>
      <c r="B190" s="54"/>
    </row>
    <row r="191">
      <c r="A191" s="56"/>
      <c r="B191" s="54"/>
    </row>
    <row r="192">
      <c r="A192" s="56"/>
      <c r="B192" s="54"/>
    </row>
    <row r="193">
      <c r="A193" s="56"/>
      <c r="B193" s="54"/>
    </row>
    <row r="194">
      <c r="A194" s="56"/>
      <c r="B194" s="54"/>
    </row>
    <row r="195">
      <c r="A195" s="56"/>
      <c r="B195" s="54"/>
    </row>
    <row r="196">
      <c r="A196" s="56"/>
      <c r="B196" s="54"/>
    </row>
    <row r="197">
      <c r="A197" s="56"/>
      <c r="B197" s="54"/>
    </row>
    <row r="198">
      <c r="A198" s="56"/>
      <c r="B198" s="54"/>
    </row>
    <row r="199">
      <c r="A199" s="56"/>
      <c r="B199" s="54"/>
    </row>
    <row r="200">
      <c r="A200" s="56"/>
      <c r="B200" s="54"/>
    </row>
    <row r="201">
      <c r="A201" s="56"/>
      <c r="B201" s="54"/>
    </row>
    <row r="202">
      <c r="A202" s="56"/>
      <c r="B202" s="54"/>
    </row>
    <row r="203">
      <c r="A203" s="56"/>
      <c r="B203" s="54"/>
    </row>
    <row r="204">
      <c r="A204" s="56"/>
      <c r="B204" s="54"/>
    </row>
    <row r="205">
      <c r="A205" s="56"/>
      <c r="B205" s="54"/>
    </row>
    <row r="206">
      <c r="A206" s="56"/>
      <c r="B206" s="54"/>
    </row>
    <row r="207">
      <c r="A207" s="56"/>
      <c r="B207" s="54"/>
    </row>
    <row r="208">
      <c r="A208" s="56"/>
      <c r="B208" s="54"/>
    </row>
    <row r="209">
      <c r="A209" s="56"/>
      <c r="B209" s="54"/>
    </row>
    <row r="210">
      <c r="A210" s="56"/>
      <c r="B210" s="54"/>
    </row>
    <row r="211">
      <c r="A211" s="56"/>
      <c r="B211" s="54"/>
    </row>
    <row r="212">
      <c r="A212" s="56"/>
      <c r="B212" s="54"/>
    </row>
    <row r="213">
      <c r="A213" s="56"/>
      <c r="B213" s="54"/>
    </row>
    <row r="214">
      <c r="A214" s="56"/>
      <c r="B214" s="54"/>
    </row>
    <row r="215">
      <c r="A215" s="56"/>
      <c r="B215" s="54"/>
    </row>
    <row r="216">
      <c r="A216" s="56"/>
      <c r="B216" s="54"/>
    </row>
    <row r="217">
      <c r="A217" s="56"/>
      <c r="B217" s="54"/>
    </row>
    <row r="218">
      <c r="A218" s="56"/>
      <c r="B218" s="54"/>
    </row>
    <row r="219">
      <c r="A219" s="56"/>
      <c r="B219" s="54"/>
    </row>
    <row r="220">
      <c r="A220" s="56"/>
      <c r="B220" s="54"/>
    </row>
    <row r="221">
      <c r="A221" s="56"/>
      <c r="B221" s="54"/>
    </row>
    <row r="222">
      <c r="A222" s="56"/>
      <c r="B222" s="54"/>
    </row>
    <row r="223">
      <c r="A223" s="56"/>
      <c r="B223" s="54"/>
    </row>
    <row r="224">
      <c r="A224" s="56"/>
      <c r="B224" s="54"/>
    </row>
    <row r="225">
      <c r="A225" s="56"/>
      <c r="B225" s="54"/>
    </row>
    <row r="226">
      <c r="A226" s="56"/>
      <c r="B226" s="54"/>
    </row>
    <row r="227">
      <c r="A227" s="56"/>
      <c r="B227" s="54"/>
    </row>
    <row r="228">
      <c r="A228" s="56"/>
      <c r="B228" s="54"/>
    </row>
    <row r="229">
      <c r="A229" s="56"/>
      <c r="B229" s="54"/>
    </row>
    <row r="230">
      <c r="A230" s="56"/>
      <c r="B230" s="54"/>
    </row>
    <row r="231">
      <c r="A231" s="56"/>
      <c r="B231" s="54"/>
    </row>
    <row r="232">
      <c r="A232" s="56"/>
      <c r="B232" s="54"/>
    </row>
    <row r="233">
      <c r="A233" s="56"/>
      <c r="B233" s="54"/>
    </row>
    <row r="234">
      <c r="A234" s="56"/>
      <c r="B234" s="54"/>
    </row>
    <row r="235">
      <c r="A235" s="56"/>
      <c r="B235" s="54"/>
    </row>
    <row r="236">
      <c r="A236" s="56"/>
      <c r="B236" s="54"/>
    </row>
    <row r="237">
      <c r="A237" s="56"/>
      <c r="B237" s="54"/>
    </row>
    <row r="238">
      <c r="A238" s="56"/>
      <c r="B238" s="54"/>
    </row>
    <row r="239">
      <c r="A239" s="56"/>
      <c r="B239" s="54"/>
    </row>
    <row r="240">
      <c r="A240" s="56"/>
      <c r="B240" s="54"/>
    </row>
    <row r="241">
      <c r="A241" s="56"/>
      <c r="B241" s="54"/>
    </row>
    <row r="242">
      <c r="A242" s="56"/>
      <c r="B242" s="54"/>
    </row>
    <row r="243">
      <c r="A243" s="56"/>
      <c r="B243" s="54"/>
    </row>
    <row r="244">
      <c r="A244" s="56"/>
      <c r="B244" s="54"/>
    </row>
    <row r="245">
      <c r="A245" s="56"/>
      <c r="B245" s="54"/>
    </row>
    <row r="246">
      <c r="A246" s="56"/>
      <c r="B246" s="54"/>
    </row>
    <row r="247">
      <c r="A247" s="56"/>
      <c r="B247" s="54"/>
    </row>
    <row r="248">
      <c r="A248" s="56"/>
      <c r="B248" s="54"/>
    </row>
    <row r="249">
      <c r="A249" s="56"/>
      <c r="B249" s="54"/>
    </row>
    <row r="250">
      <c r="A250" s="56"/>
      <c r="B250" s="54"/>
    </row>
    <row r="251">
      <c r="A251" s="56"/>
      <c r="B251" s="54"/>
    </row>
    <row r="252">
      <c r="A252" s="56"/>
      <c r="B252" s="54"/>
    </row>
    <row r="253">
      <c r="A253" s="56"/>
      <c r="B253" s="54"/>
    </row>
    <row r="254">
      <c r="A254" s="56"/>
      <c r="B254" s="54"/>
    </row>
    <row r="255">
      <c r="A255" s="56"/>
      <c r="B255" s="54"/>
    </row>
    <row r="256">
      <c r="A256" s="56"/>
      <c r="B256" s="54"/>
    </row>
    <row r="257">
      <c r="A257" s="56"/>
      <c r="B257" s="54"/>
    </row>
    <row r="258">
      <c r="A258" s="56"/>
      <c r="B258" s="54"/>
    </row>
    <row r="259">
      <c r="A259" s="56"/>
      <c r="B259" s="54"/>
    </row>
    <row r="260">
      <c r="A260" s="56"/>
      <c r="B260" s="54"/>
    </row>
    <row r="261">
      <c r="A261" s="56"/>
      <c r="B261" s="54"/>
    </row>
    <row r="262">
      <c r="A262" s="56"/>
      <c r="B262" s="54"/>
    </row>
    <row r="263">
      <c r="A263" s="56"/>
      <c r="B263" s="54"/>
    </row>
    <row r="264">
      <c r="A264" s="56"/>
      <c r="B264" s="54"/>
    </row>
    <row r="265">
      <c r="A265" s="56"/>
      <c r="B265" s="54"/>
    </row>
    <row r="266">
      <c r="A266" s="56"/>
      <c r="B266" s="54"/>
    </row>
    <row r="267">
      <c r="A267" s="56"/>
      <c r="B267" s="54"/>
    </row>
    <row r="268">
      <c r="A268" s="56"/>
      <c r="B268" s="54"/>
    </row>
    <row r="269">
      <c r="A269" s="56"/>
      <c r="B269" s="54"/>
    </row>
    <row r="270">
      <c r="A270" s="56"/>
      <c r="B270" s="54"/>
    </row>
    <row r="271">
      <c r="A271" s="56"/>
      <c r="B271" s="54"/>
    </row>
    <row r="272">
      <c r="A272" s="56"/>
      <c r="B272" s="54"/>
    </row>
    <row r="273">
      <c r="A273" s="56"/>
      <c r="B273" s="54"/>
    </row>
    <row r="274">
      <c r="A274" s="56"/>
      <c r="B274" s="54"/>
    </row>
    <row r="275">
      <c r="A275" s="56"/>
      <c r="B275" s="54"/>
    </row>
    <row r="276">
      <c r="A276" s="56"/>
      <c r="B276" s="54"/>
    </row>
    <row r="277">
      <c r="A277" s="56"/>
      <c r="B277" s="54"/>
    </row>
    <row r="278">
      <c r="A278" s="56"/>
      <c r="B278" s="54"/>
    </row>
    <row r="279">
      <c r="A279" s="56"/>
      <c r="B279" s="54"/>
    </row>
    <row r="280">
      <c r="A280" s="56"/>
      <c r="B280" s="54"/>
    </row>
    <row r="281">
      <c r="A281" s="56"/>
      <c r="B281" s="54"/>
    </row>
    <row r="282">
      <c r="A282" s="56"/>
      <c r="B282" s="54"/>
    </row>
    <row r="283">
      <c r="A283" s="56"/>
      <c r="B283" s="54"/>
    </row>
    <row r="284">
      <c r="A284" s="56"/>
      <c r="B284" s="54"/>
    </row>
    <row r="285">
      <c r="A285" s="56"/>
      <c r="B285" s="54"/>
    </row>
    <row r="286">
      <c r="A286" s="56"/>
      <c r="B286" s="54"/>
    </row>
    <row r="287">
      <c r="A287" s="56"/>
      <c r="B287" s="54"/>
    </row>
    <row r="288">
      <c r="A288" s="56"/>
      <c r="B288" s="54"/>
    </row>
    <row r="289">
      <c r="A289" s="56"/>
      <c r="B289" s="54"/>
    </row>
    <row r="290">
      <c r="A290" s="56"/>
      <c r="B290" s="54"/>
    </row>
    <row r="291">
      <c r="A291" s="56"/>
      <c r="B291" s="54"/>
    </row>
    <row r="292">
      <c r="A292" s="56"/>
      <c r="B292" s="54"/>
    </row>
    <row r="293">
      <c r="A293" s="56"/>
      <c r="B293" s="54"/>
    </row>
    <row r="294">
      <c r="A294" s="56"/>
      <c r="B294" s="54"/>
    </row>
    <row r="295">
      <c r="A295" s="56"/>
      <c r="B295" s="54"/>
    </row>
    <row r="296">
      <c r="A296" s="56"/>
      <c r="B296" s="54"/>
    </row>
    <row r="297">
      <c r="A297" s="56"/>
      <c r="B297" s="54"/>
    </row>
    <row r="298">
      <c r="A298" s="56"/>
      <c r="B298" s="54"/>
    </row>
    <row r="299">
      <c r="A299" s="56"/>
      <c r="B299" s="54"/>
    </row>
    <row r="300">
      <c r="A300" s="56"/>
      <c r="B300" s="54"/>
    </row>
    <row r="301">
      <c r="A301" s="56"/>
      <c r="B301" s="54"/>
    </row>
    <row r="302">
      <c r="A302" s="56"/>
      <c r="B302" s="54"/>
    </row>
    <row r="303">
      <c r="A303" s="56"/>
      <c r="B303" s="54"/>
    </row>
    <row r="304">
      <c r="A304" s="56"/>
      <c r="B304" s="54"/>
    </row>
    <row r="305">
      <c r="A305" s="56"/>
      <c r="B305" s="54"/>
    </row>
    <row r="306">
      <c r="A306" s="56"/>
      <c r="B306" s="54"/>
    </row>
    <row r="307">
      <c r="A307" s="56"/>
      <c r="B307" s="54"/>
    </row>
    <row r="308">
      <c r="A308" s="56"/>
      <c r="B308" s="54"/>
    </row>
    <row r="309">
      <c r="A309" s="56"/>
      <c r="B309" s="54"/>
    </row>
    <row r="310">
      <c r="A310" s="56"/>
      <c r="B310" s="54"/>
    </row>
    <row r="311">
      <c r="A311" s="56"/>
      <c r="B311" s="54"/>
    </row>
    <row r="312">
      <c r="A312" s="56"/>
      <c r="B312" s="54"/>
    </row>
    <row r="313">
      <c r="A313" s="56"/>
      <c r="B313" s="54"/>
    </row>
    <row r="314">
      <c r="A314" s="56"/>
      <c r="B314" s="54"/>
    </row>
    <row r="315">
      <c r="A315" s="56"/>
      <c r="B315" s="54"/>
    </row>
    <row r="316">
      <c r="A316" s="56"/>
      <c r="B316" s="54"/>
    </row>
    <row r="317">
      <c r="A317" s="56"/>
      <c r="B317" s="54"/>
    </row>
    <row r="318">
      <c r="A318" s="56"/>
      <c r="B318" s="54"/>
    </row>
    <row r="319">
      <c r="A319" s="56"/>
      <c r="B319" s="54"/>
    </row>
    <row r="320">
      <c r="A320" s="56"/>
      <c r="B320" s="54"/>
    </row>
    <row r="321">
      <c r="A321" s="56"/>
      <c r="B321" s="54"/>
    </row>
    <row r="322">
      <c r="A322" s="56"/>
      <c r="B322" s="54"/>
    </row>
    <row r="323">
      <c r="A323" s="56"/>
      <c r="B323" s="54"/>
    </row>
    <row r="324">
      <c r="A324" s="56"/>
      <c r="B324" s="54"/>
    </row>
    <row r="325">
      <c r="A325" s="56"/>
      <c r="B325" s="54"/>
    </row>
    <row r="326">
      <c r="A326" s="56"/>
      <c r="B326" s="54"/>
    </row>
    <row r="327">
      <c r="A327" s="56"/>
      <c r="B327" s="54"/>
    </row>
    <row r="328">
      <c r="A328" s="56"/>
      <c r="B328" s="54"/>
    </row>
    <row r="329">
      <c r="A329" s="56"/>
      <c r="B329" s="54"/>
    </row>
    <row r="330">
      <c r="A330" s="56"/>
      <c r="B330" s="54"/>
    </row>
    <row r="331">
      <c r="A331" s="56"/>
      <c r="B331" s="54"/>
    </row>
    <row r="332">
      <c r="A332" s="56"/>
      <c r="B332" s="54"/>
    </row>
    <row r="333">
      <c r="A333" s="56"/>
      <c r="B333" s="54"/>
    </row>
    <row r="334">
      <c r="A334" s="56"/>
      <c r="B334" s="54"/>
    </row>
    <row r="335">
      <c r="A335" s="56"/>
      <c r="B335" s="54"/>
    </row>
    <row r="336">
      <c r="A336" s="56"/>
      <c r="B336" s="54"/>
    </row>
    <row r="337">
      <c r="A337" s="56"/>
      <c r="B337" s="54"/>
    </row>
    <row r="338">
      <c r="A338" s="56"/>
      <c r="B338" s="54"/>
    </row>
    <row r="339">
      <c r="A339" s="56"/>
      <c r="B339" s="54"/>
    </row>
    <row r="340">
      <c r="A340" s="56"/>
      <c r="B340" s="54"/>
    </row>
    <row r="341">
      <c r="A341" s="56"/>
      <c r="B341" s="54"/>
    </row>
    <row r="342">
      <c r="A342" s="56"/>
      <c r="B342" s="54"/>
    </row>
    <row r="343">
      <c r="A343" s="56"/>
      <c r="B343" s="54"/>
    </row>
    <row r="344">
      <c r="A344" s="56"/>
      <c r="B344" s="54"/>
    </row>
    <row r="345">
      <c r="A345" s="56"/>
      <c r="B345" s="54"/>
    </row>
    <row r="346">
      <c r="A346" s="56"/>
      <c r="B346" s="54"/>
    </row>
    <row r="347">
      <c r="A347" s="56"/>
      <c r="B347" s="54"/>
    </row>
    <row r="348">
      <c r="A348" s="56"/>
      <c r="B348" s="54"/>
    </row>
    <row r="349">
      <c r="A349" s="56"/>
      <c r="B349" s="54"/>
    </row>
    <row r="350">
      <c r="A350" s="56"/>
      <c r="B350" s="54"/>
    </row>
    <row r="351">
      <c r="A351" s="56"/>
      <c r="B351" s="54"/>
    </row>
    <row r="352">
      <c r="A352" s="56"/>
      <c r="B352" s="54"/>
    </row>
    <row r="353">
      <c r="A353" s="56"/>
      <c r="B353" s="54"/>
    </row>
    <row r="354">
      <c r="A354" s="56"/>
      <c r="B354" s="54"/>
    </row>
    <row r="355">
      <c r="A355" s="56"/>
      <c r="B355" s="54"/>
    </row>
    <row r="356">
      <c r="A356" s="56"/>
      <c r="B356" s="54"/>
    </row>
    <row r="357">
      <c r="A357" s="56"/>
      <c r="B357" s="54"/>
    </row>
    <row r="358">
      <c r="A358" s="56"/>
      <c r="B358" s="54"/>
    </row>
    <row r="359">
      <c r="A359" s="56"/>
      <c r="B359" s="54"/>
    </row>
    <row r="360">
      <c r="A360" s="56"/>
      <c r="B360" s="54"/>
    </row>
    <row r="361">
      <c r="A361" s="56"/>
      <c r="B361" s="54"/>
    </row>
    <row r="362">
      <c r="A362" s="56"/>
      <c r="B362" s="54"/>
    </row>
    <row r="363">
      <c r="A363" s="56"/>
      <c r="B363" s="54"/>
    </row>
    <row r="364">
      <c r="A364" s="56"/>
      <c r="B364" s="54"/>
    </row>
    <row r="365">
      <c r="A365" s="56"/>
      <c r="B365" s="54"/>
    </row>
    <row r="366">
      <c r="A366" s="56"/>
      <c r="B366" s="54"/>
    </row>
    <row r="367">
      <c r="A367" s="56"/>
      <c r="B367" s="54"/>
    </row>
    <row r="368">
      <c r="A368" s="56"/>
      <c r="B368" s="54"/>
    </row>
    <row r="369">
      <c r="A369" s="56"/>
      <c r="B369" s="54"/>
    </row>
    <row r="370">
      <c r="A370" s="56"/>
      <c r="B370" s="54"/>
    </row>
    <row r="371">
      <c r="A371" s="56"/>
      <c r="B371" s="54"/>
    </row>
    <row r="372">
      <c r="A372" s="56"/>
      <c r="B372" s="54"/>
    </row>
    <row r="373">
      <c r="A373" s="56"/>
      <c r="B373" s="54"/>
    </row>
    <row r="374">
      <c r="A374" s="56"/>
      <c r="B374" s="54"/>
    </row>
    <row r="375">
      <c r="A375" s="56"/>
      <c r="B375" s="54"/>
    </row>
    <row r="376">
      <c r="A376" s="56"/>
      <c r="B376" s="54"/>
    </row>
    <row r="377">
      <c r="A377" s="56"/>
      <c r="B377" s="54"/>
    </row>
    <row r="378">
      <c r="A378" s="56"/>
      <c r="B378" s="54"/>
    </row>
    <row r="379">
      <c r="A379" s="56"/>
      <c r="B379" s="54"/>
    </row>
    <row r="380">
      <c r="A380" s="56"/>
      <c r="B380" s="54"/>
    </row>
    <row r="381">
      <c r="A381" s="56"/>
      <c r="B381" s="54"/>
    </row>
    <row r="382">
      <c r="A382" s="56"/>
      <c r="B382" s="54"/>
    </row>
    <row r="383">
      <c r="A383" s="56"/>
      <c r="B383" s="54"/>
    </row>
    <row r="384">
      <c r="A384" s="56"/>
      <c r="B384" s="54"/>
    </row>
    <row r="385">
      <c r="A385" s="56"/>
      <c r="B385" s="54"/>
    </row>
    <row r="386">
      <c r="A386" s="56"/>
      <c r="B386" s="54"/>
    </row>
    <row r="387">
      <c r="A387" s="56"/>
      <c r="B387" s="54"/>
    </row>
    <row r="388">
      <c r="A388" s="56"/>
      <c r="B388" s="54"/>
    </row>
    <row r="389">
      <c r="A389" s="56"/>
      <c r="B389" s="54"/>
    </row>
    <row r="390">
      <c r="A390" s="56"/>
      <c r="B390" s="54"/>
    </row>
    <row r="391">
      <c r="A391" s="56"/>
      <c r="B391" s="54"/>
    </row>
    <row r="392">
      <c r="A392" s="56"/>
      <c r="B392" s="54"/>
    </row>
    <row r="393">
      <c r="A393" s="56"/>
      <c r="B393" s="54"/>
    </row>
    <row r="394">
      <c r="A394" s="56"/>
      <c r="B394" s="54"/>
    </row>
    <row r="395">
      <c r="A395" s="56"/>
      <c r="B395" s="54"/>
    </row>
    <row r="396">
      <c r="A396" s="56"/>
      <c r="B396" s="54"/>
    </row>
    <row r="397">
      <c r="A397" s="56"/>
      <c r="B397" s="54"/>
    </row>
    <row r="398">
      <c r="A398" s="56"/>
      <c r="B398" s="54"/>
    </row>
    <row r="399">
      <c r="A399" s="56"/>
      <c r="B399" s="54"/>
    </row>
    <row r="400">
      <c r="A400" s="56"/>
      <c r="B400" s="54"/>
    </row>
    <row r="401">
      <c r="A401" s="56"/>
      <c r="B401" s="54"/>
    </row>
    <row r="402">
      <c r="A402" s="56"/>
      <c r="B402" s="54"/>
    </row>
    <row r="403">
      <c r="A403" s="56"/>
      <c r="B403" s="54"/>
    </row>
    <row r="404">
      <c r="A404" s="56"/>
      <c r="B404" s="54"/>
    </row>
    <row r="405">
      <c r="A405" s="56"/>
      <c r="B405" s="54"/>
    </row>
    <row r="406">
      <c r="A406" s="56"/>
      <c r="B406" s="54"/>
    </row>
    <row r="407">
      <c r="A407" s="56"/>
      <c r="B407" s="54"/>
    </row>
    <row r="408">
      <c r="A408" s="56"/>
      <c r="B408" s="54"/>
    </row>
    <row r="409">
      <c r="A409" s="56"/>
      <c r="B409" s="54"/>
    </row>
    <row r="410">
      <c r="A410" s="56"/>
      <c r="B410" s="54"/>
    </row>
    <row r="411">
      <c r="A411" s="56"/>
      <c r="B411" s="54"/>
    </row>
    <row r="412">
      <c r="A412" s="56"/>
      <c r="B412" s="54"/>
    </row>
    <row r="413">
      <c r="A413" s="56"/>
      <c r="B413" s="54"/>
    </row>
    <row r="414">
      <c r="A414" s="56"/>
      <c r="B414" s="54"/>
    </row>
    <row r="415">
      <c r="A415" s="56"/>
      <c r="B415" s="54"/>
    </row>
    <row r="416">
      <c r="A416" s="56"/>
      <c r="B416" s="54"/>
    </row>
    <row r="417">
      <c r="A417" s="56"/>
      <c r="B417" s="54"/>
    </row>
    <row r="418">
      <c r="A418" s="56"/>
      <c r="B418" s="54"/>
    </row>
    <row r="419">
      <c r="A419" s="56"/>
      <c r="B419" s="54"/>
    </row>
    <row r="420">
      <c r="A420" s="56"/>
      <c r="B420" s="54"/>
    </row>
    <row r="421">
      <c r="A421" s="56"/>
      <c r="B421" s="54"/>
    </row>
    <row r="422">
      <c r="A422" s="56"/>
      <c r="B422" s="54"/>
    </row>
    <row r="423">
      <c r="A423" s="56"/>
      <c r="B423" s="54"/>
    </row>
    <row r="424">
      <c r="A424" s="56"/>
      <c r="B424" s="54"/>
    </row>
    <row r="425">
      <c r="A425" s="56"/>
      <c r="B425" s="54"/>
    </row>
    <row r="426">
      <c r="A426" s="56"/>
      <c r="B426" s="54"/>
    </row>
    <row r="427">
      <c r="A427" s="56"/>
      <c r="B427" s="54"/>
    </row>
    <row r="428">
      <c r="A428" s="56"/>
      <c r="B428" s="54"/>
    </row>
    <row r="429">
      <c r="A429" s="56"/>
      <c r="B429" s="54"/>
    </row>
    <row r="430">
      <c r="A430" s="56"/>
      <c r="B430" s="54"/>
    </row>
    <row r="431">
      <c r="A431" s="56"/>
      <c r="B431" s="54"/>
    </row>
    <row r="432">
      <c r="A432" s="56"/>
      <c r="B432" s="54"/>
    </row>
    <row r="433">
      <c r="A433" s="56"/>
      <c r="B433" s="54"/>
    </row>
    <row r="434">
      <c r="A434" s="56"/>
      <c r="B434" s="54"/>
    </row>
    <row r="435">
      <c r="A435" s="56"/>
      <c r="B435" s="54"/>
    </row>
    <row r="436">
      <c r="A436" s="56"/>
      <c r="B436" s="54"/>
    </row>
    <row r="437">
      <c r="A437" s="56"/>
      <c r="B437" s="54"/>
    </row>
    <row r="438">
      <c r="A438" s="56"/>
      <c r="B438" s="54"/>
    </row>
    <row r="439">
      <c r="A439" s="56"/>
      <c r="B439" s="54"/>
    </row>
    <row r="440">
      <c r="A440" s="56"/>
      <c r="B440" s="54"/>
    </row>
    <row r="441">
      <c r="A441" s="56"/>
      <c r="B441" s="54"/>
    </row>
    <row r="442">
      <c r="A442" s="56"/>
      <c r="B442" s="54"/>
    </row>
    <row r="443">
      <c r="A443" s="56"/>
      <c r="B443" s="54"/>
    </row>
    <row r="444">
      <c r="A444" s="56"/>
      <c r="B444" s="54"/>
    </row>
    <row r="445">
      <c r="A445" s="56"/>
      <c r="B445" s="54"/>
    </row>
    <row r="446">
      <c r="A446" s="56"/>
      <c r="B446" s="54"/>
    </row>
    <row r="447">
      <c r="A447" s="56"/>
      <c r="B447" s="54"/>
    </row>
    <row r="448">
      <c r="A448" s="56"/>
      <c r="B448" s="54"/>
    </row>
    <row r="449">
      <c r="A449" s="56"/>
      <c r="B449" s="54"/>
    </row>
    <row r="450">
      <c r="A450" s="56"/>
      <c r="B450" s="54"/>
    </row>
    <row r="451">
      <c r="A451" s="56"/>
      <c r="B451" s="54"/>
    </row>
    <row r="452">
      <c r="A452" s="56"/>
      <c r="B452" s="54"/>
    </row>
    <row r="453">
      <c r="A453" s="56"/>
      <c r="B453" s="54"/>
    </row>
    <row r="454">
      <c r="A454" s="56"/>
      <c r="B454" s="54"/>
    </row>
    <row r="455">
      <c r="A455" s="56"/>
      <c r="B455" s="54"/>
    </row>
    <row r="456">
      <c r="A456" s="56"/>
      <c r="B456" s="54"/>
    </row>
    <row r="457">
      <c r="A457" s="56"/>
      <c r="B457" s="54"/>
    </row>
    <row r="458">
      <c r="A458" s="56"/>
      <c r="B458" s="54"/>
    </row>
    <row r="459">
      <c r="A459" s="56"/>
      <c r="B459" s="54"/>
    </row>
    <row r="460">
      <c r="A460" s="56"/>
      <c r="B460" s="54"/>
    </row>
    <row r="461">
      <c r="A461" s="56"/>
      <c r="B461" s="54"/>
    </row>
    <row r="462">
      <c r="A462" s="56"/>
      <c r="B462" s="54"/>
    </row>
    <row r="463">
      <c r="A463" s="56"/>
      <c r="B463" s="54"/>
    </row>
    <row r="464">
      <c r="A464" s="56"/>
      <c r="B464" s="54"/>
    </row>
    <row r="465">
      <c r="A465" s="56"/>
      <c r="B465" s="54"/>
    </row>
    <row r="466">
      <c r="A466" s="56"/>
      <c r="B466" s="54"/>
    </row>
    <row r="467">
      <c r="A467" s="56"/>
      <c r="B467" s="54"/>
    </row>
    <row r="468">
      <c r="A468" s="56"/>
      <c r="B468" s="54"/>
    </row>
    <row r="469">
      <c r="A469" s="56"/>
      <c r="B469" s="54"/>
    </row>
    <row r="470">
      <c r="A470" s="56"/>
      <c r="B470" s="54"/>
    </row>
    <row r="471">
      <c r="A471" s="56"/>
      <c r="B471" s="54"/>
    </row>
    <row r="472">
      <c r="A472" s="56"/>
      <c r="B472" s="54"/>
    </row>
    <row r="473">
      <c r="A473" s="56"/>
      <c r="B473" s="54"/>
    </row>
    <row r="474">
      <c r="A474" s="56"/>
      <c r="B474" s="54"/>
    </row>
    <row r="475">
      <c r="A475" s="56"/>
      <c r="B475" s="54"/>
    </row>
    <row r="476">
      <c r="A476" s="56"/>
      <c r="B476" s="54"/>
    </row>
    <row r="477">
      <c r="A477" s="56"/>
      <c r="B477" s="54"/>
    </row>
    <row r="478">
      <c r="A478" s="56"/>
      <c r="B478" s="54"/>
    </row>
    <row r="479">
      <c r="A479" s="56"/>
      <c r="B479" s="54"/>
    </row>
    <row r="480">
      <c r="A480" s="56"/>
      <c r="B480" s="54"/>
    </row>
    <row r="481">
      <c r="A481" s="56"/>
      <c r="B481" s="54"/>
    </row>
    <row r="482">
      <c r="A482" s="56"/>
      <c r="B482" s="54"/>
    </row>
    <row r="483">
      <c r="A483" s="56"/>
      <c r="B483" s="54"/>
    </row>
    <row r="484">
      <c r="A484" s="56"/>
      <c r="B484" s="54"/>
    </row>
    <row r="485">
      <c r="A485" s="56"/>
      <c r="B485" s="54"/>
    </row>
    <row r="486">
      <c r="A486" s="56"/>
      <c r="B486" s="54"/>
    </row>
    <row r="487">
      <c r="A487" s="56"/>
      <c r="B487" s="54"/>
    </row>
    <row r="488">
      <c r="A488" s="56"/>
      <c r="B488" s="54"/>
    </row>
    <row r="489">
      <c r="A489" s="56"/>
      <c r="B489" s="54"/>
    </row>
    <row r="490">
      <c r="A490" s="56"/>
      <c r="B490" s="54"/>
    </row>
    <row r="491">
      <c r="A491" s="56"/>
      <c r="B491" s="54"/>
    </row>
    <row r="492">
      <c r="A492" s="56"/>
      <c r="B492" s="54"/>
    </row>
    <row r="493">
      <c r="A493" s="56"/>
      <c r="B493" s="54"/>
    </row>
    <row r="494">
      <c r="A494" s="56"/>
      <c r="B494" s="54"/>
    </row>
    <row r="495">
      <c r="A495" s="56"/>
      <c r="B495" s="54"/>
    </row>
    <row r="496">
      <c r="A496" s="56"/>
      <c r="B496" s="54"/>
    </row>
    <row r="497">
      <c r="A497" s="56"/>
      <c r="B497" s="54"/>
    </row>
    <row r="498">
      <c r="A498" s="56"/>
      <c r="B498" s="54"/>
    </row>
    <row r="499">
      <c r="A499" s="56"/>
      <c r="B499" s="54"/>
    </row>
    <row r="500">
      <c r="A500" s="56"/>
      <c r="B500" s="54"/>
    </row>
    <row r="501">
      <c r="A501" s="56"/>
      <c r="B501" s="54"/>
    </row>
    <row r="502">
      <c r="A502" s="56"/>
      <c r="B502" s="54"/>
    </row>
    <row r="503">
      <c r="A503" s="56"/>
      <c r="B503" s="54"/>
    </row>
    <row r="504">
      <c r="A504" s="56"/>
      <c r="B504" s="54"/>
    </row>
    <row r="505">
      <c r="A505" s="56"/>
      <c r="B505" s="54"/>
    </row>
    <row r="506">
      <c r="A506" s="56"/>
      <c r="B506" s="54"/>
    </row>
    <row r="507">
      <c r="A507" s="56"/>
      <c r="B507" s="54"/>
    </row>
    <row r="508">
      <c r="A508" s="56"/>
      <c r="B508" s="54"/>
    </row>
    <row r="509">
      <c r="A509" s="56"/>
      <c r="B509" s="54"/>
    </row>
    <row r="510">
      <c r="A510" s="56"/>
      <c r="B510" s="54"/>
    </row>
    <row r="511">
      <c r="A511" s="56"/>
      <c r="B511" s="54"/>
    </row>
    <row r="512">
      <c r="A512" s="56"/>
      <c r="B512" s="54"/>
    </row>
    <row r="513">
      <c r="A513" s="56"/>
      <c r="B513" s="54"/>
    </row>
    <row r="514">
      <c r="A514" s="56"/>
      <c r="B514" s="54"/>
    </row>
    <row r="515">
      <c r="A515" s="56"/>
      <c r="B515" s="54"/>
    </row>
    <row r="516">
      <c r="A516" s="56"/>
      <c r="B516" s="54"/>
    </row>
    <row r="517">
      <c r="A517" s="56"/>
      <c r="B517" s="54"/>
    </row>
    <row r="518">
      <c r="A518" s="56"/>
      <c r="B518" s="54"/>
    </row>
    <row r="519">
      <c r="A519" s="56"/>
      <c r="B519" s="54"/>
    </row>
    <row r="520">
      <c r="A520" s="56"/>
      <c r="B520" s="54"/>
    </row>
    <row r="521">
      <c r="A521" s="56"/>
      <c r="B521" s="54"/>
    </row>
    <row r="522">
      <c r="A522" s="56"/>
      <c r="B522" s="54"/>
    </row>
    <row r="523">
      <c r="A523" s="56"/>
      <c r="B523" s="54"/>
    </row>
    <row r="524">
      <c r="A524" s="56"/>
      <c r="B524" s="54"/>
    </row>
    <row r="525">
      <c r="A525" s="56"/>
      <c r="B525" s="54"/>
    </row>
    <row r="526">
      <c r="A526" s="56"/>
      <c r="B526" s="54"/>
    </row>
    <row r="527">
      <c r="A527" s="56"/>
      <c r="B527" s="54"/>
    </row>
    <row r="528">
      <c r="A528" s="56"/>
      <c r="B528" s="54"/>
    </row>
    <row r="529">
      <c r="A529" s="56"/>
      <c r="B529" s="54"/>
    </row>
    <row r="530">
      <c r="A530" s="56"/>
      <c r="B530" s="54"/>
    </row>
    <row r="531">
      <c r="A531" s="56"/>
      <c r="B531" s="54"/>
    </row>
    <row r="532">
      <c r="A532" s="56"/>
      <c r="B532" s="54"/>
    </row>
    <row r="533">
      <c r="A533" s="56"/>
      <c r="B533" s="54"/>
    </row>
    <row r="534">
      <c r="A534" s="56"/>
      <c r="B534" s="54"/>
    </row>
    <row r="535">
      <c r="A535" s="56"/>
      <c r="B535" s="54"/>
    </row>
    <row r="536">
      <c r="A536" s="56"/>
      <c r="B536" s="54"/>
    </row>
    <row r="537">
      <c r="A537" s="56"/>
      <c r="B537" s="54"/>
    </row>
    <row r="538">
      <c r="A538" s="56"/>
      <c r="B538" s="54"/>
    </row>
    <row r="539">
      <c r="A539" s="56"/>
      <c r="B539" s="54"/>
    </row>
    <row r="540">
      <c r="A540" s="56"/>
      <c r="B540" s="54"/>
    </row>
    <row r="541">
      <c r="A541" s="56"/>
      <c r="B541" s="54"/>
    </row>
    <row r="542">
      <c r="A542" s="56"/>
      <c r="B542" s="54"/>
    </row>
    <row r="543">
      <c r="A543" s="56"/>
      <c r="B543" s="54"/>
    </row>
    <row r="544">
      <c r="A544" s="56"/>
      <c r="B544" s="54"/>
    </row>
    <row r="545">
      <c r="A545" s="56"/>
      <c r="B545" s="54"/>
    </row>
    <row r="546">
      <c r="A546" s="56"/>
      <c r="B546" s="54"/>
    </row>
    <row r="547">
      <c r="A547" s="56"/>
      <c r="B547" s="54"/>
    </row>
    <row r="548">
      <c r="A548" s="56"/>
      <c r="B548" s="54"/>
    </row>
    <row r="549">
      <c r="A549" s="56"/>
      <c r="B549" s="54"/>
    </row>
    <row r="550">
      <c r="A550" s="56"/>
      <c r="B550" s="54"/>
    </row>
    <row r="551">
      <c r="A551" s="56"/>
      <c r="B551" s="54"/>
    </row>
    <row r="552">
      <c r="A552" s="56"/>
      <c r="B552" s="54"/>
    </row>
    <row r="553">
      <c r="A553" s="56"/>
      <c r="B553" s="54"/>
    </row>
    <row r="554">
      <c r="A554" s="56"/>
      <c r="B554" s="54"/>
    </row>
    <row r="555">
      <c r="A555" s="56"/>
      <c r="B555" s="54"/>
    </row>
    <row r="556">
      <c r="A556" s="56"/>
      <c r="B556" s="54"/>
    </row>
    <row r="557">
      <c r="A557" s="56"/>
      <c r="B557" s="54"/>
    </row>
    <row r="558">
      <c r="A558" s="56"/>
      <c r="B558" s="54"/>
    </row>
    <row r="559">
      <c r="A559" s="56"/>
      <c r="B559" s="54"/>
    </row>
    <row r="560">
      <c r="A560" s="56"/>
      <c r="B560" s="54"/>
    </row>
    <row r="561">
      <c r="A561" s="56"/>
      <c r="B561" s="54"/>
    </row>
    <row r="562">
      <c r="A562" s="56"/>
      <c r="B562" s="54"/>
    </row>
    <row r="563">
      <c r="A563" s="56"/>
      <c r="B563" s="54"/>
    </row>
    <row r="564">
      <c r="A564" s="56"/>
      <c r="B564" s="54"/>
    </row>
    <row r="565">
      <c r="A565" s="56"/>
      <c r="B565" s="54"/>
    </row>
    <row r="566">
      <c r="A566" s="56"/>
      <c r="B566" s="54"/>
    </row>
    <row r="567">
      <c r="A567" s="56"/>
      <c r="B567" s="54"/>
    </row>
    <row r="568">
      <c r="A568" s="56"/>
      <c r="B568" s="54"/>
    </row>
    <row r="569">
      <c r="A569" s="56"/>
      <c r="B569" s="54"/>
    </row>
    <row r="570">
      <c r="A570" s="56"/>
      <c r="B570" s="54"/>
    </row>
    <row r="571">
      <c r="A571" s="56"/>
      <c r="B571" s="54"/>
    </row>
    <row r="572">
      <c r="A572" s="56"/>
      <c r="B572" s="54"/>
    </row>
    <row r="573">
      <c r="A573" s="56"/>
      <c r="B573" s="54"/>
    </row>
    <row r="574">
      <c r="A574" s="56"/>
      <c r="B574" s="54"/>
    </row>
    <row r="575">
      <c r="A575" s="56"/>
      <c r="B575" s="54"/>
    </row>
    <row r="576">
      <c r="A576" s="56"/>
      <c r="B576" s="54"/>
    </row>
    <row r="577">
      <c r="A577" s="56"/>
      <c r="B577" s="54"/>
    </row>
    <row r="578">
      <c r="A578" s="56"/>
      <c r="B578" s="54"/>
    </row>
    <row r="579">
      <c r="A579" s="56"/>
      <c r="B579" s="54"/>
    </row>
    <row r="580">
      <c r="A580" s="56"/>
      <c r="B580" s="54"/>
    </row>
    <row r="581">
      <c r="A581" s="56"/>
      <c r="B581" s="54"/>
    </row>
    <row r="582">
      <c r="A582" s="56"/>
      <c r="B582" s="54"/>
    </row>
    <row r="583">
      <c r="A583" s="56"/>
      <c r="B583" s="54"/>
    </row>
    <row r="584">
      <c r="A584" s="56"/>
      <c r="B584" s="54"/>
    </row>
    <row r="585">
      <c r="A585" s="56"/>
      <c r="B585" s="54"/>
    </row>
    <row r="586">
      <c r="A586" s="56"/>
      <c r="B586" s="54"/>
    </row>
    <row r="587">
      <c r="A587" s="56"/>
      <c r="B587" s="54"/>
    </row>
    <row r="588">
      <c r="A588" s="56"/>
      <c r="B588" s="54"/>
    </row>
    <row r="589">
      <c r="A589" s="56"/>
      <c r="B589" s="54"/>
    </row>
    <row r="590">
      <c r="A590" s="56"/>
      <c r="B590" s="54"/>
    </row>
    <row r="591">
      <c r="A591" s="56"/>
      <c r="B591" s="54"/>
    </row>
    <row r="592">
      <c r="A592" s="56"/>
      <c r="B592" s="54"/>
    </row>
    <row r="593">
      <c r="A593" s="56"/>
      <c r="B593" s="54"/>
    </row>
    <row r="594">
      <c r="A594" s="56"/>
      <c r="B594" s="54"/>
    </row>
    <row r="595">
      <c r="A595" s="56"/>
      <c r="B595" s="54"/>
    </row>
    <row r="596">
      <c r="A596" s="56"/>
      <c r="B596" s="54"/>
    </row>
    <row r="597">
      <c r="A597" s="56"/>
      <c r="B597" s="54"/>
    </row>
    <row r="598">
      <c r="A598" s="56"/>
      <c r="B598" s="54"/>
    </row>
    <row r="599">
      <c r="A599" s="56"/>
      <c r="B599" s="54"/>
    </row>
    <row r="600">
      <c r="A600" s="56"/>
      <c r="B600" s="54"/>
    </row>
    <row r="601">
      <c r="A601" s="56"/>
      <c r="B601" s="54"/>
    </row>
    <row r="602">
      <c r="A602" s="56"/>
      <c r="B602" s="54"/>
    </row>
    <row r="603">
      <c r="A603" s="56"/>
      <c r="B603" s="54"/>
    </row>
    <row r="604">
      <c r="A604" s="56"/>
      <c r="B604" s="54"/>
    </row>
    <row r="605">
      <c r="A605" s="56"/>
      <c r="B605" s="54"/>
    </row>
    <row r="606">
      <c r="A606" s="56"/>
      <c r="B606" s="54"/>
    </row>
    <row r="607">
      <c r="A607" s="56"/>
      <c r="B607" s="54"/>
    </row>
    <row r="608">
      <c r="A608" s="56"/>
      <c r="B608" s="54"/>
    </row>
    <row r="609">
      <c r="A609" s="56"/>
      <c r="B609" s="54"/>
    </row>
    <row r="610">
      <c r="A610" s="56"/>
      <c r="B610" s="54"/>
    </row>
    <row r="611">
      <c r="A611" s="56"/>
      <c r="B611" s="54"/>
    </row>
    <row r="612">
      <c r="A612" s="56"/>
      <c r="B612" s="54"/>
    </row>
    <row r="613">
      <c r="A613" s="56"/>
      <c r="B613" s="54"/>
    </row>
    <row r="614">
      <c r="A614" s="56"/>
      <c r="B614" s="54"/>
    </row>
    <row r="615">
      <c r="A615" s="56"/>
      <c r="B615" s="54"/>
    </row>
    <row r="616">
      <c r="A616" s="56"/>
      <c r="B616" s="54"/>
    </row>
    <row r="617">
      <c r="A617" s="56"/>
      <c r="B617" s="54"/>
    </row>
    <row r="618">
      <c r="A618" s="56"/>
      <c r="B618" s="54"/>
    </row>
    <row r="619">
      <c r="A619" s="56"/>
      <c r="B619" s="54"/>
    </row>
    <row r="620">
      <c r="A620" s="56"/>
      <c r="B620" s="54"/>
    </row>
    <row r="621">
      <c r="A621" s="56"/>
      <c r="B621" s="54"/>
    </row>
    <row r="622">
      <c r="A622" s="56"/>
      <c r="B622" s="54"/>
    </row>
    <row r="623">
      <c r="A623" s="56"/>
      <c r="B623" s="54"/>
    </row>
    <row r="624">
      <c r="A624" s="56"/>
      <c r="B624" s="5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3.5"/>
  </cols>
  <sheetData>
    <row r="1">
      <c r="A1" s="42" t="str">
        <f>IFERROR(__xludf.DUMMYFUNCTION("QUERY(Database!E:E, ""SELECT F, COUNT(F) GROUP BY F LABEL COUNT(F) 'Frequency'"")"),"#VALUE!")</f>
        <v>#VALUE!</v>
      </c>
      <c r="B1" s="4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s>
  <sheetData>
    <row r="1">
      <c r="A1" s="42" t="str">
        <f>IFERROR(__xludf.DUMMYFUNCTION("QUERY(Database!F:F, ""SELECT G, COUNT(G) GROUP BY G LABEL COUNT(G) 'Frequency'"")"),"#VALUE!")</f>
        <v>#VALUE!</v>
      </c>
      <c r="B1" s="42"/>
      <c r="C1" s="57" t="s">
        <v>20</v>
      </c>
    </row>
    <row r="2">
      <c r="C2" s="41" t="s">
        <v>2370</v>
      </c>
    </row>
    <row r="3">
      <c r="C3" s="41" t="s">
        <v>58</v>
      </c>
    </row>
    <row r="4">
      <c r="C4" s="41" t="s">
        <v>2370</v>
      </c>
    </row>
    <row r="5">
      <c r="C5" s="41" t="s">
        <v>2370</v>
      </c>
    </row>
    <row r="6">
      <c r="C6" s="41" t="s">
        <v>2370</v>
      </c>
    </row>
    <row r="7">
      <c r="C7" s="41" t="s">
        <v>2370</v>
      </c>
    </row>
    <row r="8">
      <c r="C8" s="41" t="s">
        <v>2370</v>
      </c>
    </row>
    <row r="9">
      <c r="C9" s="41" t="s">
        <v>2370</v>
      </c>
    </row>
    <row r="10">
      <c r="C10" s="41" t="s">
        <v>2370</v>
      </c>
    </row>
    <row r="11">
      <c r="C11" s="41" t="s">
        <v>2370</v>
      </c>
    </row>
    <row r="12">
      <c r="C12" s="41" t="s">
        <v>2370</v>
      </c>
    </row>
    <row r="13">
      <c r="C13" s="41" t="s">
        <v>2370</v>
      </c>
    </row>
    <row r="14">
      <c r="C14" s="41" t="s">
        <v>2370</v>
      </c>
    </row>
    <row r="15">
      <c r="C15" s="41" t="s">
        <v>2370</v>
      </c>
    </row>
    <row r="16">
      <c r="C16" s="41" t="s">
        <v>2370</v>
      </c>
    </row>
    <row r="17">
      <c r="C17" s="41" t="s">
        <v>2370</v>
      </c>
    </row>
    <row r="18">
      <c r="C18" s="41" t="s">
        <v>2370</v>
      </c>
    </row>
    <row r="19">
      <c r="C19" s="41" t="s">
        <v>2370</v>
      </c>
    </row>
    <row r="20">
      <c r="C20" s="41" t="s">
        <v>2370</v>
      </c>
    </row>
    <row r="21">
      <c r="C21" s="41" t="s">
        <v>58</v>
      </c>
    </row>
    <row r="22">
      <c r="C22" s="41" t="s">
        <v>2370</v>
      </c>
    </row>
    <row r="23">
      <c r="C23" s="41" t="s">
        <v>2370</v>
      </c>
    </row>
    <row r="24">
      <c r="C24" s="41" t="s">
        <v>2370</v>
      </c>
    </row>
    <row r="25">
      <c r="C25" s="41" t="s">
        <v>2370</v>
      </c>
    </row>
    <row r="26">
      <c r="C26" s="41" t="s">
        <v>2370</v>
      </c>
    </row>
    <row r="27">
      <c r="C27" s="41" t="s">
        <v>2370</v>
      </c>
    </row>
    <row r="28">
      <c r="C28" s="41" t="s">
        <v>2370</v>
      </c>
    </row>
    <row r="29">
      <c r="C29" s="41" t="s">
        <v>2370</v>
      </c>
    </row>
    <row r="30">
      <c r="C30" s="41" t="s">
        <v>58</v>
      </c>
    </row>
    <row r="31">
      <c r="C31" s="41" t="s">
        <v>2370</v>
      </c>
    </row>
    <row r="32">
      <c r="C32" s="41" t="s">
        <v>58</v>
      </c>
    </row>
    <row r="33">
      <c r="C33" s="41" t="s">
        <v>58</v>
      </c>
    </row>
    <row r="34">
      <c r="C34" s="41" t="s">
        <v>58</v>
      </c>
    </row>
    <row r="35">
      <c r="C35" s="41" t="s">
        <v>58</v>
      </c>
    </row>
    <row r="36">
      <c r="C36" s="41" t="s">
        <v>58</v>
      </c>
    </row>
    <row r="37">
      <c r="C37" s="41" t="s">
        <v>58</v>
      </c>
    </row>
    <row r="38">
      <c r="C38" s="41" t="s">
        <v>2370</v>
      </c>
    </row>
    <row r="39">
      <c r="C39" s="35"/>
    </row>
    <row r="40">
      <c r="C40" s="41" t="s">
        <v>2370</v>
      </c>
    </row>
    <row r="41">
      <c r="C41" s="41" t="s">
        <v>2370</v>
      </c>
    </row>
    <row r="42">
      <c r="C42" s="41" t="s">
        <v>58</v>
      </c>
    </row>
    <row r="43">
      <c r="C43" s="41" t="s">
        <v>58</v>
      </c>
    </row>
    <row r="44">
      <c r="C44" s="41" t="s">
        <v>58</v>
      </c>
    </row>
    <row r="45">
      <c r="C45" s="41" t="s">
        <v>2370</v>
      </c>
    </row>
    <row r="46">
      <c r="C46" s="41" t="s">
        <v>58</v>
      </c>
    </row>
    <row r="47">
      <c r="C47" s="41" t="s">
        <v>2370</v>
      </c>
    </row>
    <row r="48">
      <c r="C48" s="41" t="s">
        <v>58</v>
      </c>
    </row>
    <row r="49">
      <c r="C49" s="41" t="s">
        <v>2370</v>
      </c>
    </row>
    <row r="50">
      <c r="C50" s="41" t="s">
        <v>2370</v>
      </c>
    </row>
    <row r="51">
      <c r="C51" s="41" t="s">
        <v>58</v>
      </c>
    </row>
    <row r="52">
      <c r="C52" s="41" t="s">
        <v>2370</v>
      </c>
    </row>
    <row r="53">
      <c r="C53" s="41" t="s">
        <v>2370</v>
      </c>
    </row>
    <row r="54">
      <c r="C54" s="41" t="s">
        <v>2370</v>
      </c>
    </row>
    <row r="55">
      <c r="C55" s="41" t="s">
        <v>2370</v>
      </c>
    </row>
    <row r="56">
      <c r="C56" s="41" t="s">
        <v>2370</v>
      </c>
    </row>
    <row r="57">
      <c r="C57" s="41" t="s">
        <v>2370</v>
      </c>
    </row>
    <row r="58">
      <c r="C58" s="41" t="s">
        <v>2370</v>
      </c>
    </row>
    <row r="59">
      <c r="C59" s="41" t="s">
        <v>2370</v>
      </c>
    </row>
    <row r="60">
      <c r="C60" s="41" t="s">
        <v>2370</v>
      </c>
    </row>
    <row r="61">
      <c r="C61" s="41" t="s">
        <v>2370</v>
      </c>
    </row>
    <row r="62">
      <c r="C62" s="41" t="s">
        <v>58</v>
      </c>
    </row>
    <row r="63">
      <c r="C63" s="41" t="s">
        <v>58</v>
      </c>
    </row>
    <row r="64">
      <c r="C64" s="41" t="s">
        <v>2370</v>
      </c>
    </row>
    <row r="65">
      <c r="C65" s="41" t="s">
        <v>2370</v>
      </c>
    </row>
    <row r="66">
      <c r="C66" s="41" t="s">
        <v>2370</v>
      </c>
    </row>
    <row r="67">
      <c r="C67" s="41" t="s">
        <v>58</v>
      </c>
    </row>
    <row r="68">
      <c r="C68" s="41" t="s">
        <v>2370</v>
      </c>
    </row>
    <row r="69">
      <c r="C69" s="41" t="s">
        <v>58</v>
      </c>
    </row>
    <row r="70">
      <c r="C70" s="41" t="s">
        <v>2370</v>
      </c>
    </row>
    <row r="71">
      <c r="C71" s="41" t="s">
        <v>2370</v>
      </c>
    </row>
    <row r="72">
      <c r="C72" s="41" t="s">
        <v>2370</v>
      </c>
    </row>
    <row r="73">
      <c r="C73" s="41" t="s">
        <v>2370</v>
      </c>
    </row>
    <row r="74">
      <c r="C74" s="41" t="s">
        <v>58</v>
      </c>
    </row>
    <row r="75">
      <c r="C75" s="41" t="s">
        <v>2370</v>
      </c>
    </row>
    <row r="76">
      <c r="C76" s="41" t="s">
        <v>2370</v>
      </c>
    </row>
    <row r="77">
      <c r="C77" s="41" t="s">
        <v>58</v>
      </c>
    </row>
    <row r="78">
      <c r="C78" s="41" t="s">
        <v>2370</v>
      </c>
    </row>
    <row r="79">
      <c r="C79" s="41" t="s">
        <v>2370</v>
      </c>
    </row>
    <row r="80">
      <c r="C80" s="41" t="s">
        <v>58</v>
      </c>
    </row>
    <row r="81">
      <c r="C81" s="41" t="s">
        <v>58</v>
      </c>
    </row>
    <row r="82">
      <c r="C82" s="41" t="s">
        <v>58</v>
      </c>
    </row>
    <row r="83">
      <c r="C83" s="41" t="s">
        <v>2370</v>
      </c>
    </row>
    <row r="84">
      <c r="C84" s="41" t="s">
        <v>2370</v>
      </c>
    </row>
    <row r="85">
      <c r="C85" s="41" t="s">
        <v>2370</v>
      </c>
    </row>
    <row r="86">
      <c r="C86" s="41" t="s">
        <v>58</v>
      </c>
    </row>
    <row r="87">
      <c r="C87" s="41" t="s">
        <v>2370</v>
      </c>
    </row>
    <row r="88">
      <c r="C88" s="41" t="s">
        <v>2370</v>
      </c>
    </row>
    <row r="89">
      <c r="C89" s="41" t="s">
        <v>2370</v>
      </c>
    </row>
    <row r="90">
      <c r="C90" s="41" t="s">
        <v>2370</v>
      </c>
    </row>
    <row r="91">
      <c r="C91" s="41" t="s">
        <v>2370</v>
      </c>
    </row>
    <row r="92">
      <c r="C92" s="41" t="s">
        <v>2370</v>
      </c>
    </row>
    <row r="93">
      <c r="C93" s="41" t="s">
        <v>58</v>
      </c>
    </row>
    <row r="94">
      <c r="C94" s="41" t="s">
        <v>58</v>
      </c>
    </row>
    <row r="95">
      <c r="C95" s="41" t="s">
        <v>2370</v>
      </c>
    </row>
    <row r="96">
      <c r="C96" s="41" t="s">
        <v>2370</v>
      </c>
    </row>
    <row r="97">
      <c r="C97" s="41" t="s">
        <v>58</v>
      </c>
    </row>
    <row r="98">
      <c r="C98" s="41" t="s">
        <v>2370</v>
      </c>
    </row>
    <row r="99">
      <c r="C99" s="41" t="s">
        <v>58</v>
      </c>
    </row>
    <row r="100">
      <c r="C100" s="41" t="s">
        <v>2370</v>
      </c>
    </row>
    <row r="101">
      <c r="C101" s="41" t="s">
        <v>2370</v>
      </c>
    </row>
    <row r="102">
      <c r="C102" s="41" t="s">
        <v>2370</v>
      </c>
    </row>
    <row r="103">
      <c r="C103" s="41" t="s">
        <v>58</v>
      </c>
    </row>
    <row r="104">
      <c r="C104" s="41" t="s">
        <v>2370</v>
      </c>
    </row>
    <row r="105">
      <c r="C105" s="41" t="s">
        <v>2370</v>
      </c>
    </row>
    <row r="106">
      <c r="C106" s="41" t="s">
        <v>58</v>
      </c>
    </row>
    <row r="107">
      <c r="C107" s="41" t="s">
        <v>2370</v>
      </c>
    </row>
    <row r="108">
      <c r="C108" s="41" t="s">
        <v>58</v>
      </c>
    </row>
    <row r="109">
      <c r="C109" s="41" t="s">
        <v>2370</v>
      </c>
    </row>
    <row r="110">
      <c r="C110" s="41" t="s">
        <v>2370</v>
      </c>
    </row>
    <row r="111">
      <c r="C111" s="41" t="s">
        <v>2370</v>
      </c>
    </row>
    <row r="112">
      <c r="C112" s="41" t="s">
        <v>58</v>
      </c>
    </row>
    <row r="113">
      <c r="C113" s="41" t="s">
        <v>2370</v>
      </c>
    </row>
    <row r="114">
      <c r="C114" s="41" t="s">
        <v>2370</v>
      </c>
    </row>
    <row r="115">
      <c r="C115" s="41" t="s">
        <v>58</v>
      </c>
    </row>
    <row r="116">
      <c r="C116" s="41" t="s">
        <v>58</v>
      </c>
    </row>
    <row r="117">
      <c r="C117" s="41" t="s">
        <v>2370</v>
      </c>
    </row>
    <row r="118">
      <c r="C118" s="41" t="s">
        <v>2370</v>
      </c>
    </row>
    <row r="119">
      <c r="C119" s="41" t="s">
        <v>2370</v>
      </c>
    </row>
    <row r="120">
      <c r="C120" s="41" t="s">
        <v>2370</v>
      </c>
    </row>
    <row r="121">
      <c r="C121" s="41" t="s">
        <v>2370</v>
      </c>
    </row>
    <row r="122">
      <c r="C122" s="41" t="s">
        <v>2370</v>
      </c>
    </row>
    <row r="123">
      <c r="C123" s="41" t="s">
        <v>2370</v>
      </c>
    </row>
    <row r="124">
      <c r="C124" s="41" t="s">
        <v>2370</v>
      </c>
    </row>
    <row r="125">
      <c r="C125" s="41" t="s">
        <v>2370</v>
      </c>
    </row>
    <row r="126">
      <c r="C126" s="41" t="s">
        <v>58</v>
      </c>
    </row>
    <row r="127">
      <c r="C127" s="41" t="s">
        <v>58</v>
      </c>
    </row>
    <row r="128">
      <c r="C128" s="41" t="s">
        <v>2370</v>
      </c>
    </row>
    <row r="129">
      <c r="C129" s="41" t="s">
        <v>2370</v>
      </c>
    </row>
    <row r="130">
      <c r="C130" s="41" t="s">
        <v>58</v>
      </c>
    </row>
    <row r="131">
      <c r="C131" s="41" t="s">
        <v>2370</v>
      </c>
    </row>
    <row r="132">
      <c r="C132" s="41" t="s">
        <v>58</v>
      </c>
    </row>
    <row r="133">
      <c r="C133" s="41" t="s">
        <v>58</v>
      </c>
    </row>
    <row r="134">
      <c r="C134" s="41" t="s">
        <v>2370</v>
      </c>
    </row>
    <row r="135">
      <c r="C135" s="41" t="s">
        <v>58</v>
      </c>
    </row>
    <row r="136">
      <c r="C136" s="41" t="s">
        <v>2370</v>
      </c>
    </row>
    <row r="137">
      <c r="C137" s="41" t="s">
        <v>2370</v>
      </c>
    </row>
    <row r="138">
      <c r="C138" s="41" t="s">
        <v>58</v>
      </c>
    </row>
    <row r="139">
      <c r="C139" s="41" t="s">
        <v>58</v>
      </c>
    </row>
    <row r="140">
      <c r="C140" s="41" t="s">
        <v>58</v>
      </c>
    </row>
    <row r="141">
      <c r="C141" s="41" t="s">
        <v>58</v>
      </c>
    </row>
    <row r="142">
      <c r="C142" s="41" t="s">
        <v>2370</v>
      </c>
    </row>
    <row r="143">
      <c r="C143" s="41" t="s">
        <v>2370</v>
      </c>
    </row>
    <row r="144">
      <c r="C144" s="41" t="s">
        <v>2370</v>
      </c>
    </row>
    <row r="145">
      <c r="C145" s="41" t="s">
        <v>2370</v>
      </c>
    </row>
    <row r="146">
      <c r="C146" s="41" t="s">
        <v>2370</v>
      </c>
    </row>
    <row r="147">
      <c r="C147" s="41" t="s">
        <v>2370</v>
      </c>
    </row>
    <row r="148">
      <c r="C148" s="41" t="s">
        <v>58</v>
      </c>
    </row>
    <row r="149">
      <c r="C149" s="41" t="s">
        <v>58</v>
      </c>
    </row>
    <row r="150">
      <c r="C150" s="41" t="s">
        <v>2370</v>
      </c>
    </row>
    <row r="151">
      <c r="C151" s="41" t="s">
        <v>2370</v>
      </c>
    </row>
    <row r="152">
      <c r="C152" s="41" t="s">
        <v>2370</v>
      </c>
    </row>
    <row r="153">
      <c r="C153" s="41" t="s">
        <v>2370</v>
      </c>
    </row>
    <row r="154">
      <c r="C154" s="41" t="s">
        <v>2370</v>
      </c>
    </row>
    <row r="155">
      <c r="C155" s="41" t="s">
        <v>2370</v>
      </c>
    </row>
    <row r="156">
      <c r="C156" s="41" t="s">
        <v>2370</v>
      </c>
    </row>
    <row r="157">
      <c r="C157" s="41" t="s">
        <v>2370</v>
      </c>
    </row>
    <row r="158">
      <c r="C158" s="41" t="s">
        <v>2370</v>
      </c>
    </row>
    <row r="159">
      <c r="C159" s="41" t="s">
        <v>58</v>
      </c>
    </row>
    <row r="160">
      <c r="C160" s="41" t="s">
        <v>2370</v>
      </c>
    </row>
    <row r="161">
      <c r="C161" s="41" t="s">
        <v>2370</v>
      </c>
    </row>
    <row r="162">
      <c r="C162" s="41" t="s">
        <v>2370</v>
      </c>
    </row>
    <row r="163">
      <c r="C163" s="41" t="s">
        <v>2370</v>
      </c>
    </row>
    <row r="164">
      <c r="C164" s="41" t="s">
        <v>58</v>
      </c>
    </row>
    <row r="165">
      <c r="C165" s="41" t="s">
        <v>2370</v>
      </c>
    </row>
    <row r="166">
      <c r="C166" s="41" t="s">
        <v>2370</v>
      </c>
    </row>
    <row r="167">
      <c r="C167" s="41" t="s">
        <v>2370</v>
      </c>
    </row>
    <row r="168">
      <c r="C168" s="41" t="s">
        <v>2370</v>
      </c>
    </row>
    <row r="169">
      <c r="C169" s="41" t="s">
        <v>58</v>
      </c>
    </row>
    <row r="170">
      <c r="C170" s="41" t="s">
        <v>2370</v>
      </c>
    </row>
    <row r="171">
      <c r="C171" s="41" t="s">
        <v>2370</v>
      </c>
    </row>
    <row r="172">
      <c r="C172" s="41" t="s">
        <v>2370</v>
      </c>
    </row>
    <row r="173">
      <c r="C173" s="41" t="s">
        <v>58</v>
      </c>
    </row>
    <row r="174">
      <c r="C174" s="41" t="s">
        <v>58</v>
      </c>
    </row>
    <row r="175">
      <c r="C175" s="41" t="s">
        <v>58</v>
      </c>
    </row>
    <row r="176">
      <c r="C176" s="41" t="s">
        <v>58</v>
      </c>
    </row>
    <row r="177">
      <c r="C177" s="41" t="s">
        <v>2370</v>
      </c>
    </row>
    <row r="178">
      <c r="C178" s="41" t="s">
        <v>2370</v>
      </c>
    </row>
    <row r="179">
      <c r="C179" s="41" t="s">
        <v>2370</v>
      </c>
    </row>
    <row r="180">
      <c r="C180" s="41" t="s">
        <v>2370</v>
      </c>
    </row>
    <row r="181">
      <c r="C181" s="41" t="s">
        <v>58</v>
      </c>
    </row>
    <row r="182">
      <c r="C182" s="41" t="s">
        <v>2370</v>
      </c>
    </row>
    <row r="183">
      <c r="C183" s="41" t="s">
        <v>58</v>
      </c>
    </row>
    <row r="184">
      <c r="C184" s="41" t="s">
        <v>2370</v>
      </c>
    </row>
    <row r="185">
      <c r="C185" s="41" t="s">
        <v>2370</v>
      </c>
    </row>
    <row r="186">
      <c r="C186" s="41" t="s">
        <v>2370</v>
      </c>
    </row>
    <row r="187">
      <c r="C187" s="41" t="s">
        <v>2370</v>
      </c>
    </row>
    <row r="188">
      <c r="C188" s="41" t="s">
        <v>2370</v>
      </c>
    </row>
    <row r="189">
      <c r="C189" s="41" t="s">
        <v>2370</v>
      </c>
    </row>
    <row r="190">
      <c r="C190" s="41" t="s">
        <v>2370</v>
      </c>
    </row>
    <row r="191">
      <c r="C191" s="41" t="s">
        <v>2370</v>
      </c>
    </row>
    <row r="192">
      <c r="C192" s="41" t="s">
        <v>2370</v>
      </c>
    </row>
    <row r="193">
      <c r="C193" s="41" t="s">
        <v>2370</v>
      </c>
    </row>
    <row r="194">
      <c r="C194" s="41" t="s">
        <v>2370</v>
      </c>
    </row>
    <row r="195">
      <c r="C195" s="41" t="s">
        <v>2370</v>
      </c>
    </row>
    <row r="196">
      <c r="C196" s="41" t="s">
        <v>2370</v>
      </c>
    </row>
    <row r="197">
      <c r="C197" s="41" t="s">
        <v>58</v>
      </c>
    </row>
    <row r="198">
      <c r="C198" s="41" t="s">
        <v>2370</v>
      </c>
    </row>
    <row r="199">
      <c r="C199" s="41" t="s">
        <v>2370</v>
      </c>
    </row>
    <row r="200">
      <c r="C200" s="41" t="s">
        <v>58</v>
      </c>
    </row>
    <row r="201">
      <c r="C201" s="41" t="s">
        <v>58</v>
      </c>
    </row>
    <row r="202">
      <c r="C202" s="41" t="s">
        <v>58</v>
      </c>
    </row>
    <row r="203">
      <c r="C203" s="41" t="s">
        <v>2370</v>
      </c>
    </row>
    <row r="204">
      <c r="C204" s="41" t="s">
        <v>2370</v>
      </c>
    </row>
    <row r="205">
      <c r="C205" s="41" t="s">
        <v>2370</v>
      </c>
    </row>
    <row r="206">
      <c r="C206" s="41" t="s">
        <v>58</v>
      </c>
    </row>
    <row r="207">
      <c r="C207" s="41" t="s">
        <v>2370</v>
      </c>
    </row>
    <row r="208">
      <c r="C208" s="41" t="s">
        <v>2370</v>
      </c>
    </row>
    <row r="209">
      <c r="C209" s="41" t="s">
        <v>58</v>
      </c>
    </row>
    <row r="210">
      <c r="C210" s="41" t="s">
        <v>58</v>
      </c>
    </row>
    <row r="211">
      <c r="C211" s="41" t="s">
        <v>2370</v>
      </c>
    </row>
    <row r="212">
      <c r="C212" s="41" t="s">
        <v>2370</v>
      </c>
    </row>
    <row r="213">
      <c r="C213" s="41" t="s">
        <v>58</v>
      </c>
    </row>
    <row r="214">
      <c r="C214" s="41" t="s">
        <v>2370</v>
      </c>
    </row>
    <row r="215">
      <c r="C215" s="41" t="s">
        <v>2370</v>
      </c>
    </row>
    <row r="216">
      <c r="C216" s="41" t="s">
        <v>2370</v>
      </c>
    </row>
    <row r="217">
      <c r="C217" s="41" t="s">
        <v>58</v>
      </c>
    </row>
    <row r="218">
      <c r="C218" s="41" t="s">
        <v>2370</v>
      </c>
    </row>
    <row r="219">
      <c r="C219" s="41" t="s">
        <v>2370</v>
      </c>
    </row>
    <row r="220">
      <c r="C220" s="41" t="s">
        <v>2370</v>
      </c>
    </row>
    <row r="221">
      <c r="C221" s="41" t="s">
        <v>2370</v>
      </c>
    </row>
    <row r="222">
      <c r="C222" s="41" t="s">
        <v>58</v>
      </c>
    </row>
    <row r="223">
      <c r="C223" s="41" t="s">
        <v>2370</v>
      </c>
    </row>
    <row r="224">
      <c r="C224" s="41" t="s">
        <v>2370</v>
      </c>
    </row>
    <row r="225">
      <c r="C225" s="41" t="s">
        <v>2370</v>
      </c>
    </row>
    <row r="226">
      <c r="C226" s="41" t="s">
        <v>2370</v>
      </c>
    </row>
    <row r="227">
      <c r="C227" s="41" t="s">
        <v>2370</v>
      </c>
    </row>
    <row r="228">
      <c r="C228" s="41" t="s">
        <v>2370</v>
      </c>
    </row>
    <row r="229">
      <c r="C229" s="41" t="s">
        <v>2370</v>
      </c>
    </row>
    <row r="230">
      <c r="C230" s="41" t="s">
        <v>2370</v>
      </c>
    </row>
    <row r="231">
      <c r="C231" s="41" t="s">
        <v>2370</v>
      </c>
    </row>
    <row r="232">
      <c r="C232" s="41" t="s">
        <v>58</v>
      </c>
    </row>
    <row r="233">
      <c r="C233" s="41" t="s">
        <v>2370</v>
      </c>
    </row>
    <row r="234">
      <c r="C234" s="41" t="s">
        <v>2370</v>
      </c>
    </row>
    <row r="235">
      <c r="C235" s="41" t="s">
        <v>2370</v>
      </c>
    </row>
    <row r="236">
      <c r="C236" s="41" t="s">
        <v>2370</v>
      </c>
    </row>
    <row r="237">
      <c r="C237" s="41" t="s">
        <v>58</v>
      </c>
    </row>
    <row r="238">
      <c r="C238" s="41" t="s">
        <v>58</v>
      </c>
    </row>
    <row r="239">
      <c r="C239" s="41" t="s">
        <v>58</v>
      </c>
    </row>
    <row r="240">
      <c r="C240" s="41" t="s">
        <v>58</v>
      </c>
    </row>
    <row r="241">
      <c r="C241" s="41" t="s">
        <v>2370</v>
      </c>
    </row>
    <row r="242">
      <c r="C242" s="41" t="s">
        <v>2370</v>
      </c>
    </row>
    <row r="243">
      <c r="C243" s="41" t="s">
        <v>2370</v>
      </c>
    </row>
    <row r="244">
      <c r="C244" s="41" t="s">
        <v>2370</v>
      </c>
    </row>
    <row r="245">
      <c r="C245" s="41" t="s">
        <v>58</v>
      </c>
    </row>
    <row r="246">
      <c r="C246" s="41" t="s">
        <v>2370</v>
      </c>
    </row>
    <row r="247">
      <c r="C247" s="41" t="s">
        <v>58</v>
      </c>
    </row>
    <row r="248">
      <c r="C248" s="41" t="s">
        <v>58</v>
      </c>
    </row>
    <row r="249">
      <c r="C249" s="41" t="s">
        <v>2370</v>
      </c>
    </row>
    <row r="250">
      <c r="C250" s="41" t="s">
        <v>2370</v>
      </c>
    </row>
    <row r="251">
      <c r="C251" s="41" t="s">
        <v>2370</v>
      </c>
    </row>
    <row r="252">
      <c r="C252" s="41" t="s">
        <v>2370</v>
      </c>
    </row>
    <row r="253">
      <c r="C253" s="41" t="s">
        <v>58</v>
      </c>
    </row>
    <row r="254">
      <c r="C254" s="41" t="s">
        <v>2370</v>
      </c>
    </row>
    <row r="255">
      <c r="C255" s="41" t="s">
        <v>58</v>
      </c>
    </row>
    <row r="256">
      <c r="C256" s="41" t="s">
        <v>2370</v>
      </c>
    </row>
    <row r="257">
      <c r="C257" s="41" t="s">
        <v>2370</v>
      </c>
    </row>
    <row r="258">
      <c r="C258" s="41" t="s">
        <v>58</v>
      </c>
    </row>
    <row r="259">
      <c r="C259" s="41" t="s">
        <v>2370</v>
      </c>
    </row>
    <row r="260">
      <c r="C260" s="41" t="s">
        <v>2370</v>
      </c>
    </row>
    <row r="261">
      <c r="C261" s="41" t="s">
        <v>2370</v>
      </c>
    </row>
    <row r="262">
      <c r="C262" s="41" t="s">
        <v>2370</v>
      </c>
    </row>
    <row r="263">
      <c r="C263" s="41" t="s">
        <v>2370</v>
      </c>
    </row>
    <row r="264">
      <c r="C264" s="41" t="s">
        <v>2370</v>
      </c>
    </row>
    <row r="265">
      <c r="C265" s="41" t="s">
        <v>2370</v>
      </c>
    </row>
    <row r="266">
      <c r="C266" s="41" t="s">
        <v>2370</v>
      </c>
    </row>
    <row r="267">
      <c r="C267" s="41" t="s">
        <v>2370</v>
      </c>
    </row>
    <row r="268">
      <c r="C268" s="41" t="s">
        <v>58</v>
      </c>
    </row>
    <row r="269">
      <c r="C269" s="41" t="s">
        <v>58</v>
      </c>
    </row>
    <row r="270">
      <c r="C270" s="41" t="s">
        <v>2370</v>
      </c>
    </row>
    <row r="271">
      <c r="C271" s="41" t="s">
        <v>2370</v>
      </c>
    </row>
    <row r="272">
      <c r="C272" s="41" t="s">
        <v>2370</v>
      </c>
    </row>
    <row r="273">
      <c r="C273" s="41" t="s">
        <v>58</v>
      </c>
    </row>
    <row r="274">
      <c r="C274" s="41" t="s">
        <v>2370</v>
      </c>
    </row>
    <row r="275">
      <c r="C275" s="41" t="s">
        <v>2370</v>
      </c>
    </row>
    <row r="276">
      <c r="C276" s="41" t="s">
        <v>2370</v>
      </c>
    </row>
    <row r="277">
      <c r="C277" s="41" t="s">
        <v>2370</v>
      </c>
    </row>
    <row r="278">
      <c r="C278" s="41" t="s">
        <v>2370</v>
      </c>
    </row>
    <row r="279">
      <c r="C279" s="41" t="s">
        <v>2370</v>
      </c>
    </row>
    <row r="280">
      <c r="C280" s="41" t="s">
        <v>2370</v>
      </c>
    </row>
    <row r="281">
      <c r="C281" s="41" t="s">
        <v>2370</v>
      </c>
    </row>
    <row r="282">
      <c r="C282" s="41" t="s">
        <v>2370</v>
      </c>
    </row>
    <row r="283">
      <c r="C283" s="41" t="s">
        <v>2370</v>
      </c>
    </row>
    <row r="284">
      <c r="C284" s="41" t="s">
        <v>58</v>
      </c>
    </row>
    <row r="285">
      <c r="C285" s="41" t="s">
        <v>58</v>
      </c>
    </row>
    <row r="286">
      <c r="C286" s="41" t="s">
        <v>2370</v>
      </c>
    </row>
  </sheetData>
  <dataValidations>
    <dataValidation type="list" allowBlank="1" showErrorMessage="1" sqref="C2:C286">
      <formula1>"M,F"</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58" t="s">
        <v>16</v>
      </c>
      <c r="B3" s="58" t="s">
        <v>58</v>
      </c>
      <c r="C3" s="58" t="s">
        <v>2370</v>
      </c>
    </row>
    <row r="4" ht="22.5" customHeight="1">
      <c r="A4" s="59" t="s">
        <v>29</v>
      </c>
      <c r="B4" s="60">
        <v>35.0</v>
      </c>
      <c r="C4" s="59"/>
    </row>
    <row r="5" ht="22.5" customHeight="1">
      <c r="A5" s="59" t="s">
        <v>2383</v>
      </c>
      <c r="B5" s="60">
        <v>3.0</v>
      </c>
      <c r="C5" s="59"/>
    </row>
    <row r="6" ht="22.5" customHeight="1">
      <c r="A6" s="59" t="s">
        <v>38</v>
      </c>
      <c r="B6" s="60">
        <v>91.0</v>
      </c>
      <c r="C6" s="60">
        <v>2.0</v>
      </c>
    </row>
    <row r="7" ht="22.5" customHeight="1">
      <c r="A7" s="59" t="s">
        <v>2396</v>
      </c>
      <c r="B7" s="60">
        <v>1.0</v>
      </c>
      <c r="C7" s="59"/>
    </row>
    <row r="8" ht="22.5" customHeight="1">
      <c r="A8" s="59" t="s">
        <v>2388</v>
      </c>
      <c r="B8" s="60">
        <v>1.0</v>
      </c>
      <c r="C8" s="59"/>
    </row>
    <row r="9" ht="22.5" customHeight="1">
      <c r="A9" s="59" t="s">
        <v>62</v>
      </c>
      <c r="B9" s="60">
        <v>23.0</v>
      </c>
      <c r="C9" s="60">
        <v>2.0</v>
      </c>
    </row>
    <row r="10" ht="22.5" customHeight="1">
      <c r="A10" s="59" t="s">
        <v>36</v>
      </c>
      <c r="B10" s="60">
        <v>2.0</v>
      </c>
      <c r="C10" s="60">
        <v>8.0</v>
      </c>
    </row>
    <row r="11" ht="22.5" customHeight="1">
      <c r="A11" s="59" t="s">
        <v>2376</v>
      </c>
      <c r="B11" s="59"/>
      <c r="C11" s="60">
        <v>1.0</v>
      </c>
    </row>
    <row r="12" ht="22.5" customHeight="1">
      <c r="A12" s="59" t="s">
        <v>24</v>
      </c>
      <c r="B12" s="60">
        <v>8.0</v>
      </c>
      <c r="C12" s="60">
        <v>86.0</v>
      </c>
    </row>
    <row r="13" ht="22.5" customHeight="1">
      <c r="A13" s="59" t="s">
        <v>2386</v>
      </c>
      <c r="B13" s="60">
        <v>1.0</v>
      </c>
      <c r="C13" s="60">
        <v>3.0</v>
      </c>
    </row>
    <row r="14" ht="22.5" customHeight="1">
      <c r="A14" s="59" t="s">
        <v>2387</v>
      </c>
      <c r="B14" s="60">
        <v>1.0</v>
      </c>
      <c r="C14" s="59"/>
    </row>
    <row r="15" ht="22.5" customHeight="1">
      <c r="A15" s="59" t="s">
        <v>32</v>
      </c>
      <c r="B15" s="60">
        <v>4.0</v>
      </c>
      <c r="C15" s="60">
        <v>96.0</v>
      </c>
    </row>
    <row r="16" ht="22.5" customHeight="1">
      <c r="A16" s="59" t="s">
        <v>2392</v>
      </c>
      <c r="B16" s="59"/>
      <c r="C16" s="60">
        <v>1.0</v>
      </c>
    </row>
    <row r="17" ht="22.5" customHeight="1">
      <c r="A17" s="59" t="s">
        <v>43</v>
      </c>
      <c r="B17" s="60">
        <v>4.0</v>
      </c>
      <c r="C17" s="60">
        <v>134.0</v>
      </c>
    </row>
    <row r="18" ht="22.5" customHeight="1">
      <c r="A18" s="59" t="s">
        <v>2393</v>
      </c>
      <c r="B18" s="59"/>
      <c r="C18" s="60">
        <v>1.0</v>
      </c>
    </row>
    <row r="19" ht="22.5" customHeight="1">
      <c r="A19" s="59" t="s">
        <v>2377</v>
      </c>
      <c r="B19" s="59"/>
      <c r="C19" s="60">
        <v>2.0</v>
      </c>
    </row>
    <row r="20" ht="22.5" customHeight="1">
      <c r="A20" s="59" t="s">
        <v>2378</v>
      </c>
      <c r="B20" s="59"/>
      <c r="C20" s="60">
        <v>3.0</v>
      </c>
    </row>
    <row r="21" ht="22.5" customHeight="1">
      <c r="A21" s="59" t="s">
        <v>28</v>
      </c>
      <c r="B21" s="60">
        <v>1.0</v>
      </c>
      <c r="C21" s="60">
        <v>36.0</v>
      </c>
    </row>
    <row r="22" ht="22.5" customHeight="1">
      <c r="A22" s="59" t="s">
        <v>58</v>
      </c>
      <c r="B22" s="60">
        <v>1.0</v>
      </c>
      <c r="C22" s="60">
        <v>11.0</v>
      </c>
    </row>
    <row r="23" ht="22.5" customHeight="1">
      <c r="A23" s="59" t="s">
        <v>67</v>
      </c>
      <c r="B23" s="59"/>
      <c r="C23" s="60">
        <v>12.0</v>
      </c>
    </row>
    <row r="24" ht="22.5" customHeight="1">
      <c r="A24" s="59" t="s">
        <v>89</v>
      </c>
      <c r="B24" s="60">
        <v>4.0</v>
      </c>
      <c r="C24" s="60">
        <v>1.0</v>
      </c>
    </row>
    <row r="25" ht="22.5" customHeight="1">
      <c r="A25" s="59" t="s">
        <v>127</v>
      </c>
      <c r="B25" s="60">
        <v>31.0</v>
      </c>
      <c r="C25" s="60">
        <v>3.0</v>
      </c>
    </row>
  </sheetData>
  <dataValidations>
    <dataValidation type="custom" allowBlank="1" showDropDown="1" sqref="B4:C25">
      <formula1>AND(ISNUMBER(B4),(NOT(OR(NOT(ISERROR(DATEVALUE(B4))), AND(ISNUMBER(B4), LEFT(CELL("format", B4))="D")))))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8" t="s">
        <v>1277</v>
      </c>
      <c r="B3" s="58" t="s">
        <v>1277</v>
      </c>
    </row>
    <row r="4" ht="22.5" customHeight="1">
      <c r="A4" s="60">
        <v>261.45</v>
      </c>
      <c r="B4" s="60">
        <v>261.45</v>
      </c>
    </row>
    <row r="5" ht="22.5" customHeight="1">
      <c r="A5" s="60">
        <v>362.88</v>
      </c>
      <c r="B5" s="60">
        <v>362.88</v>
      </c>
    </row>
    <row r="6" ht="22.5" customHeight="1">
      <c r="A6" s="60">
        <v>304.12</v>
      </c>
      <c r="B6" s="60">
        <v>304.12</v>
      </c>
    </row>
    <row r="7" ht="22.5" customHeight="1">
      <c r="A7" s="60">
        <v>232.61</v>
      </c>
      <c r="B7" s="60">
        <v>232.61</v>
      </c>
    </row>
    <row r="8" ht="22.5" customHeight="1">
      <c r="A8" s="60">
        <v>311.42</v>
      </c>
      <c r="B8" s="60">
        <v>311.42</v>
      </c>
    </row>
    <row r="9" ht="22.5" customHeight="1">
      <c r="A9" s="60">
        <v>261.33</v>
      </c>
      <c r="B9" s="60">
        <v>261.33</v>
      </c>
    </row>
    <row r="10" ht="22.5" customHeight="1">
      <c r="A10" s="60">
        <v>246.86</v>
      </c>
      <c r="B10" s="60">
        <v>246.86</v>
      </c>
    </row>
    <row r="11" ht="22.5" customHeight="1">
      <c r="A11" s="60">
        <v>246.36</v>
      </c>
      <c r="B11" s="60">
        <v>246.36</v>
      </c>
    </row>
    <row r="12" ht="22.5" customHeight="1">
      <c r="A12" s="60">
        <v>283.47</v>
      </c>
      <c r="B12" s="60">
        <v>283.47</v>
      </c>
    </row>
    <row r="13" ht="22.5" customHeight="1">
      <c r="A13" s="60">
        <v>147.38</v>
      </c>
      <c r="B13" s="60">
        <v>147.38</v>
      </c>
    </row>
    <row r="14" ht="22.5" customHeight="1">
      <c r="A14" s="60">
        <v>142.0</v>
      </c>
      <c r="B14" s="60">
        <v>142.0</v>
      </c>
    </row>
    <row r="15" ht="22.5" customHeight="1">
      <c r="A15" s="60">
        <v>159.07</v>
      </c>
      <c r="B15" s="60">
        <v>159.07</v>
      </c>
    </row>
    <row r="16" ht="22.5" customHeight="1">
      <c r="A16" s="60">
        <v>156.27</v>
      </c>
      <c r="B16" s="60">
        <v>156.27</v>
      </c>
    </row>
    <row r="17" ht="22.5" customHeight="1">
      <c r="A17" s="60">
        <v>168.52</v>
      </c>
      <c r="B17" s="60">
        <v>168.52</v>
      </c>
    </row>
    <row r="18" ht="22.5" customHeight="1">
      <c r="A18" s="60">
        <v>152.96</v>
      </c>
      <c r="B18" s="60">
        <v>152.96</v>
      </c>
    </row>
    <row r="19" ht="22.5" customHeight="1">
      <c r="A19" s="60">
        <v>299.24</v>
      </c>
      <c r="B19" s="60">
        <v>299.24</v>
      </c>
    </row>
    <row r="20" ht="22.5" customHeight="1">
      <c r="A20" s="60">
        <v>185.32</v>
      </c>
      <c r="B20" s="60">
        <v>185.32</v>
      </c>
    </row>
    <row r="21" ht="22.5" customHeight="1">
      <c r="A21" s="60">
        <v>328.6</v>
      </c>
      <c r="B21" s="60">
        <v>328.6</v>
      </c>
    </row>
    <row r="22" ht="22.5" customHeight="1">
      <c r="A22" s="60">
        <v>342.05</v>
      </c>
      <c r="B22" s="60">
        <v>342.05</v>
      </c>
    </row>
    <row r="23" ht="22.5" customHeight="1">
      <c r="A23" s="60">
        <v>276.84</v>
      </c>
      <c r="B23" s="60">
        <v>276.84</v>
      </c>
    </row>
    <row r="24" ht="22.5" customHeight="1">
      <c r="A24" s="60">
        <v>354.64</v>
      </c>
      <c r="B24" s="60">
        <v>354.64</v>
      </c>
    </row>
    <row r="25" ht="22.5" customHeight="1">
      <c r="A25" s="60">
        <v>367.495</v>
      </c>
      <c r="B25" s="60">
        <v>367.495</v>
      </c>
    </row>
    <row r="26" ht="22.5" customHeight="1">
      <c r="A26" s="60">
        <v>246.925</v>
      </c>
      <c r="B26" s="60">
        <v>246.925</v>
      </c>
    </row>
    <row r="27" ht="22.5" customHeight="1">
      <c r="A27" s="60">
        <v>347.96</v>
      </c>
      <c r="B27" s="60">
        <v>347.96</v>
      </c>
    </row>
    <row r="28" ht="22.5" customHeight="1">
      <c r="A28" s="60">
        <v>220.15</v>
      </c>
      <c r="B28" s="60">
        <v>220.15</v>
      </c>
    </row>
    <row r="29" ht="22.5" customHeight="1">
      <c r="A29" s="60">
        <v>333.34</v>
      </c>
      <c r="B29" s="60">
        <v>333.34</v>
      </c>
    </row>
    <row r="30" ht="22.5" customHeight="1">
      <c r="A30" s="60">
        <v>276.495</v>
      </c>
      <c r="B30" s="60">
        <v>276.495</v>
      </c>
    </row>
    <row r="31" ht="22.5" customHeight="1">
      <c r="A31" s="60">
        <v>233.08</v>
      </c>
      <c r="B31" s="60">
        <v>233.08</v>
      </c>
    </row>
    <row r="32" ht="22.5" customHeight="1">
      <c r="A32" s="60">
        <v>293.21</v>
      </c>
      <c r="B32" s="60">
        <v>293.21</v>
      </c>
    </row>
    <row r="33" ht="22.5" customHeight="1">
      <c r="A33" s="60">
        <v>341.81</v>
      </c>
      <c r="B33" s="60">
        <v>341.81</v>
      </c>
    </row>
    <row r="34" ht="22.5" customHeight="1">
      <c r="A34" s="60">
        <v>266.76</v>
      </c>
      <c r="B34" s="60">
        <v>266.76</v>
      </c>
    </row>
    <row r="35" ht="22.5" customHeight="1">
      <c r="A35" s="60">
        <v>261.35</v>
      </c>
      <c r="B35" s="60">
        <v>261.35</v>
      </c>
    </row>
    <row r="36" ht="22.5" customHeight="1">
      <c r="A36" s="60">
        <v>237.52</v>
      </c>
      <c r="B36" s="60">
        <v>237.52</v>
      </c>
    </row>
    <row r="37" ht="22.5" customHeight="1">
      <c r="A37" s="60">
        <v>265.48</v>
      </c>
      <c r="B37" s="60">
        <v>265.48</v>
      </c>
    </row>
    <row r="38" ht="22.5" customHeight="1">
      <c r="A38" s="60">
        <v>245.32</v>
      </c>
      <c r="B38" s="60">
        <v>245.32</v>
      </c>
    </row>
    <row r="39" ht="22.5" customHeight="1">
      <c r="A39" s="60">
        <v>290.71</v>
      </c>
      <c r="B39" s="60">
        <v>290.71</v>
      </c>
    </row>
    <row r="40" ht="22.5" customHeight="1">
      <c r="A40" s="60">
        <v>257.83</v>
      </c>
      <c r="B40" s="60">
        <v>257.83</v>
      </c>
    </row>
    <row r="41" ht="22.5" customHeight="1">
      <c r="A41" s="60">
        <v>261.34</v>
      </c>
      <c r="B41" s="60">
        <v>261.34</v>
      </c>
    </row>
    <row r="42" ht="22.5" customHeight="1">
      <c r="A42" s="60">
        <v>293.03</v>
      </c>
      <c r="B42" s="60">
        <v>293.03</v>
      </c>
    </row>
    <row r="43" ht="22.5" customHeight="1">
      <c r="A43" s="60">
        <v>295.05</v>
      </c>
      <c r="B43" s="60">
        <v>295.05</v>
      </c>
    </row>
    <row r="44" ht="22.5" customHeight="1">
      <c r="A44" s="60">
        <v>335.73</v>
      </c>
      <c r="B44" s="60">
        <v>335.73</v>
      </c>
    </row>
    <row r="45" ht="22.5" customHeight="1">
      <c r="A45" s="60">
        <v>246.86</v>
      </c>
      <c r="B45" s="60">
        <v>246.86</v>
      </c>
    </row>
    <row r="46" ht="22.5" customHeight="1">
      <c r="A46" s="60">
        <v>261.16</v>
      </c>
      <c r="B46" s="60">
        <v>261.16</v>
      </c>
    </row>
    <row r="47" ht="22.5" customHeight="1">
      <c r="A47" s="60">
        <v>230.12</v>
      </c>
      <c r="B47" s="60">
        <v>230.12</v>
      </c>
    </row>
    <row r="48" ht="22.5" customHeight="1">
      <c r="A48" s="60">
        <v>327.5</v>
      </c>
      <c r="B48" s="60">
        <v>327.5</v>
      </c>
    </row>
    <row r="49" ht="22.5" customHeight="1">
      <c r="A49" s="60">
        <v>246.76</v>
      </c>
      <c r="B49" s="60">
        <v>246.76</v>
      </c>
    </row>
    <row r="50" ht="22.5" customHeight="1">
      <c r="A50" s="60">
        <v>224.83</v>
      </c>
      <c r="B50" s="60">
        <v>224.83</v>
      </c>
    </row>
    <row r="51" ht="22.5" customHeight="1">
      <c r="A51" s="60">
        <v>236.57</v>
      </c>
      <c r="B51" s="60">
        <v>236.57</v>
      </c>
    </row>
    <row r="52" ht="22.5" customHeight="1">
      <c r="A52" s="60">
        <v>436.7</v>
      </c>
      <c r="B52" s="60">
        <v>436.7</v>
      </c>
    </row>
    <row r="53" ht="22.5" customHeight="1">
      <c r="A53" s="60">
        <v>463.32</v>
      </c>
      <c r="B53" s="60">
        <v>463.32</v>
      </c>
    </row>
    <row r="54" ht="22.5" customHeight="1">
      <c r="A54" s="60">
        <v>324.73</v>
      </c>
      <c r="B54" s="60">
        <v>324.73</v>
      </c>
    </row>
    <row r="55" ht="22.5" customHeight="1">
      <c r="A55" s="60">
        <v>298.56</v>
      </c>
      <c r="B55" s="60">
        <v>298.56</v>
      </c>
    </row>
    <row r="56" ht="22.5" customHeight="1">
      <c r="A56" s="60">
        <v>338.68</v>
      </c>
      <c r="B56" s="60">
        <v>338.68</v>
      </c>
    </row>
    <row r="57" ht="22.5" customHeight="1">
      <c r="A57" s="60">
        <v>338.87</v>
      </c>
      <c r="B57" s="60">
        <v>338.87</v>
      </c>
    </row>
    <row r="58" ht="22.5" customHeight="1">
      <c r="A58" s="60">
        <v>437.62</v>
      </c>
      <c r="B58" s="60">
        <v>437.62</v>
      </c>
    </row>
    <row r="59" ht="22.5" customHeight="1">
      <c r="A59" s="60">
        <v>277.79</v>
      </c>
      <c r="B59" s="60">
        <v>277.79</v>
      </c>
    </row>
    <row r="60" ht="22.5" customHeight="1">
      <c r="A60" s="60">
        <v>294.97</v>
      </c>
      <c r="B60" s="60">
        <v>294.97</v>
      </c>
    </row>
    <row r="61" ht="22.5" customHeight="1">
      <c r="A61" s="60">
        <v>154.15</v>
      </c>
      <c r="B61" s="60">
        <v>154.15</v>
      </c>
    </row>
    <row r="62" ht="22.5" customHeight="1">
      <c r="A62" s="60">
        <v>295.59</v>
      </c>
      <c r="B62" s="60">
        <v>295.59</v>
      </c>
    </row>
    <row r="63" ht="22.5" customHeight="1">
      <c r="A63" s="60">
        <v>348.61</v>
      </c>
      <c r="B63" s="60">
        <v>348.61</v>
      </c>
    </row>
    <row r="64" ht="22.5" customHeight="1">
      <c r="A64" s="60">
        <v>341.08</v>
      </c>
      <c r="B64" s="60">
        <v>341.08</v>
      </c>
    </row>
    <row r="65" ht="22.5" customHeight="1">
      <c r="A65" s="60">
        <v>259.08</v>
      </c>
      <c r="B65" s="60">
        <v>259.08</v>
      </c>
    </row>
    <row r="66" ht="22.5" customHeight="1">
      <c r="A66" s="60">
        <v>242.425</v>
      </c>
      <c r="B66" s="60">
        <v>242.425</v>
      </c>
    </row>
    <row r="67" ht="22.5" customHeight="1">
      <c r="A67" s="60">
        <v>347.97</v>
      </c>
      <c r="B67" s="60">
        <v>347.97</v>
      </c>
    </row>
    <row r="68" ht="22.5" customHeight="1">
      <c r="A68" s="60">
        <v>357.87</v>
      </c>
      <c r="B68" s="60">
        <v>357.87</v>
      </c>
    </row>
    <row r="69" ht="22.5" customHeight="1">
      <c r="A69" s="60">
        <v>347.92</v>
      </c>
      <c r="B69" s="60">
        <v>347.92</v>
      </c>
    </row>
    <row r="70" ht="22.5" customHeight="1">
      <c r="A70" s="60">
        <v>369.43</v>
      </c>
      <c r="B70" s="60">
        <v>369.43</v>
      </c>
    </row>
    <row r="71" ht="22.5" customHeight="1">
      <c r="A71" s="60">
        <v>246.42</v>
      </c>
      <c r="B71" s="60">
        <v>246.42</v>
      </c>
    </row>
    <row r="72" ht="22.5" customHeight="1">
      <c r="A72" s="60">
        <v>257.45</v>
      </c>
      <c r="B72" s="60">
        <v>257.45</v>
      </c>
    </row>
    <row r="73" ht="22.5" customHeight="1">
      <c r="A73" s="60">
        <v>310.3</v>
      </c>
      <c r="B73" s="60">
        <v>310.3</v>
      </c>
    </row>
    <row r="74" ht="22.5" customHeight="1">
      <c r="A74" s="60">
        <v>292.55</v>
      </c>
      <c r="B74" s="60">
        <v>292.55</v>
      </c>
    </row>
    <row r="75" ht="22.5" customHeight="1">
      <c r="A75" s="60">
        <v>275.71</v>
      </c>
      <c r="B75" s="60">
        <v>275.71</v>
      </c>
    </row>
    <row r="76" ht="22.5" customHeight="1">
      <c r="A76" s="60">
        <v>258.935</v>
      </c>
      <c r="B76" s="60">
        <v>258.935</v>
      </c>
    </row>
    <row r="77" ht="22.5" customHeight="1">
      <c r="A77" s="60">
        <v>310.3</v>
      </c>
      <c r="B77" s="60">
        <v>310.3</v>
      </c>
    </row>
    <row r="78" ht="22.5" customHeight="1">
      <c r="A78" s="60">
        <v>261.07</v>
      </c>
      <c r="B78" s="60">
        <v>261.07</v>
      </c>
    </row>
    <row r="79" ht="22.5" customHeight="1">
      <c r="A79" s="60">
        <v>146.2</v>
      </c>
      <c r="B79" s="60">
        <v>146.2</v>
      </c>
    </row>
    <row r="80" ht="22.5" customHeight="1">
      <c r="A80" s="60">
        <v>236.5</v>
      </c>
      <c r="B80" s="60">
        <v>236.5</v>
      </c>
    </row>
    <row r="81" ht="22.5" customHeight="1">
      <c r="A81" s="60">
        <v>174.6</v>
      </c>
      <c r="B81" s="60">
        <v>174.6</v>
      </c>
    </row>
    <row r="82" ht="22.5" customHeight="1">
      <c r="A82" s="60">
        <v>276.46</v>
      </c>
      <c r="B82" s="60">
        <v>276.46</v>
      </c>
    </row>
    <row r="83" ht="22.5" customHeight="1">
      <c r="A83" s="60">
        <v>288.79</v>
      </c>
      <c r="B83" s="60">
        <v>288.79</v>
      </c>
    </row>
    <row r="84" ht="22.5" customHeight="1">
      <c r="A84" s="60">
        <v>312.3</v>
      </c>
      <c r="B84" s="60">
        <v>312.3</v>
      </c>
    </row>
    <row r="85" ht="22.5" customHeight="1">
      <c r="A85" s="60">
        <v>282.665</v>
      </c>
      <c r="B85" s="60">
        <v>282.665</v>
      </c>
    </row>
    <row r="86" ht="22.5" customHeight="1">
      <c r="A86" s="60">
        <v>316.05</v>
      </c>
      <c r="B86" s="60">
        <v>316.05</v>
      </c>
    </row>
    <row r="87" ht="22.5" customHeight="1">
      <c r="A87" s="60">
        <v>310.31</v>
      </c>
      <c r="B87" s="60">
        <v>310.31</v>
      </c>
    </row>
    <row r="88" ht="22.5" customHeight="1">
      <c r="A88" s="60">
        <v>356.755</v>
      </c>
      <c r="B88" s="60">
        <v>356.755</v>
      </c>
    </row>
    <row r="89" ht="22.5" customHeight="1">
      <c r="A89" s="60">
        <v>310.15</v>
      </c>
      <c r="B89" s="60">
        <v>310.15</v>
      </c>
    </row>
    <row r="90" ht="22.5" customHeight="1">
      <c r="A90" s="60">
        <v>299.5</v>
      </c>
      <c r="B90" s="60">
        <v>299.5</v>
      </c>
    </row>
    <row r="91" ht="22.5" customHeight="1">
      <c r="A91" s="60">
        <v>302.885</v>
      </c>
      <c r="B91" s="60">
        <v>302.885</v>
      </c>
    </row>
    <row r="92" ht="22.5" customHeight="1">
      <c r="A92" s="60">
        <v>355.18</v>
      </c>
      <c r="B92" s="60">
        <v>355.18</v>
      </c>
    </row>
    <row r="93" ht="22.5" customHeight="1">
      <c r="A93" s="60">
        <v>348.175</v>
      </c>
      <c r="B93" s="60">
        <v>348.175</v>
      </c>
    </row>
    <row r="94" ht="22.5" customHeight="1">
      <c r="A94" s="60">
        <v>293.03</v>
      </c>
      <c r="B94" s="60">
        <v>293.03</v>
      </c>
    </row>
    <row r="95" ht="22.5" customHeight="1">
      <c r="A95" s="60">
        <v>280.9</v>
      </c>
      <c r="B95" s="60">
        <v>280.9</v>
      </c>
    </row>
    <row r="96" ht="22.5" customHeight="1">
      <c r="A96" s="60">
        <v>276.72</v>
      </c>
      <c r="B96" s="60">
        <v>276.72</v>
      </c>
    </row>
    <row r="97" ht="22.5" customHeight="1">
      <c r="A97" s="60">
        <v>264.875</v>
      </c>
      <c r="B97" s="60">
        <v>264.875</v>
      </c>
    </row>
    <row r="98" ht="22.5" customHeight="1">
      <c r="A98" s="60">
        <v>269.7</v>
      </c>
      <c r="B98" s="60">
        <v>269.7</v>
      </c>
    </row>
    <row r="99" ht="22.5" customHeight="1">
      <c r="A99" s="60">
        <v>282.15</v>
      </c>
      <c r="B99" s="60">
        <v>282.15</v>
      </c>
    </row>
    <row r="100" ht="22.5" customHeight="1">
      <c r="A100" s="60">
        <v>236.75</v>
      </c>
      <c r="B100" s="60">
        <v>236.75</v>
      </c>
    </row>
    <row r="101" ht="22.5" customHeight="1">
      <c r="A101" s="60">
        <v>328.59</v>
      </c>
      <c r="B101" s="60">
        <v>328.59</v>
      </c>
    </row>
    <row r="102" ht="22.5" customHeight="1">
      <c r="A102" s="60">
        <v>261.33</v>
      </c>
      <c r="B102" s="60">
        <v>261.33</v>
      </c>
    </row>
    <row r="103" ht="22.5" customHeight="1">
      <c r="A103" s="60">
        <v>242.355</v>
      </c>
      <c r="B103" s="60">
        <v>242.355</v>
      </c>
    </row>
    <row r="104" ht="22.5" customHeight="1">
      <c r="A104" s="60">
        <v>293.04</v>
      </c>
      <c r="B104" s="60">
        <v>293.04</v>
      </c>
    </row>
    <row r="105" ht="22.5" customHeight="1">
      <c r="A105" s="60">
        <v>205.825</v>
      </c>
      <c r="B105" s="60">
        <v>205.825</v>
      </c>
    </row>
    <row r="106" ht="22.5" customHeight="1">
      <c r="A106" s="60">
        <v>205.88</v>
      </c>
      <c r="B106" s="60">
        <v>205.88</v>
      </c>
    </row>
    <row r="107" ht="22.5" customHeight="1">
      <c r="A107" s="60">
        <v>233.6</v>
      </c>
      <c r="B107" s="60">
        <v>233.6</v>
      </c>
    </row>
    <row r="108" ht="22.5" customHeight="1">
      <c r="A108" s="60">
        <v>282.06</v>
      </c>
      <c r="B108" s="60">
        <v>282.06</v>
      </c>
    </row>
    <row r="109" ht="22.5" customHeight="1">
      <c r="A109" s="60">
        <v>251.41</v>
      </c>
      <c r="B109" s="60">
        <v>251.41</v>
      </c>
    </row>
    <row r="110" ht="22.5" customHeight="1">
      <c r="A110" s="60">
        <v>293.53</v>
      </c>
      <c r="B110" s="60">
        <v>293.53</v>
      </c>
    </row>
    <row r="111" ht="22.5" customHeight="1">
      <c r="A111" s="60">
        <v>322.435</v>
      </c>
      <c r="B111" s="60">
        <v>322.435</v>
      </c>
    </row>
    <row r="112" ht="22.5" customHeight="1">
      <c r="A112" s="60">
        <v>333.13</v>
      </c>
      <c r="B112" s="60">
        <v>333.13</v>
      </c>
    </row>
    <row r="113" ht="22.5" customHeight="1">
      <c r="A113" s="60">
        <v>326.57</v>
      </c>
      <c r="B113" s="60">
        <v>326.57</v>
      </c>
    </row>
    <row r="114" ht="22.5" customHeight="1">
      <c r="A114" s="60">
        <v>293.03</v>
      </c>
      <c r="B114" s="60">
        <v>293.03</v>
      </c>
    </row>
    <row r="115" ht="22.5" customHeight="1">
      <c r="A115" s="60">
        <v>333.295</v>
      </c>
      <c r="B115" s="60">
        <v>333.295</v>
      </c>
    </row>
    <row r="116" ht="22.5" customHeight="1">
      <c r="A116" s="60">
        <v>261.31</v>
      </c>
      <c r="B116" s="60">
        <v>261.31</v>
      </c>
    </row>
    <row r="117" ht="22.5" customHeight="1">
      <c r="A117" s="60">
        <v>246.77</v>
      </c>
      <c r="B117" s="60">
        <v>246.77</v>
      </c>
    </row>
    <row r="118" ht="22.5" customHeight="1">
      <c r="A118" s="60">
        <v>310.3</v>
      </c>
      <c r="B118" s="60">
        <v>310.3</v>
      </c>
    </row>
    <row r="119" ht="22.5" customHeight="1">
      <c r="A119" s="60">
        <v>293.04</v>
      </c>
      <c r="B119" s="60">
        <v>293.04</v>
      </c>
    </row>
    <row r="120" ht="22.5" customHeight="1">
      <c r="A120" s="60">
        <v>299.3</v>
      </c>
      <c r="B120" s="60">
        <v>299.3</v>
      </c>
    </row>
    <row r="121" ht="22.5" customHeight="1">
      <c r="A121" s="60">
        <v>267.37</v>
      </c>
      <c r="B121" s="60">
        <v>267.37</v>
      </c>
    </row>
    <row r="122" ht="22.5" customHeight="1">
      <c r="A122" s="60">
        <v>287.25</v>
      </c>
      <c r="B122" s="60">
        <v>287.25</v>
      </c>
    </row>
    <row r="123" ht="22.5" customHeight="1">
      <c r="A123" s="60">
        <v>244.03</v>
      </c>
      <c r="B123" s="60">
        <v>244.03</v>
      </c>
    </row>
    <row r="124" ht="22.5" customHeight="1">
      <c r="A124" s="60">
        <v>310.32</v>
      </c>
      <c r="B124" s="60">
        <v>310.32</v>
      </c>
    </row>
    <row r="125" ht="22.5" customHeight="1">
      <c r="A125" s="60">
        <v>340.99</v>
      </c>
      <c r="B125" s="60">
        <v>340.99</v>
      </c>
    </row>
    <row r="126" ht="22.5" customHeight="1">
      <c r="A126" s="60">
        <v>290.455</v>
      </c>
      <c r="B126" s="60">
        <v>290.455</v>
      </c>
    </row>
    <row r="127" ht="22.5" customHeight="1">
      <c r="A127" s="60">
        <v>310.3</v>
      </c>
      <c r="B127" s="60">
        <v>310.3</v>
      </c>
    </row>
    <row r="128" ht="22.5" customHeight="1">
      <c r="A128" s="60">
        <v>250.06</v>
      </c>
      <c r="B128" s="60">
        <v>250.06</v>
      </c>
    </row>
    <row r="129" ht="22.5" customHeight="1">
      <c r="A129" s="60">
        <v>310.32</v>
      </c>
      <c r="B129" s="60">
        <v>310.32</v>
      </c>
    </row>
    <row r="130" ht="22.5" customHeight="1">
      <c r="A130" s="60">
        <v>307.785</v>
      </c>
      <c r="B130" s="60">
        <v>307.785</v>
      </c>
    </row>
    <row r="131" ht="22.5" customHeight="1">
      <c r="A131" s="60">
        <v>433.7</v>
      </c>
      <c r="B131" s="60">
        <v>433.7</v>
      </c>
    </row>
    <row r="132" ht="22.5" customHeight="1">
      <c r="A132" s="60">
        <v>321.955</v>
      </c>
      <c r="B132" s="60">
        <v>321.955</v>
      </c>
    </row>
    <row r="133" ht="22.5" customHeight="1">
      <c r="A133" s="60">
        <v>293.03</v>
      </c>
      <c r="B133" s="60">
        <v>293.03</v>
      </c>
    </row>
    <row r="134" ht="22.5" customHeight="1">
      <c r="A134" s="60">
        <v>282.195</v>
      </c>
      <c r="B134" s="60">
        <v>282.195</v>
      </c>
    </row>
    <row r="135" ht="22.5" customHeight="1">
      <c r="A135" s="60">
        <v>276.7</v>
      </c>
      <c r="B135" s="60">
        <v>276.7</v>
      </c>
    </row>
    <row r="136" ht="22.5" customHeight="1">
      <c r="A136" s="60">
        <v>277.86</v>
      </c>
      <c r="B136" s="60">
        <v>277.86</v>
      </c>
    </row>
    <row r="137" ht="22.5" customHeight="1">
      <c r="A137" s="60">
        <v>220.06</v>
      </c>
      <c r="B137" s="60">
        <v>220.06</v>
      </c>
    </row>
    <row r="138" ht="22.5" customHeight="1">
      <c r="A138" s="60">
        <v>276.72</v>
      </c>
      <c r="B138" s="60">
        <v>276.72</v>
      </c>
    </row>
    <row r="139" ht="22.5" customHeight="1">
      <c r="A139" s="60">
        <v>348.05</v>
      </c>
      <c r="B139" s="60">
        <v>348.05</v>
      </c>
    </row>
    <row r="140" ht="22.5" customHeight="1">
      <c r="A140" s="60">
        <v>274.88</v>
      </c>
      <c r="B140" s="60">
        <v>274.88</v>
      </c>
    </row>
    <row r="141" ht="22.5" customHeight="1">
      <c r="A141" s="60">
        <v>281.28</v>
      </c>
      <c r="B141" s="60">
        <v>281.28</v>
      </c>
    </row>
    <row r="142" ht="22.5" customHeight="1">
      <c r="A142" s="60">
        <v>283.74</v>
      </c>
      <c r="B142" s="60">
        <v>283.74</v>
      </c>
    </row>
    <row r="143" ht="22.5" customHeight="1">
      <c r="A143" s="60">
        <v>287.295</v>
      </c>
      <c r="B143" s="60">
        <v>287.295</v>
      </c>
    </row>
    <row r="144" ht="22.5" customHeight="1">
      <c r="A144" s="60">
        <v>276.68</v>
      </c>
      <c r="B144" s="60">
        <v>276.68</v>
      </c>
    </row>
    <row r="145" ht="22.5" customHeight="1">
      <c r="A145" s="60">
        <v>315.96</v>
      </c>
      <c r="B145" s="60">
        <v>315.96</v>
      </c>
    </row>
    <row r="146" ht="22.5" customHeight="1">
      <c r="A146" s="60">
        <v>260.9</v>
      </c>
      <c r="B146" s="60">
        <v>260.9</v>
      </c>
    </row>
    <row r="147" ht="22.5" customHeight="1">
      <c r="A147" s="60">
        <v>271.49</v>
      </c>
      <c r="B147" s="60">
        <v>271.49</v>
      </c>
    </row>
    <row r="148" ht="22.5" customHeight="1">
      <c r="A148" s="60">
        <v>328.53</v>
      </c>
      <c r="B148" s="60">
        <v>328.53</v>
      </c>
    </row>
    <row r="149" ht="22.5" customHeight="1">
      <c r="A149" s="60">
        <v>261.85</v>
      </c>
      <c r="B149" s="60">
        <v>261.85</v>
      </c>
    </row>
    <row r="150" ht="22.5" customHeight="1">
      <c r="A150" s="60">
        <v>347.97</v>
      </c>
      <c r="B150" s="60">
        <v>347.97</v>
      </c>
    </row>
    <row r="151" ht="22.5" customHeight="1">
      <c r="A151" s="60">
        <v>310.24</v>
      </c>
      <c r="B151" s="60">
        <v>310.24</v>
      </c>
    </row>
    <row r="152" ht="22.5" customHeight="1">
      <c r="A152" s="60">
        <v>272.18</v>
      </c>
      <c r="B152" s="60">
        <v>272.18</v>
      </c>
    </row>
    <row r="153" ht="22.5" customHeight="1">
      <c r="A153" s="60">
        <v>265.765</v>
      </c>
      <c r="B153" s="60">
        <v>265.765</v>
      </c>
    </row>
    <row r="154" ht="22.5" customHeight="1">
      <c r="A154" s="60">
        <v>320.285</v>
      </c>
      <c r="B154" s="60">
        <v>320.285</v>
      </c>
    </row>
    <row r="155" ht="22.5" customHeight="1">
      <c r="A155" s="60">
        <v>276.71</v>
      </c>
      <c r="B155" s="60">
        <v>276.71</v>
      </c>
    </row>
    <row r="156" ht="22.5" customHeight="1">
      <c r="A156" s="60">
        <v>256.24</v>
      </c>
      <c r="B156" s="60">
        <v>256.24</v>
      </c>
    </row>
    <row r="157" ht="22.5" customHeight="1">
      <c r="A157" s="60">
        <v>309.74</v>
      </c>
      <c r="B157" s="60">
        <v>309.74</v>
      </c>
    </row>
    <row r="158" ht="22.5" customHeight="1">
      <c r="A158" s="60">
        <v>311.17</v>
      </c>
      <c r="B158" s="60">
        <v>311.17</v>
      </c>
    </row>
    <row r="159" ht="22.5" customHeight="1">
      <c r="A159" s="60">
        <v>266.5</v>
      </c>
      <c r="B159" s="60">
        <v>266.5</v>
      </c>
    </row>
    <row r="160" ht="22.5" customHeight="1">
      <c r="A160" s="60">
        <v>398.52</v>
      </c>
      <c r="B160" s="60">
        <v>398.52</v>
      </c>
    </row>
    <row r="161" ht="22.5" customHeight="1">
      <c r="A161" s="60">
        <v>309.43</v>
      </c>
      <c r="B161" s="60">
        <v>309.43</v>
      </c>
    </row>
    <row r="162" ht="22.5" customHeight="1">
      <c r="A162" s="60">
        <v>311.81</v>
      </c>
      <c r="B162" s="60">
        <v>311.81</v>
      </c>
    </row>
    <row r="163" ht="22.5" customHeight="1">
      <c r="A163" s="60">
        <v>347.97</v>
      </c>
      <c r="B163" s="60">
        <v>347.97</v>
      </c>
    </row>
    <row r="164" ht="22.5" customHeight="1">
      <c r="A164" s="60">
        <v>330.32</v>
      </c>
      <c r="B164" s="60">
        <v>330.32</v>
      </c>
    </row>
    <row r="165" ht="22.5" customHeight="1">
      <c r="A165" s="60">
        <v>314.85</v>
      </c>
      <c r="B165" s="60">
        <v>314.85</v>
      </c>
    </row>
    <row r="166" ht="22.5" customHeight="1">
      <c r="A166" s="60">
        <v>310.64</v>
      </c>
      <c r="B166" s="60">
        <v>310.64</v>
      </c>
    </row>
    <row r="167" ht="22.5" customHeight="1">
      <c r="A167" s="60">
        <v>241.87</v>
      </c>
      <c r="B167" s="60">
        <v>241.87</v>
      </c>
    </row>
    <row r="168" ht="22.5" customHeight="1">
      <c r="A168" s="60">
        <v>242.08</v>
      </c>
      <c r="B168" s="60">
        <v>242.08</v>
      </c>
    </row>
    <row r="169" ht="22.5" customHeight="1">
      <c r="A169" s="60">
        <v>319.96</v>
      </c>
      <c r="B169" s="60">
        <v>319.96</v>
      </c>
    </row>
    <row r="170" ht="22.5" customHeight="1">
      <c r="A170" s="60">
        <v>347.96</v>
      </c>
      <c r="B170" s="60">
        <v>347.96</v>
      </c>
    </row>
    <row r="171" ht="22.5" customHeight="1">
      <c r="A171" s="60">
        <v>328.61</v>
      </c>
      <c r="B171" s="60">
        <v>328.61</v>
      </c>
    </row>
    <row r="172" ht="22.5" customHeight="1">
      <c r="A172" s="60">
        <v>237.47</v>
      </c>
      <c r="B172" s="60">
        <v>237.47</v>
      </c>
    </row>
    <row r="173" ht="22.5" customHeight="1">
      <c r="A173" s="60">
        <v>315.78</v>
      </c>
      <c r="B173" s="60">
        <v>315.78</v>
      </c>
    </row>
    <row r="174" ht="22.5" customHeight="1">
      <c r="A174" s="60">
        <v>256.91</v>
      </c>
      <c r="B174" s="60">
        <v>256.91</v>
      </c>
    </row>
    <row r="175" ht="22.5" customHeight="1">
      <c r="A175" s="60">
        <v>353.72</v>
      </c>
      <c r="B175" s="60">
        <v>353.72</v>
      </c>
    </row>
    <row r="176" ht="22.5" customHeight="1">
      <c r="A176" s="60">
        <v>233.1</v>
      </c>
      <c r="B176" s="60">
        <v>233.1</v>
      </c>
    </row>
    <row r="177" ht="22.5" customHeight="1">
      <c r="A177" s="60">
        <v>266.88</v>
      </c>
      <c r="B177" s="60">
        <v>266.88</v>
      </c>
    </row>
    <row r="178" ht="22.5" customHeight="1">
      <c r="A178" s="60">
        <v>233.2</v>
      </c>
      <c r="B178" s="60">
        <v>233.2</v>
      </c>
    </row>
    <row r="179" ht="22.5" customHeight="1">
      <c r="A179" s="60">
        <v>187.81</v>
      </c>
      <c r="B179" s="60">
        <v>187.81</v>
      </c>
    </row>
    <row r="180" ht="22.5" customHeight="1">
      <c r="A180" s="60">
        <v>141.44</v>
      </c>
      <c r="B180" s="60">
        <v>141.44</v>
      </c>
    </row>
    <row r="181" ht="22.5" customHeight="1">
      <c r="A181" s="60">
        <v>300.05</v>
      </c>
      <c r="B181" s="60">
        <v>300.05</v>
      </c>
    </row>
    <row r="182" ht="22.5" customHeight="1">
      <c r="A182" s="60">
        <v>271.58</v>
      </c>
      <c r="B182" s="60">
        <v>271.58</v>
      </c>
    </row>
    <row r="183" ht="22.5" customHeight="1">
      <c r="A183" s="60">
        <v>314.68</v>
      </c>
      <c r="B183" s="60">
        <v>314.68</v>
      </c>
    </row>
    <row r="184" ht="22.5" customHeight="1">
      <c r="A184" s="60">
        <v>361.93</v>
      </c>
      <c r="B184" s="60">
        <v>361.93</v>
      </c>
    </row>
    <row r="185" ht="22.5" customHeight="1">
      <c r="A185" s="60">
        <v>304.81</v>
      </c>
      <c r="B185" s="60">
        <v>304.81</v>
      </c>
    </row>
    <row r="186" ht="22.5" customHeight="1">
      <c r="A186" s="60">
        <v>159.27</v>
      </c>
      <c r="B186" s="60">
        <v>159.27</v>
      </c>
    </row>
    <row r="187" ht="22.5" customHeight="1">
      <c r="A187" s="60">
        <v>207.68</v>
      </c>
      <c r="B187" s="60">
        <v>207.68</v>
      </c>
    </row>
    <row r="188" ht="22.5" customHeight="1">
      <c r="A188" s="60">
        <v>320.87</v>
      </c>
      <c r="B188" s="60">
        <v>320.87</v>
      </c>
    </row>
    <row r="189" ht="22.5" customHeight="1">
      <c r="A189" s="60">
        <v>278.865</v>
      </c>
      <c r="B189" s="60">
        <v>278.865</v>
      </c>
    </row>
    <row r="190" ht="22.5" customHeight="1">
      <c r="A190" s="60">
        <v>266.43</v>
      </c>
      <c r="B190" s="60">
        <v>266.43</v>
      </c>
    </row>
    <row r="191" ht="22.5" customHeight="1">
      <c r="A191" s="60">
        <v>171.495</v>
      </c>
      <c r="B191" s="60">
        <v>171.495</v>
      </c>
    </row>
    <row r="192" ht="22.5" customHeight="1">
      <c r="A192" s="60">
        <v>140.085</v>
      </c>
      <c r="B192" s="60">
        <v>140.085</v>
      </c>
    </row>
    <row r="193" ht="22.5" customHeight="1">
      <c r="A193" s="60">
        <v>550.21</v>
      </c>
      <c r="B193" s="60">
        <v>550.21</v>
      </c>
    </row>
    <row r="194" ht="22.5" customHeight="1">
      <c r="A194" s="60">
        <v>357.01</v>
      </c>
      <c r="B194" s="60">
        <v>357.01</v>
      </c>
    </row>
    <row r="195" ht="22.5" customHeight="1">
      <c r="A195" s="60">
        <v>196.43</v>
      </c>
      <c r="B195" s="60">
        <v>196.43</v>
      </c>
    </row>
    <row r="196" ht="22.5" customHeight="1">
      <c r="A196" s="60">
        <v>370.2</v>
      </c>
      <c r="B196" s="60">
        <v>370.2</v>
      </c>
    </row>
    <row r="197" ht="22.5" customHeight="1">
      <c r="A197" s="60">
        <v>321.63</v>
      </c>
      <c r="B197" s="60">
        <v>321.63</v>
      </c>
    </row>
    <row r="198" ht="22.5" customHeight="1">
      <c r="A198" s="60">
        <v>293.1</v>
      </c>
      <c r="B198" s="60">
        <v>293.1</v>
      </c>
    </row>
    <row r="199" ht="22.5" customHeight="1">
      <c r="A199" s="60">
        <v>390.2</v>
      </c>
      <c r="B199" s="60">
        <v>390.2</v>
      </c>
    </row>
    <row r="200" ht="22.5" customHeight="1">
      <c r="A200" s="60">
        <v>252.02</v>
      </c>
      <c r="B200" s="60">
        <v>252.02</v>
      </c>
    </row>
    <row r="201" ht="22.5" customHeight="1">
      <c r="A201" s="60">
        <v>258.125</v>
      </c>
      <c r="B201" s="60">
        <v>258.125</v>
      </c>
    </row>
    <row r="202" ht="22.5" customHeight="1">
      <c r="A202" s="60">
        <v>233.03</v>
      </c>
      <c r="B202" s="60">
        <v>233.03</v>
      </c>
    </row>
    <row r="203" ht="22.5" customHeight="1">
      <c r="A203" s="60">
        <v>146.35</v>
      </c>
      <c r="B203" s="60">
        <v>146.35</v>
      </c>
    </row>
    <row r="204" ht="22.5" customHeight="1">
      <c r="A204" s="60">
        <v>168.325</v>
      </c>
      <c r="B204" s="60">
        <v>168.325</v>
      </c>
    </row>
    <row r="205" ht="22.5" customHeight="1">
      <c r="A205" s="60">
        <v>165.26</v>
      </c>
      <c r="B205" s="60">
        <v>165.26</v>
      </c>
    </row>
    <row r="206" ht="22.5" customHeight="1">
      <c r="A206" s="60">
        <v>189.99</v>
      </c>
      <c r="B206" s="60">
        <v>189.99</v>
      </c>
    </row>
    <row r="207" ht="22.5" customHeight="1">
      <c r="A207" s="60">
        <v>230.645</v>
      </c>
      <c r="B207" s="60">
        <v>230.645</v>
      </c>
    </row>
    <row r="208" ht="22.5" customHeight="1">
      <c r="A208" s="60">
        <v>236.76</v>
      </c>
      <c r="B208" s="60">
        <v>236.76</v>
      </c>
    </row>
    <row r="209" ht="22.5" customHeight="1">
      <c r="A209" s="60">
        <v>221.23</v>
      </c>
      <c r="B209" s="60">
        <v>221.23</v>
      </c>
    </row>
    <row r="210" ht="22.5" customHeight="1">
      <c r="A210" s="60">
        <v>136.06</v>
      </c>
      <c r="B210" s="60">
        <v>136.06</v>
      </c>
    </row>
    <row r="211" ht="22.5" customHeight="1">
      <c r="A211" s="60">
        <v>141.86</v>
      </c>
      <c r="B211" s="60">
        <v>141.86</v>
      </c>
    </row>
    <row r="212" ht="22.5" customHeight="1">
      <c r="A212" s="60">
        <v>227.88</v>
      </c>
      <c r="B212" s="60">
        <v>227.88</v>
      </c>
    </row>
    <row r="213" ht="22.5" customHeight="1">
      <c r="A213" s="60">
        <v>147.76</v>
      </c>
      <c r="B213" s="60">
        <v>147.76</v>
      </c>
    </row>
    <row r="214" ht="22.5" customHeight="1">
      <c r="A214" s="60">
        <v>139.21</v>
      </c>
      <c r="B214" s="60">
        <v>139.21</v>
      </c>
    </row>
    <row r="215" ht="22.5" customHeight="1">
      <c r="A215" s="60">
        <v>341.26</v>
      </c>
      <c r="B215" s="60">
        <v>341.26</v>
      </c>
    </row>
    <row r="216" ht="22.5" customHeight="1">
      <c r="A216" s="60">
        <v>156.06</v>
      </c>
      <c r="B216" s="60">
        <v>156.06</v>
      </c>
    </row>
    <row r="217" ht="22.5" customHeight="1">
      <c r="A217" s="60">
        <v>236.31</v>
      </c>
      <c r="B217" s="60">
        <v>236.31</v>
      </c>
    </row>
    <row r="218" ht="22.5" customHeight="1">
      <c r="A218" s="60">
        <v>203.88</v>
      </c>
      <c r="B218" s="60">
        <v>203.88</v>
      </c>
    </row>
    <row r="219" ht="22.5" customHeight="1">
      <c r="A219" s="60">
        <v>327.31</v>
      </c>
      <c r="B219" s="60">
        <v>327.31</v>
      </c>
    </row>
    <row r="220" ht="22.5" customHeight="1">
      <c r="A220" s="60">
        <v>172.95</v>
      </c>
      <c r="B220" s="60">
        <v>172.95</v>
      </c>
    </row>
    <row r="221" ht="22.5" customHeight="1">
      <c r="A221" s="60">
        <v>207.83</v>
      </c>
      <c r="B221" s="60">
        <v>207.83</v>
      </c>
    </row>
    <row r="222" ht="22.5" customHeight="1">
      <c r="A222" s="60">
        <v>203.87</v>
      </c>
      <c r="B222" s="60">
        <v>203.87</v>
      </c>
    </row>
    <row r="223" ht="22.5" customHeight="1">
      <c r="A223" s="60">
        <v>276.72</v>
      </c>
      <c r="B223" s="60">
        <v>276.72</v>
      </c>
    </row>
    <row r="224" ht="22.5" customHeight="1">
      <c r="A224" s="60">
        <v>184.3</v>
      </c>
      <c r="B224" s="60">
        <v>184.3</v>
      </c>
    </row>
    <row r="225" ht="22.5" customHeight="1">
      <c r="A225" s="60">
        <v>316.925</v>
      </c>
      <c r="B225" s="60">
        <v>316.925</v>
      </c>
    </row>
    <row r="226" ht="22.5" customHeight="1">
      <c r="A226" s="60">
        <v>178.39</v>
      </c>
      <c r="B226" s="60">
        <v>178.39</v>
      </c>
    </row>
    <row r="227" ht="22.5" customHeight="1">
      <c r="A227" s="60">
        <v>177.9</v>
      </c>
      <c r="B227" s="60">
        <v>177.9</v>
      </c>
    </row>
    <row r="228" ht="22.5" customHeight="1">
      <c r="A228" s="60">
        <v>276.7</v>
      </c>
      <c r="B228" s="60">
        <v>276.7</v>
      </c>
    </row>
    <row r="229" ht="22.5" customHeight="1">
      <c r="A229" s="60">
        <v>233.12</v>
      </c>
      <c r="B229" s="60">
        <v>233.12</v>
      </c>
    </row>
    <row r="230" ht="22.5" customHeight="1">
      <c r="A230" s="60">
        <v>192.32</v>
      </c>
      <c r="B230" s="60">
        <v>192.32</v>
      </c>
    </row>
    <row r="231" ht="22.5" customHeight="1">
      <c r="A231" s="60">
        <v>393.87</v>
      </c>
      <c r="B231" s="60">
        <v>393.87</v>
      </c>
    </row>
    <row r="232" ht="22.5" customHeight="1">
      <c r="A232" s="60">
        <v>241.96</v>
      </c>
      <c r="B232" s="60">
        <v>241.96</v>
      </c>
    </row>
    <row r="233" ht="22.5" customHeight="1">
      <c r="A233" s="60">
        <v>217.33</v>
      </c>
      <c r="B233" s="60">
        <v>217.33</v>
      </c>
    </row>
    <row r="234" ht="22.5" customHeight="1">
      <c r="A234" s="60">
        <v>395.63</v>
      </c>
      <c r="B234" s="60">
        <v>395.63</v>
      </c>
    </row>
    <row r="235" ht="22.5" customHeight="1">
      <c r="A235" s="60">
        <v>258.12</v>
      </c>
      <c r="B235" s="60">
        <v>258.12</v>
      </c>
    </row>
    <row r="236" ht="22.5" customHeight="1">
      <c r="A236" s="60">
        <v>276.57</v>
      </c>
      <c r="B236" s="60">
        <v>276.57</v>
      </c>
    </row>
    <row r="237" ht="22.5" customHeight="1">
      <c r="A237" s="60">
        <v>489.04</v>
      </c>
      <c r="B237" s="60">
        <v>489.04</v>
      </c>
    </row>
    <row r="238" ht="22.5" customHeight="1">
      <c r="A238" s="60">
        <v>303.88</v>
      </c>
      <c r="B238" s="60">
        <v>303.88</v>
      </c>
    </row>
    <row r="239" ht="22.5" customHeight="1">
      <c r="A239" s="60">
        <v>192.66</v>
      </c>
      <c r="B239" s="60">
        <v>192.66</v>
      </c>
    </row>
    <row r="240" ht="22.5" customHeight="1">
      <c r="A240" s="60">
        <v>192.31</v>
      </c>
      <c r="B240" s="60">
        <v>192.31</v>
      </c>
    </row>
    <row r="241" ht="22.5" customHeight="1">
      <c r="A241" s="60">
        <v>255.265</v>
      </c>
      <c r="B241" s="60">
        <v>255.265</v>
      </c>
    </row>
    <row r="242" ht="22.5" customHeight="1">
      <c r="A242" s="60">
        <v>280.21</v>
      </c>
      <c r="B242" s="60">
        <v>280.21</v>
      </c>
    </row>
    <row r="243" ht="22.5" customHeight="1">
      <c r="A243" s="60">
        <v>175.1</v>
      </c>
      <c r="B243" s="60">
        <v>175.1</v>
      </c>
    </row>
    <row r="244" ht="22.5" customHeight="1">
      <c r="A244" s="60">
        <v>173.57</v>
      </c>
      <c r="B244" s="60">
        <v>173.57</v>
      </c>
    </row>
    <row r="245" ht="22.5" customHeight="1">
      <c r="A245" s="60">
        <v>278.77</v>
      </c>
      <c r="B245" s="60">
        <v>278.77</v>
      </c>
    </row>
    <row r="246" ht="22.5" customHeight="1">
      <c r="A246" s="60">
        <v>299.61</v>
      </c>
      <c r="B246" s="60">
        <v>299.61</v>
      </c>
    </row>
    <row r="247" ht="22.5" customHeight="1">
      <c r="A247" s="60">
        <v>311.04</v>
      </c>
      <c r="B247" s="60">
        <v>311.04</v>
      </c>
    </row>
    <row r="248" ht="22.5" customHeight="1">
      <c r="A248" s="60">
        <v>203.78</v>
      </c>
      <c r="B248" s="60">
        <v>203.78</v>
      </c>
    </row>
    <row r="249" ht="22.5" customHeight="1">
      <c r="A249" s="60">
        <v>306.745</v>
      </c>
      <c r="B249" s="60">
        <v>306.745</v>
      </c>
    </row>
    <row r="250" ht="22.5" customHeight="1">
      <c r="A250" s="60">
        <v>215.9</v>
      </c>
      <c r="B250" s="60">
        <v>215.9</v>
      </c>
    </row>
    <row r="251" ht="22.5" customHeight="1">
      <c r="A251" s="60">
        <v>150.12</v>
      </c>
      <c r="B251" s="60">
        <v>150.12</v>
      </c>
    </row>
    <row r="252" ht="22.5" customHeight="1">
      <c r="A252" s="60">
        <v>236.61</v>
      </c>
      <c r="B252" s="60">
        <v>236.61</v>
      </c>
    </row>
    <row r="253" ht="22.5" customHeight="1">
      <c r="A253" s="60">
        <v>279.03</v>
      </c>
      <c r="B253" s="60">
        <v>279.03</v>
      </c>
    </row>
    <row r="254" ht="22.5" customHeight="1">
      <c r="A254" s="60">
        <v>301.35</v>
      </c>
      <c r="B254" s="60">
        <v>301.35</v>
      </c>
    </row>
    <row r="255" ht="22.5" customHeight="1">
      <c r="A255" s="60">
        <v>139.16</v>
      </c>
      <c r="B255" s="60">
        <v>139.16</v>
      </c>
    </row>
    <row r="256" ht="22.5" customHeight="1">
      <c r="A256" s="60">
        <v>175.78</v>
      </c>
      <c r="B256" s="60">
        <v>175.78</v>
      </c>
    </row>
    <row r="257" ht="22.5" customHeight="1">
      <c r="A257" s="60">
        <v>136.35</v>
      </c>
      <c r="B257" s="60">
        <v>136.35</v>
      </c>
    </row>
    <row r="258" ht="22.5" customHeight="1">
      <c r="A258" s="60">
        <v>208.515</v>
      </c>
      <c r="B258" s="60">
        <v>208.515</v>
      </c>
    </row>
    <row r="259" ht="22.5" customHeight="1">
      <c r="A259" s="60">
        <v>277.22</v>
      </c>
      <c r="B259" s="60">
        <v>277.22</v>
      </c>
    </row>
    <row r="260" ht="22.5" customHeight="1">
      <c r="A260" s="60">
        <v>185.84</v>
      </c>
      <c r="B260" s="60">
        <v>185.84</v>
      </c>
    </row>
    <row r="261" ht="22.5" customHeight="1">
      <c r="A261" s="60">
        <v>220.07</v>
      </c>
      <c r="B261" s="60">
        <v>220.07</v>
      </c>
    </row>
    <row r="262" ht="22.5" customHeight="1">
      <c r="A262" s="60">
        <v>328.865</v>
      </c>
      <c r="B262" s="60">
        <v>328.865</v>
      </c>
    </row>
    <row r="263" ht="22.5" customHeight="1">
      <c r="A263" s="60">
        <v>309.88</v>
      </c>
      <c r="B263" s="60">
        <v>309.88</v>
      </c>
    </row>
    <row r="264" ht="22.5" customHeight="1">
      <c r="A264" s="60">
        <v>164.895</v>
      </c>
      <c r="B264" s="60">
        <v>164.895</v>
      </c>
    </row>
    <row r="265" ht="22.5" customHeight="1">
      <c r="A265" s="60">
        <v>285.54</v>
      </c>
      <c r="B265" s="60">
        <v>285.54</v>
      </c>
    </row>
    <row r="266" ht="22.5" customHeight="1">
      <c r="A266" s="60">
        <v>268.96</v>
      </c>
      <c r="B266" s="60">
        <v>268.96</v>
      </c>
    </row>
    <row r="267" ht="22.5" customHeight="1">
      <c r="A267" s="60">
        <v>166.73</v>
      </c>
      <c r="B267" s="60">
        <v>166.73</v>
      </c>
    </row>
    <row r="268" ht="22.5" customHeight="1">
      <c r="A268" s="60">
        <v>374.11</v>
      </c>
      <c r="B268" s="60">
        <v>374.11</v>
      </c>
    </row>
    <row r="269" ht="22.5" customHeight="1">
      <c r="A269" s="60">
        <v>242.67</v>
      </c>
      <c r="B269" s="60">
        <v>242.67</v>
      </c>
    </row>
    <row r="270" ht="22.5" customHeight="1">
      <c r="A270" s="60">
        <v>233.11</v>
      </c>
      <c r="B270" s="60">
        <v>233.11</v>
      </c>
    </row>
    <row r="271" ht="22.5" customHeight="1">
      <c r="A271" s="60">
        <v>233.5</v>
      </c>
      <c r="B271" s="60">
        <v>233.5</v>
      </c>
    </row>
    <row r="272" ht="22.5" customHeight="1">
      <c r="A272" s="60">
        <v>245.16</v>
      </c>
      <c r="B272" s="60">
        <v>245.16</v>
      </c>
    </row>
    <row r="273" ht="22.5" customHeight="1">
      <c r="A273" s="60">
        <v>207.7</v>
      </c>
      <c r="B273" s="60">
        <v>207.7</v>
      </c>
    </row>
    <row r="274" ht="22.5" customHeight="1">
      <c r="A274" s="60">
        <v>156.17</v>
      </c>
      <c r="B274" s="60">
        <v>156.17</v>
      </c>
    </row>
    <row r="275" ht="22.5" customHeight="1">
      <c r="A275" s="60">
        <v>216.51</v>
      </c>
      <c r="B275" s="60">
        <v>216.51</v>
      </c>
    </row>
    <row r="276" ht="22.5" customHeight="1">
      <c r="A276" s="60">
        <v>206.79</v>
      </c>
      <c r="B276" s="60">
        <v>206.79</v>
      </c>
    </row>
    <row r="277" ht="22.5" customHeight="1">
      <c r="A277" s="60">
        <v>413.09</v>
      </c>
      <c r="B277" s="60">
        <v>413.09</v>
      </c>
    </row>
    <row r="278" ht="22.5" customHeight="1">
      <c r="A278" s="60">
        <v>174.93</v>
      </c>
      <c r="B278" s="60">
        <v>174.93</v>
      </c>
    </row>
    <row r="279" ht="22.5" customHeight="1">
      <c r="A279" s="60">
        <v>280.6</v>
      </c>
      <c r="B279" s="60">
        <v>280.6</v>
      </c>
    </row>
    <row r="280" ht="22.5" customHeight="1">
      <c r="A280" s="60">
        <v>184.15</v>
      </c>
      <c r="B280" s="60">
        <v>184.15</v>
      </c>
    </row>
    <row r="281" ht="22.5" customHeight="1">
      <c r="A281" s="60">
        <v>381.955</v>
      </c>
      <c r="B281" s="60">
        <v>381.955</v>
      </c>
    </row>
    <row r="282" ht="22.5" customHeight="1">
      <c r="A282" s="60">
        <v>354.33</v>
      </c>
      <c r="B282" s="60">
        <v>354.33</v>
      </c>
    </row>
    <row r="283" ht="22.5" customHeight="1">
      <c r="A283" s="60">
        <v>156.04</v>
      </c>
      <c r="B283" s="60">
        <v>156.04</v>
      </c>
    </row>
    <row r="284" ht="22.5" customHeight="1">
      <c r="A284" s="60">
        <v>218.08</v>
      </c>
      <c r="B284" s="60">
        <v>218.08</v>
      </c>
    </row>
    <row r="285" ht="22.5" customHeight="1">
      <c r="A285" s="60">
        <v>181.75</v>
      </c>
      <c r="B285" s="60">
        <v>181.75</v>
      </c>
    </row>
    <row r="286" ht="22.5" customHeight="1">
      <c r="A286" s="60">
        <v>276.73</v>
      </c>
      <c r="B286" s="60">
        <v>276.73</v>
      </c>
    </row>
    <row r="287" ht="22.5" customHeight="1">
      <c r="A287" s="60">
        <v>314.595</v>
      </c>
      <c r="B287" s="60">
        <v>314.595</v>
      </c>
    </row>
    <row r="288" ht="22.5" customHeight="1">
      <c r="A288" s="60">
        <v>249.99</v>
      </c>
      <c r="B288" s="60">
        <v>249.99</v>
      </c>
    </row>
    <row r="289" ht="22.5" customHeight="1">
      <c r="A289" s="60">
        <v>165.26</v>
      </c>
      <c r="B289" s="60">
        <v>165.26</v>
      </c>
    </row>
    <row r="290" ht="22.5" customHeight="1">
      <c r="A290" s="60">
        <v>278.5</v>
      </c>
      <c r="B290" s="60">
        <v>278.5</v>
      </c>
    </row>
    <row r="291" ht="22.5" customHeight="1">
      <c r="A291" s="60">
        <v>310.47</v>
      </c>
      <c r="B291" s="60">
        <v>310.47</v>
      </c>
    </row>
    <row r="292" ht="22.5" customHeight="1">
      <c r="A292" s="60">
        <v>328.59</v>
      </c>
      <c r="B292" s="60">
        <v>328.59</v>
      </c>
    </row>
    <row r="293" ht="22.5" customHeight="1">
      <c r="A293" s="60">
        <v>326.1</v>
      </c>
      <c r="B293" s="60">
        <v>326.1</v>
      </c>
    </row>
    <row r="294" ht="22.5" customHeight="1">
      <c r="A294" s="60">
        <v>271.47</v>
      </c>
      <c r="B294" s="60">
        <v>271.47</v>
      </c>
    </row>
    <row r="295" ht="22.5" customHeight="1">
      <c r="A295" s="60">
        <v>429.46</v>
      </c>
      <c r="B295" s="60">
        <v>429.46</v>
      </c>
    </row>
    <row r="296" ht="22.5" customHeight="1">
      <c r="A296" s="60">
        <v>203.85</v>
      </c>
      <c r="B296" s="60">
        <v>203.85</v>
      </c>
    </row>
    <row r="297" ht="22.5" customHeight="1">
      <c r="A297" s="60">
        <v>235.03</v>
      </c>
      <c r="B297" s="60">
        <v>235.03</v>
      </c>
    </row>
    <row r="298" ht="22.5" customHeight="1">
      <c r="A298" s="60">
        <v>224.655</v>
      </c>
      <c r="B298" s="60">
        <v>224.655</v>
      </c>
    </row>
    <row r="299" ht="22.5" customHeight="1">
      <c r="A299" s="60">
        <v>216.95</v>
      </c>
      <c r="B299" s="60">
        <v>216.95</v>
      </c>
    </row>
    <row r="300" ht="22.5" customHeight="1">
      <c r="A300" s="60">
        <v>221.68</v>
      </c>
      <c r="B300" s="60">
        <v>221.68</v>
      </c>
    </row>
    <row r="301" ht="22.5" customHeight="1">
      <c r="A301" s="60">
        <v>286.37</v>
      </c>
      <c r="B301" s="60">
        <v>286.37</v>
      </c>
    </row>
    <row r="302" ht="22.5" customHeight="1">
      <c r="A302" s="60">
        <v>239.875</v>
      </c>
      <c r="B302" s="60">
        <v>239.875</v>
      </c>
    </row>
    <row r="303" ht="22.5" customHeight="1">
      <c r="A303" s="60">
        <v>220.015</v>
      </c>
      <c r="B303" s="60">
        <v>220.015</v>
      </c>
    </row>
    <row r="304" ht="22.5" customHeight="1">
      <c r="A304" s="60">
        <v>228.48</v>
      </c>
      <c r="B304" s="60">
        <v>228.48</v>
      </c>
    </row>
    <row r="305" ht="22.5" customHeight="1">
      <c r="A305" s="60">
        <v>185.32</v>
      </c>
      <c r="B305" s="60">
        <v>185.32</v>
      </c>
    </row>
    <row r="306" ht="22.5" customHeight="1">
      <c r="A306" s="60">
        <v>156.12</v>
      </c>
      <c r="B306" s="60">
        <v>156.12</v>
      </c>
    </row>
    <row r="307" ht="22.5" customHeight="1">
      <c r="A307" s="60">
        <v>199.8</v>
      </c>
      <c r="B307" s="60">
        <v>199.8</v>
      </c>
    </row>
    <row r="308" ht="22.5" customHeight="1">
      <c r="A308" s="60">
        <v>246.81</v>
      </c>
      <c r="B308" s="60">
        <v>246.81</v>
      </c>
    </row>
    <row r="309" ht="22.5" customHeight="1">
      <c r="A309" s="60">
        <v>181.83</v>
      </c>
      <c r="B309" s="60">
        <v>181.83</v>
      </c>
    </row>
    <row r="310" ht="22.5" customHeight="1">
      <c r="A310" s="60">
        <v>271.5</v>
      </c>
      <c r="B310" s="60">
        <v>271.5</v>
      </c>
    </row>
    <row r="311" ht="22.5" customHeight="1">
      <c r="A311" s="60">
        <v>192.53</v>
      </c>
      <c r="B311" s="60">
        <v>192.53</v>
      </c>
    </row>
  </sheetData>
  <dataValidations>
    <dataValidation type="custom" allowBlank="1" showDropDown="1" sqref="A4:B311">
      <formula1>AND(ISNUMBER(A4),(NOT(OR(NOT(ISERROR(DATEVALUE(A4))), AND(ISNUMBER(A4), LEFT(CELL("format", A4))="D")))))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2.63"/>
  </cols>
  <sheetData>
    <row r="1" ht="225.0" customHeight="1">
      <c r="A1" s="61" t="s">
        <v>2444</v>
      </c>
      <c r="F1" s="61" t="s">
        <v>2445</v>
      </c>
    </row>
    <row r="3" ht="22.5" customHeight="1">
      <c r="A3" s="58" t="s">
        <v>1277</v>
      </c>
      <c r="B3" s="58" t="s">
        <v>1277</v>
      </c>
    </row>
    <row r="4" ht="22.5" customHeight="1">
      <c r="A4" s="60">
        <v>175.435</v>
      </c>
      <c r="B4" s="60">
        <v>175.435</v>
      </c>
    </row>
    <row r="5" ht="22.5" customHeight="1">
      <c r="A5" s="60">
        <v>171.375</v>
      </c>
      <c r="B5" s="60">
        <v>171.375</v>
      </c>
    </row>
    <row r="6" ht="22.5" customHeight="1">
      <c r="A6" s="60">
        <v>185.33</v>
      </c>
      <c r="B6" s="60">
        <v>185.33</v>
      </c>
    </row>
    <row r="7" ht="22.5" customHeight="1">
      <c r="A7" s="60">
        <v>247.93</v>
      </c>
      <c r="B7" s="60">
        <v>247.93</v>
      </c>
    </row>
    <row r="8" ht="22.5" customHeight="1">
      <c r="A8" s="60">
        <v>159.13</v>
      </c>
      <c r="B8" s="60">
        <v>159.13</v>
      </c>
    </row>
    <row r="9" ht="22.5" customHeight="1">
      <c r="A9" s="60">
        <v>168.45</v>
      </c>
      <c r="B9" s="60">
        <v>168.45</v>
      </c>
    </row>
    <row r="10" ht="22.5" customHeight="1">
      <c r="A10" s="60">
        <v>174.92</v>
      </c>
      <c r="B10" s="60">
        <v>174.92</v>
      </c>
    </row>
    <row r="11" ht="22.5" customHeight="1">
      <c r="A11" s="60">
        <v>157.98</v>
      </c>
      <c r="B11" s="60">
        <v>157.98</v>
      </c>
    </row>
    <row r="12" ht="22.5" customHeight="1">
      <c r="A12" s="60">
        <v>147.37</v>
      </c>
      <c r="B12" s="60">
        <v>147.37</v>
      </c>
    </row>
    <row r="13" ht="22.5" customHeight="1">
      <c r="A13" s="60">
        <v>253.34</v>
      </c>
      <c r="B13" s="60">
        <v>253.34</v>
      </c>
    </row>
    <row r="14" ht="22.5" customHeight="1">
      <c r="A14" s="60">
        <v>277.03</v>
      </c>
      <c r="B14" s="60">
        <v>277.03</v>
      </c>
    </row>
    <row r="15" ht="22.5" customHeight="1">
      <c r="A15" s="60">
        <v>235.86</v>
      </c>
      <c r="B15" s="60">
        <v>235.86</v>
      </c>
    </row>
    <row r="16" ht="22.5" customHeight="1">
      <c r="A16" s="60">
        <v>262.89</v>
      </c>
      <c r="B16" s="60">
        <v>262.89</v>
      </c>
    </row>
    <row r="17" ht="22.5" customHeight="1">
      <c r="A17" s="60">
        <v>261.36</v>
      </c>
      <c r="B17" s="60">
        <v>261.36</v>
      </c>
    </row>
    <row r="18" ht="22.5" customHeight="1">
      <c r="A18" s="60">
        <v>207.93</v>
      </c>
      <c r="B18" s="60">
        <v>207.93</v>
      </c>
    </row>
    <row r="19" ht="22.5" customHeight="1">
      <c r="A19" s="60">
        <v>256.33</v>
      </c>
      <c r="B19" s="60">
        <v>256.33</v>
      </c>
    </row>
    <row r="20" ht="22.5" customHeight="1">
      <c r="A20" s="60">
        <v>212.23</v>
      </c>
      <c r="B20" s="60">
        <v>212.23</v>
      </c>
    </row>
    <row r="21" ht="22.5" customHeight="1">
      <c r="A21" s="60">
        <v>340.915</v>
      </c>
      <c r="B21" s="60">
        <v>340.915</v>
      </c>
    </row>
    <row r="22" ht="22.5" customHeight="1">
      <c r="A22" s="60">
        <v>194.065</v>
      </c>
      <c r="B22" s="60">
        <v>194.065</v>
      </c>
    </row>
    <row r="23" ht="22.5" customHeight="1">
      <c r="A23" s="60">
        <v>266.76</v>
      </c>
      <c r="B23" s="60">
        <v>266.76</v>
      </c>
    </row>
    <row r="24" ht="22.5" customHeight="1">
      <c r="A24" s="60">
        <v>147.37</v>
      </c>
      <c r="B24" s="60">
        <v>147.37</v>
      </c>
    </row>
    <row r="25" ht="22.5" customHeight="1">
      <c r="A25" s="60">
        <v>146.0</v>
      </c>
      <c r="B25" s="60">
        <v>146.0</v>
      </c>
    </row>
    <row r="26" ht="22.5" customHeight="1">
      <c r="A26" s="60">
        <v>147.37</v>
      </c>
      <c r="B26" s="60">
        <v>147.37</v>
      </c>
    </row>
    <row r="27" ht="22.5" customHeight="1">
      <c r="A27" s="60">
        <v>160.305</v>
      </c>
      <c r="B27" s="60">
        <v>160.305</v>
      </c>
    </row>
    <row r="28" ht="22.5" customHeight="1">
      <c r="A28" s="60">
        <v>275.425</v>
      </c>
      <c r="B28" s="60">
        <v>275.425</v>
      </c>
    </row>
    <row r="29" ht="22.5" customHeight="1">
      <c r="A29" s="60">
        <v>156.06</v>
      </c>
      <c r="B29" s="60">
        <v>156.06</v>
      </c>
    </row>
    <row r="30" ht="22.5" customHeight="1">
      <c r="A30" s="60">
        <v>185.32</v>
      </c>
      <c r="B30" s="60">
        <v>185.32</v>
      </c>
    </row>
    <row r="31" ht="22.5" customHeight="1">
      <c r="A31" s="60">
        <v>185.3</v>
      </c>
      <c r="B31" s="60">
        <v>185.3</v>
      </c>
    </row>
    <row r="32" ht="22.5" customHeight="1">
      <c r="A32" s="60">
        <v>219.91</v>
      </c>
      <c r="B32" s="60">
        <v>219.91</v>
      </c>
    </row>
    <row r="33" ht="22.5" customHeight="1">
      <c r="A33" s="60">
        <v>216.11</v>
      </c>
      <c r="B33" s="60">
        <v>216.11</v>
      </c>
    </row>
    <row r="34" ht="22.5" customHeight="1">
      <c r="A34" s="60">
        <v>204.6</v>
      </c>
      <c r="B34" s="60">
        <v>204.6</v>
      </c>
    </row>
    <row r="35" ht="22.5" customHeight="1">
      <c r="A35" s="60">
        <v>160.53</v>
      </c>
      <c r="B35" s="60">
        <v>160.53</v>
      </c>
    </row>
    <row r="36" ht="22.5" customHeight="1">
      <c r="A36" s="60">
        <v>253.385</v>
      </c>
      <c r="B36" s="60">
        <v>253.385</v>
      </c>
    </row>
    <row r="37" ht="22.5" customHeight="1">
      <c r="A37" s="60">
        <v>321.04</v>
      </c>
      <c r="B37" s="60">
        <v>321.04</v>
      </c>
    </row>
    <row r="38" ht="22.5" customHeight="1">
      <c r="A38" s="60">
        <v>185.065</v>
      </c>
      <c r="B38" s="60">
        <v>185.065</v>
      </c>
    </row>
    <row r="39" ht="22.5" customHeight="1">
      <c r="A39" s="60">
        <v>165.33</v>
      </c>
      <c r="B39" s="60">
        <v>165.33</v>
      </c>
    </row>
    <row r="40" ht="22.5" customHeight="1">
      <c r="A40" s="60">
        <v>111.19</v>
      </c>
      <c r="B40" s="60">
        <v>111.19</v>
      </c>
    </row>
    <row r="41" ht="22.5" customHeight="1">
      <c r="A41" s="60">
        <v>165.13</v>
      </c>
      <c r="B41" s="60">
        <v>165.13</v>
      </c>
    </row>
    <row r="42" ht="22.5" customHeight="1">
      <c r="A42" s="60">
        <v>161.84</v>
      </c>
      <c r="B42" s="60">
        <v>161.84</v>
      </c>
    </row>
    <row r="43" ht="22.5" customHeight="1">
      <c r="A43" s="60">
        <v>114.94</v>
      </c>
      <c r="B43" s="60">
        <v>114.94</v>
      </c>
    </row>
    <row r="44" ht="22.5" customHeight="1">
      <c r="A44" s="60">
        <v>136.52</v>
      </c>
      <c r="B44" s="60">
        <v>136.52</v>
      </c>
    </row>
    <row r="45" ht="22.5" customHeight="1">
      <c r="A45" s="60">
        <v>341.38</v>
      </c>
      <c r="B45" s="60">
        <v>341.38</v>
      </c>
    </row>
    <row r="46" ht="22.5" customHeight="1">
      <c r="A46" s="60">
        <v>150.21</v>
      </c>
      <c r="B46" s="60">
        <v>150.21</v>
      </c>
    </row>
    <row r="47" ht="22.5" customHeight="1">
      <c r="A47" s="60">
        <v>147.36</v>
      </c>
      <c r="B47" s="60">
        <v>147.36</v>
      </c>
    </row>
    <row r="48" ht="22.5" customHeight="1">
      <c r="A48" s="60">
        <v>224.23</v>
      </c>
      <c r="B48" s="60">
        <v>224.23</v>
      </c>
    </row>
    <row r="49" ht="22.5" customHeight="1">
      <c r="A49" s="60">
        <v>249.15</v>
      </c>
      <c r="B49" s="60">
        <v>249.15</v>
      </c>
    </row>
    <row r="50" ht="22.5" customHeight="1">
      <c r="A50" s="60">
        <v>196.41</v>
      </c>
      <c r="B50" s="60">
        <v>196.41</v>
      </c>
    </row>
    <row r="51" ht="22.5" customHeight="1">
      <c r="A51" s="60">
        <v>163.64</v>
      </c>
      <c r="B51" s="60">
        <v>163.64</v>
      </c>
    </row>
    <row r="52" ht="22.5" customHeight="1">
      <c r="A52" s="60">
        <v>147.33</v>
      </c>
      <c r="B52" s="60">
        <v>147.33</v>
      </c>
    </row>
    <row r="53" ht="22.5" customHeight="1">
      <c r="A53" s="60">
        <v>165.26</v>
      </c>
      <c r="B53" s="60">
        <v>165.26</v>
      </c>
    </row>
    <row r="54" ht="22.5" customHeight="1">
      <c r="A54" s="60">
        <v>147.37</v>
      </c>
      <c r="B54" s="60">
        <v>147.37</v>
      </c>
    </row>
    <row r="55" ht="22.5" customHeight="1">
      <c r="A55" s="60">
        <v>171.425</v>
      </c>
      <c r="B55" s="60">
        <v>171.425</v>
      </c>
    </row>
    <row r="56" ht="22.5" customHeight="1">
      <c r="A56" s="60">
        <v>188.615</v>
      </c>
      <c r="B56" s="60">
        <v>188.615</v>
      </c>
    </row>
    <row r="57" ht="22.5" customHeight="1">
      <c r="A57" s="60">
        <v>275.795</v>
      </c>
      <c r="B57" s="60">
        <v>275.795</v>
      </c>
    </row>
    <row r="58" ht="22.5" customHeight="1">
      <c r="A58" s="60">
        <v>276.735</v>
      </c>
      <c r="B58" s="60">
        <v>276.735</v>
      </c>
    </row>
    <row r="59" ht="22.5" customHeight="1">
      <c r="A59" s="60">
        <v>271.29</v>
      </c>
      <c r="B59" s="60">
        <v>271.29</v>
      </c>
    </row>
    <row r="60" ht="22.5" customHeight="1">
      <c r="A60" s="60">
        <v>271.45</v>
      </c>
      <c r="B60" s="60">
        <v>271.45</v>
      </c>
    </row>
    <row r="61" ht="22.5" customHeight="1">
      <c r="A61" s="60">
        <v>287.945</v>
      </c>
      <c r="B61" s="60">
        <v>287.945</v>
      </c>
    </row>
    <row r="62" ht="22.5" customHeight="1">
      <c r="A62" s="60">
        <v>413.12</v>
      </c>
      <c r="B62" s="60">
        <v>413.12</v>
      </c>
    </row>
    <row r="63" ht="22.5" customHeight="1">
      <c r="A63" s="60">
        <v>251.91</v>
      </c>
      <c r="B63" s="60">
        <v>251.91</v>
      </c>
    </row>
    <row r="64" ht="22.5" customHeight="1">
      <c r="A64" s="60">
        <v>245.68</v>
      </c>
      <c r="B64" s="60">
        <v>245.68</v>
      </c>
    </row>
    <row r="65" ht="22.5" customHeight="1">
      <c r="A65" s="60">
        <v>256.92</v>
      </c>
      <c r="B65" s="60">
        <v>256.92</v>
      </c>
    </row>
    <row r="66" ht="22.5" customHeight="1">
      <c r="A66" s="60">
        <v>232.63</v>
      </c>
      <c r="B66" s="60">
        <v>232.63</v>
      </c>
    </row>
    <row r="67" ht="22.5" customHeight="1">
      <c r="A67" s="60">
        <v>310.21</v>
      </c>
      <c r="B67" s="60">
        <v>310.21</v>
      </c>
    </row>
    <row r="68" ht="22.5" customHeight="1">
      <c r="A68" s="60">
        <v>324.16</v>
      </c>
      <c r="B68" s="60">
        <v>324.16</v>
      </c>
    </row>
    <row r="69" ht="22.5" customHeight="1">
      <c r="A69" s="60">
        <v>233.37</v>
      </c>
      <c r="B69" s="60">
        <v>233.37</v>
      </c>
    </row>
    <row r="70" ht="22.5" customHeight="1">
      <c r="A70" s="60">
        <v>149.88</v>
      </c>
      <c r="B70" s="60">
        <v>149.88</v>
      </c>
    </row>
    <row r="71" ht="22.5" customHeight="1">
      <c r="A71" s="60">
        <v>209.665</v>
      </c>
      <c r="B71" s="60">
        <v>209.665</v>
      </c>
    </row>
    <row r="72" ht="22.5" customHeight="1">
      <c r="A72" s="60">
        <v>246.67</v>
      </c>
      <c r="B72" s="60">
        <v>246.67</v>
      </c>
    </row>
    <row r="73" ht="22.5" customHeight="1">
      <c r="A73" s="60">
        <v>160.56</v>
      </c>
      <c r="B73" s="60">
        <v>160.56</v>
      </c>
    </row>
    <row r="74" ht="22.5" customHeight="1">
      <c r="A74" s="60">
        <v>246.5</v>
      </c>
      <c r="B74" s="60">
        <v>246.5</v>
      </c>
    </row>
    <row r="75" ht="22.5" customHeight="1">
      <c r="A75" s="60">
        <v>165.28</v>
      </c>
      <c r="B75" s="60">
        <v>165.28</v>
      </c>
    </row>
    <row r="76" ht="22.5" customHeight="1">
      <c r="A76" s="60">
        <v>162.695</v>
      </c>
      <c r="B76" s="60">
        <v>162.695</v>
      </c>
    </row>
    <row r="77" ht="22.5" customHeight="1">
      <c r="A77" s="60">
        <v>159.02</v>
      </c>
      <c r="B77" s="60">
        <v>159.02</v>
      </c>
    </row>
    <row r="78" ht="22.5" customHeight="1">
      <c r="A78" s="60">
        <v>181.06</v>
      </c>
      <c r="B78" s="60">
        <v>181.06</v>
      </c>
    </row>
    <row r="79" ht="22.5" customHeight="1">
      <c r="A79" s="60">
        <v>178.44</v>
      </c>
      <c r="B79" s="60">
        <v>178.44</v>
      </c>
    </row>
    <row r="80" ht="22.5" customHeight="1">
      <c r="A80" s="60">
        <v>308.155</v>
      </c>
      <c r="B80" s="60">
        <v>308.155</v>
      </c>
    </row>
    <row r="81" ht="22.5" customHeight="1">
      <c r="A81" s="60">
        <v>207.75</v>
      </c>
      <c r="B81" s="60">
        <v>207.75</v>
      </c>
    </row>
    <row r="82" ht="22.5" customHeight="1">
      <c r="A82" s="60">
        <v>207.78</v>
      </c>
      <c r="B82" s="60">
        <v>207.78</v>
      </c>
    </row>
    <row r="83" ht="22.5" customHeight="1">
      <c r="A83" s="60">
        <v>255.23</v>
      </c>
      <c r="B83" s="60">
        <v>255.23</v>
      </c>
    </row>
    <row r="84" ht="22.5" customHeight="1">
      <c r="A84" s="60">
        <v>347.605</v>
      </c>
      <c r="B84" s="60">
        <v>347.605</v>
      </c>
    </row>
    <row r="85" ht="22.5" customHeight="1">
      <c r="A85" s="60">
        <v>238.0</v>
      </c>
      <c r="B85" s="60">
        <v>238.0</v>
      </c>
    </row>
    <row r="86" ht="22.5" customHeight="1">
      <c r="A86" s="60">
        <v>208.01</v>
      </c>
      <c r="B86" s="60">
        <v>208.01</v>
      </c>
    </row>
    <row r="87" ht="22.5" customHeight="1">
      <c r="A87" s="60">
        <v>322.66</v>
      </c>
      <c r="B87" s="60">
        <v>322.66</v>
      </c>
    </row>
    <row r="88" ht="22.5" customHeight="1">
      <c r="A88" s="60">
        <v>212.01</v>
      </c>
      <c r="B88" s="60">
        <v>212.01</v>
      </c>
    </row>
    <row r="89" ht="22.5" customHeight="1">
      <c r="A89" s="60">
        <v>223.78</v>
      </c>
      <c r="B89" s="60">
        <v>223.78</v>
      </c>
    </row>
    <row r="90" ht="22.5" customHeight="1">
      <c r="A90" s="60">
        <v>266.35</v>
      </c>
      <c r="B90" s="60">
        <v>266.35</v>
      </c>
    </row>
    <row r="91" ht="22.5" customHeight="1">
      <c r="A91" s="60">
        <v>207.44</v>
      </c>
      <c r="B91" s="60">
        <v>207.44</v>
      </c>
    </row>
    <row r="92" ht="22.5" customHeight="1">
      <c r="A92" s="60">
        <v>147.38</v>
      </c>
      <c r="B92" s="60">
        <v>147.38</v>
      </c>
    </row>
    <row r="93" ht="22.5" customHeight="1">
      <c r="A93" s="60">
        <v>199.75</v>
      </c>
      <c r="B93" s="60">
        <v>199.75</v>
      </c>
    </row>
    <row r="94" ht="22.5" customHeight="1">
      <c r="A94" s="60">
        <v>203.92</v>
      </c>
      <c r="B94" s="60">
        <v>203.92</v>
      </c>
    </row>
    <row r="95" ht="22.5" customHeight="1">
      <c r="A95" s="60">
        <v>156.21</v>
      </c>
      <c r="B95" s="60">
        <v>156.21</v>
      </c>
    </row>
    <row r="96" ht="22.5" customHeight="1">
      <c r="A96" s="60">
        <v>219.82</v>
      </c>
      <c r="B96" s="60">
        <v>219.82</v>
      </c>
    </row>
    <row r="97" ht="22.5" customHeight="1">
      <c r="A97" s="60">
        <v>225.24</v>
      </c>
      <c r="B97" s="60">
        <v>225.24</v>
      </c>
    </row>
    <row r="98" ht="22.5" customHeight="1">
      <c r="A98" s="60">
        <v>224.14</v>
      </c>
      <c r="B98" s="60">
        <v>224.14</v>
      </c>
    </row>
    <row r="99" ht="22.5" customHeight="1">
      <c r="A99" s="60">
        <v>147.37</v>
      </c>
      <c r="B99" s="60">
        <v>147.37</v>
      </c>
    </row>
    <row r="100" ht="22.5" customHeight="1">
      <c r="A100" s="60">
        <v>355.36</v>
      </c>
      <c r="B100" s="60">
        <v>355.36</v>
      </c>
    </row>
    <row r="101" ht="22.5" customHeight="1">
      <c r="A101" s="60">
        <v>348.09</v>
      </c>
      <c r="B101" s="60">
        <v>348.09</v>
      </c>
    </row>
    <row r="102" ht="22.5" customHeight="1">
      <c r="A102" s="60">
        <v>231.045</v>
      </c>
      <c r="B102" s="60">
        <v>231.045</v>
      </c>
    </row>
    <row r="103" ht="22.5" customHeight="1">
      <c r="A103" s="60">
        <v>228.74</v>
      </c>
      <c r="B103" s="60">
        <v>228.74</v>
      </c>
    </row>
    <row r="104" ht="22.5" customHeight="1">
      <c r="A104" s="60">
        <v>236.09</v>
      </c>
      <c r="B104" s="60">
        <v>236.09</v>
      </c>
    </row>
    <row r="105" ht="22.5" customHeight="1">
      <c r="A105" s="60">
        <v>293.03</v>
      </c>
      <c r="B105" s="60">
        <v>293.03</v>
      </c>
    </row>
    <row r="106" ht="22.5" customHeight="1">
      <c r="A106" s="60">
        <v>256.07</v>
      </c>
      <c r="B106" s="60">
        <v>256.07</v>
      </c>
    </row>
    <row r="107" ht="22.5" customHeight="1">
      <c r="A107" s="60">
        <v>220.19</v>
      </c>
      <c r="B107" s="60">
        <v>220.19</v>
      </c>
    </row>
    <row r="108" ht="22.5" customHeight="1">
      <c r="A108" s="60">
        <v>207.91</v>
      </c>
      <c r="B108" s="60">
        <v>207.91</v>
      </c>
    </row>
    <row r="109" ht="22.5" customHeight="1">
      <c r="A109" s="60">
        <v>199.625</v>
      </c>
      <c r="B109" s="60">
        <v>199.625</v>
      </c>
    </row>
    <row r="110" ht="22.5" customHeight="1">
      <c r="A110" s="60">
        <v>199.83</v>
      </c>
      <c r="B110" s="60">
        <v>199.83</v>
      </c>
    </row>
    <row r="111" ht="22.5" customHeight="1">
      <c r="A111" s="60">
        <v>156.85</v>
      </c>
      <c r="B111" s="60">
        <v>156.85</v>
      </c>
    </row>
    <row r="112" ht="22.5" customHeight="1">
      <c r="A112" s="60">
        <v>156.12</v>
      </c>
      <c r="B112" s="60">
        <v>156.12</v>
      </c>
    </row>
    <row r="113" ht="22.5" customHeight="1">
      <c r="A113" s="60">
        <v>136.61</v>
      </c>
      <c r="B113" s="60">
        <v>136.61</v>
      </c>
    </row>
    <row r="114" ht="22.5" customHeight="1">
      <c r="A114" s="60">
        <v>220.855</v>
      </c>
      <c r="B114" s="60">
        <v>220.855</v>
      </c>
    </row>
    <row r="115" ht="22.5" customHeight="1">
      <c r="A115" s="60">
        <v>230.86</v>
      </c>
      <c r="B115" s="60">
        <v>230.86</v>
      </c>
    </row>
    <row r="116" ht="22.5" customHeight="1">
      <c r="A116" s="60">
        <v>203.89</v>
      </c>
      <c r="B116" s="60">
        <v>203.89</v>
      </c>
    </row>
    <row r="117" ht="22.5" customHeight="1">
      <c r="A117" s="60">
        <v>175.33</v>
      </c>
      <c r="B117" s="60">
        <v>175.33</v>
      </c>
    </row>
    <row r="118" ht="22.5" customHeight="1">
      <c r="A118" s="60">
        <v>346.52</v>
      </c>
      <c r="B118" s="60">
        <v>346.52</v>
      </c>
    </row>
    <row r="119" ht="22.5" customHeight="1">
      <c r="A119" s="60">
        <v>147.37</v>
      </c>
      <c r="B119" s="60">
        <v>147.37</v>
      </c>
    </row>
    <row r="120" ht="22.5" customHeight="1">
      <c r="A120" s="60">
        <v>326.88</v>
      </c>
      <c r="B120" s="60">
        <v>326.88</v>
      </c>
    </row>
    <row r="121" ht="22.5" customHeight="1">
      <c r="A121" s="60">
        <v>156.06</v>
      </c>
      <c r="B121" s="60">
        <v>156.06</v>
      </c>
    </row>
    <row r="122" ht="22.5" customHeight="1">
      <c r="A122" s="60">
        <v>165.28</v>
      </c>
      <c r="B122" s="60">
        <v>165.28</v>
      </c>
    </row>
    <row r="123" ht="22.5" customHeight="1">
      <c r="A123" s="60">
        <v>165.1</v>
      </c>
      <c r="B123" s="60">
        <v>165.1</v>
      </c>
    </row>
    <row r="124" ht="22.5" customHeight="1">
      <c r="A124" s="60">
        <v>175.0</v>
      </c>
      <c r="B124" s="60">
        <v>175.0</v>
      </c>
    </row>
    <row r="125" ht="22.5" customHeight="1">
      <c r="A125" s="60">
        <v>177.46</v>
      </c>
      <c r="B125" s="60">
        <v>177.46</v>
      </c>
    </row>
    <row r="126" ht="22.5" customHeight="1">
      <c r="A126" s="60">
        <v>139.14</v>
      </c>
      <c r="B126" s="60">
        <v>139.14</v>
      </c>
    </row>
    <row r="127" ht="22.5" customHeight="1">
      <c r="A127" s="60">
        <v>327.805</v>
      </c>
      <c r="B127" s="60">
        <v>327.805</v>
      </c>
    </row>
    <row r="128" ht="22.5" customHeight="1">
      <c r="A128" s="60">
        <v>164.245</v>
      </c>
      <c r="B128" s="60">
        <v>164.245</v>
      </c>
    </row>
    <row r="129" ht="22.5" customHeight="1">
      <c r="A129" s="60">
        <v>147.38</v>
      </c>
      <c r="B129" s="60">
        <v>147.38</v>
      </c>
    </row>
    <row r="130" ht="22.5" customHeight="1">
      <c r="A130" s="60">
        <v>232.23</v>
      </c>
      <c r="B130" s="60">
        <v>232.23</v>
      </c>
    </row>
    <row r="131" ht="22.5" customHeight="1">
      <c r="A131" s="60">
        <v>196.19</v>
      </c>
      <c r="B131" s="60">
        <v>196.19</v>
      </c>
    </row>
    <row r="132" ht="22.5" customHeight="1">
      <c r="A132" s="60">
        <v>165.465</v>
      </c>
      <c r="B132" s="60">
        <v>165.465</v>
      </c>
    </row>
    <row r="133" ht="22.5" customHeight="1">
      <c r="A133" s="60">
        <v>173.92</v>
      </c>
      <c r="B133" s="60">
        <v>173.92</v>
      </c>
    </row>
    <row r="134" ht="22.5" customHeight="1">
      <c r="A134" s="60">
        <v>175.34</v>
      </c>
      <c r="B134" s="60">
        <v>175.34</v>
      </c>
    </row>
    <row r="135" ht="22.5" customHeight="1">
      <c r="A135" s="60">
        <v>240.895</v>
      </c>
      <c r="B135" s="60">
        <v>240.895</v>
      </c>
    </row>
    <row r="136" ht="22.5" customHeight="1">
      <c r="A136" s="60">
        <v>165.3</v>
      </c>
      <c r="B136" s="60">
        <v>165.3</v>
      </c>
    </row>
    <row r="137" ht="22.5" customHeight="1">
      <c r="A137" s="60">
        <v>293.06</v>
      </c>
      <c r="B137" s="60">
        <v>293.06</v>
      </c>
    </row>
    <row r="138" ht="22.5" customHeight="1">
      <c r="A138" s="60">
        <v>220.38</v>
      </c>
      <c r="B138" s="60">
        <v>220.38</v>
      </c>
    </row>
    <row r="139" ht="22.5" customHeight="1">
      <c r="A139" s="60">
        <v>243.215</v>
      </c>
      <c r="B139" s="60">
        <v>243.215</v>
      </c>
    </row>
    <row r="140" ht="22.5" customHeight="1">
      <c r="A140" s="60">
        <v>201.85</v>
      </c>
      <c r="B140" s="60">
        <v>201.85</v>
      </c>
    </row>
    <row r="141" ht="22.5" customHeight="1">
      <c r="A141" s="60">
        <v>196.3</v>
      </c>
      <c r="B141" s="60">
        <v>196.3</v>
      </c>
    </row>
    <row r="142" ht="22.5" customHeight="1">
      <c r="A142" s="60">
        <v>218.3</v>
      </c>
      <c r="B142" s="60">
        <v>218.3</v>
      </c>
    </row>
    <row r="143" ht="22.5" customHeight="1">
      <c r="A143" s="60">
        <v>256.75</v>
      </c>
      <c r="B143" s="60">
        <v>256.75</v>
      </c>
    </row>
    <row r="144" ht="22.5" customHeight="1">
      <c r="A144" s="60">
        <v>185.12</v>
      </c>
      <c r="B144" s="60">
        <v>185.12</v>
      </c>
    </row>
    <row r="145" ht="22.5" customHeight="1">
      <c r="A145" s="60">
        <v>192.79</v>
      </c>
      <c r="B145" s="60">
        <v>192.79</v>
      </c>
    </row>
    <row r="146" ht="22.5" customHeight="1">
      <c r="A146" s="60">
        <v>193.48</v>
      </c>
      <c r="B146" s="60">
        <v>193.48</v>
      </c>
    </row>
    <row r="147" ht="22.5" customHeight="1">
      <c r="A147" s="60">
        <v>131.31</v>
      </c>
      <c r="B147" s="60">
        <v>131.31</v>
      </c>
    </row>
    <row r="148" ht="22.5" customHeight="1">
      <c r="A148" s="60">
        <v>167.95</v>
      </c>
      <c r="B148" s="60">
        <v>167.95</v>
      </c>
    </row>
    <row r="149" ht="22.5" customHeight="1">
      <c r="A149" s="60">
        <v>147.37</v>
      </c>
      <c r="B149" s="60">
        <v>147.37</v>
      </c>
    </row>
    <row r="150" ht="22.5" customHeight="1">
      <c r="A150" s="60">
        <v>227.28</v>
      </c>
      <c r="B150" s="60">
        <v>227.28</v>
      </c>
    </row>
    <row r="151" ht="22.5" customHeight="1">
      <c r="A151" s="60">
        <v>156.05</v>
      </c>
      <c r="B151" s="60">
        <v>156.05</v>
      </c>
    </row>
    <row r="152" ht="22.5" customHeight="1">
      <c r="A152" s="60">
        <v>233.42</v>
      </c>
      <c r="B152" s="60">
        <v>233.42</v>
      </c>
    </row>
    <row r="153" ht="22.5" customHeight="1">
      <c r="A153" s="60">
        <v>260.39</v>
      </c>
      <c r="B153" s="60">
        <v>260.39</v>
      </c>
    </row>
    <row r="154" ht="22.5" customHeight="1">
      <c r="A154" s="60">
        <v>207.81</v>
      </c>
      <c r="B154" s="60">
        <v>207.81</v>
      </c>
    </row>
    <row r="155" ht="22.5" customHeight="1">
      <c r="A155" s="60">
        <v>350.09</v>
      </c>
      <c r="B155" s="60">
        <v>350.09</v>
      </c>
    </row>
    <row r="156" ht="22.5" customHeight="1">
      <c r="A156" s="60">
        <v>196.24</v>
      </c>
      <c r="B156" s="60">
        <v>196.24</v>
      </c>
    </row>
    <row r="157" ht="22.5" customHeight="1">
      <c r="A157" s="60">
        <v>193.82</v>
      </c>
      <c r="B157" s="60">
        <v>193.82</v>
      </c>
    </row>
    <row r="158" ht="22.5" customHeight="1">
      <c r="A158" s="60">
        <v>220.05</v>
      </c>
      <c r="B158" s="60">
        <v>220.05</v>
      </c>
    </row>
    <row r="159" ht="22.5" customHeight="1">
      <c r="A159" s="60">
        <v>287.745</v>
      </c>
      <c r="B159" s="60">
        <v>287.745</v>
      </c>
    </row>
    <row r="160" ht="22.5" customHeight="1">
      <c r="A160" s="60">
        <v>147.37</v>
      </c>
      <c r="B160" s="60">
        <v>147.37</v>
      </c>
    </row>
    <row r="161" ht="22.5" customHeight="1">
      <c r="A161" s="60">
        <v>175.0</v>
      </c>
      <c r="B161" s="60">
        <v>175.0</v>
      </c>
    </row>
    <row r="162" ht="22.5" customHeight="1">
      <c r="A162" s="60">
        <v>197.36</v>
      </c>
      <c r="B162" s="60">
        <v>197.36</v>
      </c>
    </row>
    <row r="163" ht="22.5" customHeight="1">
      <c r="A163" s="60">
        <v>152.335</v>
      </c>
      <c r="B163" s="60">
        <v>152.335</v>
      </c>
    </row>
    <row r="164" ht="22.5" customHeight="1">
      <c r="A164" s="60">
        <v>159.08</v>
      </c>
      <c r="B164" s="60">
        <v>159.08</v>
      </c>
    </row>
    <row r="165" ht="22.5" customHeight="1">
      <c r="A165" s="60">
        <v>181.87</v>
      </c>
      <c r="B165" s="60">
        <v>181.87</v>
      </c>
    </row>
    <row r="166" ht="22.5" customHeight="1">
      <c r="A166" s="60">
        <v>172.73</v>
      </c>
      <c r="B166" s="60">
        <v>172.73</v>
      </c>
    </row>
    <row r="167" ht="22.5" customHeight="1">
      <c r="A167" s="60">
        <v>147.5</v>
      </c>
      <c r="B167" s="60">
        <v>147.5</v>
      </c>
    </row>
    <row r="168" ht="22.5" customHeight="1">
      <c r="A168" s="60">
        <v>165.26</v>
      </c>
      <c r="B168" s="60">
        <v>165.26</v>
      </c>
    </row>
    <row r="169" ht="22.5" customHeight="1">
      <c r="A169" s="60">
        <v>199.75</v>
      </c>
      <c r="B169" s="60">
        <v>199.75</v>
      </c>
    </row>
    <row r="170" ht="22.5" customHeight="1">
      <c r="A170" s="60">
        <v>175.0</v>
      </c>
      <c r="B170" s="60">
        <v>175.0</v>
      </c>
    </row>
    <row r="171" ht="22.5" customHeight="1">
      <c r="A171" s="60">
        <v>207.69</v>
      </c>
      <c r="B171" s="60">
        <v>207.69</v>
      </c>
    </row>
    <row r="172" ht="22.5" customHeight="1">
      <c r="A172" s="60">
        <v>341.36</v>
      </c>
      <c r="B172" s="60">
        <v>341.36</v>
      </c>
    </row>
    <row r="173" ht="22.5" customHeight="1">
      <c r="A173" s="60">
        <v>281.58</v>
      </c>
      <c r="B173" s="60">
        <v>281.58</v>
      </c>
    </row>
    <row r="174" ht="22.5" customHeight="1">
      <c r="A174" s="60">
        <v>197.68</v>
      </c>
      <c r="B174" s="60">
        <v>197.68</v>
      </c>
    </row>
    <row r="175" ht="22.5" customHeight="1">
      <c r="A175" s="60">
        <v>156.03</v>
      </c>
      <c r="B175" s="60">
        <v>156.03</v>
      </c>
    </row>
    <row r="176" ht="22.5" customHeight="1">
      <c r="A176" s="60">
        <v>271.81</v>
      </c>
      <c r="B176" s="60">
        <v>271.81</v>
      </c>
    </row>
    <row r="177" ht="22.5" customHeight="1">
      <c r="A177" s="60">
        <v>368.53</v>
      </c>
      <c r="B177" s="60">
        <v>368.53</v>
      </c>
    </row>
    <row r="178" ht="22.5" customHeight="1">
      <c r="A178" s="60">
        <v>207.17</v>
      </c>
      <c r="B178" s="60">
        <v>207.17</v>
      </c>
    </row>
    <row r="179" ht="22.5" customHeight="1">
      <c r="A179" s="60">
        <v>185.155</v>
      </c>
      <c r="B179" s="60">
        <v>185.155</v>
      </c>
    </row>
    <row r="180" ht="22.5" customHeight="1">
      <c r="A180" s="60">
        <v>413.2</v>
      </c>
      <c r="B180" s="60">
        <v>413.2</v>
      </c>
    </row>
    <row r="181" ht="22.5" customHeight="1">
      <c r="A181" s="60">
        <v>165.235</v>
      </c>
      <c r="B181" s="60">
        <v>165.235</v>
      </c>
    </row>
    <row r="182" ht="22.5" customHeight="1">
      <c r="A182" s="60">
        <v>147.42</v>
      </c>
      <c r="B182" s="60">
        <v>147.42</v>
      </c>
    </row>
    <row r="183" ht="22.5" customHeight="1">
      <c r="A183" s="60">
        <v>361.79</v>
      </c>
      <c r="B183" s="60">
        <v>361.79</v>
      </c>
    </row>
    <row r="184" ht="22.5" customHeight="1">
      <c r="A184" s="60">
        <v>341.47</v>
      </c>
      <c r="B184" s="60">
        <v>341.47</v>
      </c>
    </row>
    <row r="185" ht="22.5" customHeight="1">
      <c r="A185" s="60">
        <v>354.345</v>
      </c>
      <c r="B185" s="60">
        <v>354.345</v>
      </c>
    </row>
    <row r="186" ht="22.5" customHeight="1">
      <c r="A186" s="60">
        <v>150.72</v>
      </c>
      <c r="B186" s="60">
        <v>150.72</v>
      </c>
    </row>
    <row r="187" ht="22.5" customHeight="1">
      <c r="A187" s="60">
        <v>438.02</v>
      </c>
      <c r="B187" s="60">
        <v>438.02</v>
      </c>
    </row>
    <row r="188" ht="22.5" customHeight="1">
      <c r="A188" s="60">
        <v>115.22</v>
      </c>
      <c r="B188" s="60">
        <v>115.22</v>
      </c>
    </row>
    <row r="189" ht="22.5" customHeight="1">
      <c r="A189" s="60">
        <v>196.63</v>
      </c>
      <c r="B189" s="60">
        <v>196.63</v>
      </c>
    </row>
    <row r="190" ht="22.5" customHeight="1">
      <c r="A190" s="60">
        <v>207.735</v>
      </c>
      <c r="B190" s="60">
        <v>207.735</v>
      </c>
    </row>
    <row r="191" ht="22.5" customHeight="1">
      <c r="A191" s="60">
        <v>303.59</v>
      </c>
      <c r="B191" s="60">
        <v>303.59</v>
      </c>
    </row>
    <row r="192" ht="22.5" customHeight="1">
      <c r="A192" s="60">
        <v>370.56</v>
      </c>
      <c r="B192" s="60">
        <v>370.56</v>
      </c>
    </row>
    <row r="193" ht="22.5" customHeight="1">
      <c r="A193" s="60">
        <v>293.65</v>
      </c>
      <c r="B193" s="60">
        <v>293.65</v>
      </c>
    </row>
    <row r="194" ht="22.5" customHeight="1">
      <c r="A194" s="60">
        <v>247.77</v>
      </c>
      <c r="B194" s="60">
        <v>247.77</v>
      </c>
    </row>
    <row r="195" ht="22.5" customHeight="1">
      <c r="A195" s="60">
        <v>239.74</v>
      </c>
      <c r="B195" s="60">
        <v>239.74</v>
      </c>
    </row>
    <row r="196" ht="22.5" customHeight="1">
      <c r="A196" s="60">
        <v>145.76</v>
      </c>
      <c r="B196" s="60">
        <v>145.76</v>
      </c>
    </row>
    <row r="197" ht="22.5" customHeight="1">
      <c r="A197" s="60">
        <v>183.08</v>
      </c>
      <c r="B197" s="60">
        <v>183.08</v>
      </c>
    </row>
    <row r="198" ht="22.5" customHeight="1">
      <c r="A198" s="60">
        <v>271.46</v>
      </c>
      <c r="B198" s="60">
        <v>271.46</v>
      </c>
    </row>
    <row r="199" ht="22.5" customHeight="1">
      <c r="A199" s="60">
        <v>352.91</v>
      </c>
      <c r="B199" s="60">
        <v>352.91</v>
      </c>
    </row>
    <row r="200" ht="22.5" customHeight="1">
      <c r="A200" s="60">
        <v>207.01</v>
      </c>
      <c r="B200" s="60">
        <v>207.01</v>
      </c>
    </row>
    <row r="201" ht="22.5" customHeight="1">
      <c r="A201" s="60">
        <v>377.93</v>
      </c>
      <c r="B201" s="60">
        <v>377.93</v>
      </c>
    </row>
    <row r="202" ht="22.5" customHeight="1">
      <c r="A202" s="60">
        <v>426.585</v>
      </c>
      <c r="B202" s="60">
        <v>426.585</v>
      </c>
    </row>
    <row r="203" ht="22.5" customHeight="1">
      <c r="A203" s="60">
        <v>183.87</v>
      </c>
      <c r="B203" s="60">
        <v>183.87</v>
      </c>
    </row>
    <row r="204" ht="22.5" customHeight="1">
      <c r="A204" s="60">
        <v>183.565</v>
      </c>
      <c r="B204" s="60">
        <v>183.565</v>
      </c>
    </row>
    <row r="205" ht="22.5" customHeight="1">
      <c r="A205" s="60">
        <v>185.225</v>
      </c>
      <c r="B205" s="60">
        <v>185.225</v>
      </c>
    </row>
    <row r="206" ht="22.5" customHeight="1">
      <c r="A206" s="60">
        <v>196.25</v>
      </c>
      <c r="B206" s="60">
        <v>196.25</v>
      </c>
    </row>
    <row r="207" ht="22.5" customHeight="1">
      <c r="A207" s="60">
        <v>203.91</v>
      </c>
      <c r="B207" s="60">
        <v>203.91</v>
      </c>
    </row>
    <row r="208" ht="22.5" customHeight="1">
      <c r="A208" s="60">
        <v>185.225</v>
      </c>
      <c r="B208" s="60">
        <v>185.225</v>
      </c>
    </row>
    <row r="209" ht="22.5" customHeight="1">
      <c r="A209" s="60">
        <v>190.6</v>
      </c>
      <c r="B209" s="60">
        <v>190.6</v>
      </c>
    </row>
    <row r="210" ht="22.5" customHeight="1">
      <c r="A210" s="60">
        <v>165.27</v>
      </c>
      <c r="B210" s="60">
        <v>165.27</v>
      </c>
    </row>
    <row r="211" ht="22.5" customHeight="1">
      <c r="A211" s="60">
        <v>141.89</v>
      </c>
      <c r="B211" s="60">
        <v>141.89</v>
      </c>
    </row>
    <row r="212" ht="22.5" customHeight="1">
      <c r="A212" s="60">
        <v>154.49</v>
      </c>
      <c r="B212" s="60">
        <v>154.49</v>
      </c>
    </row>
    <row r="213" ht="22.5" customHeight="1">
      <c r="A213" s="60">
        <v>155.59</v>
      </c>
      <c r="B213" s="60">
        <v>155.59</v>
      </c>
    </row>
    <row r="214" ht="22.5" customHeight="1">
      <c r="A214" s="60">
        <v>155.74</v>
      </c>
      <c r="B214" s="60">
        <v>155.74</v>
      </c>
    </row>
    <row r="215" ht="22.5" customHeight="1">
      <c r="A215" s="60">
        <v>164.8</v>
      </c>
      <c r="B215" s="60">
        <v>164.8</v>
      </c>
    </row>
    <row r="216" ht="22.5" customHeight="1">
      <c r="A216" s="60">
        <v>156.09</v>
      </c>
      <c r="B216" s="60">
        <v>156.09</v>
      </c>
    </row>
    <row r="217" ht="22.5" customHeight="1">
      <c r="A217" s="60">
        <v>156.99</v>
      </c>
      <c r="B217" s="60">
        <v>156.99</v>
      </c>
    </row>
    <row r="218" ht="22.5" customHeight="1">
      <c r="A218" s="60">
        <v>139.14</v>
      </c>
      <c r="B218" s="60">
        <v>139.14</v>
      </c>
    </row>
    <row r="219" ht="22.5" customHeight="1">
      <c r="A219" s="60">
        <v>161.91</v>
      </c>
      <c r="B219" s="60">
        <v>161.91</v>
      </c>
    </row>
    <row r="220" ht="22.5" customHeight="1">
      <c r="A220" s="60">
        <v>185.31</v>
      </c>
      <c r="B220" s="60">
        <v>185.31</v>
      </c>
    </row>
    <row r="221" ht="22.5" customHeight="1">
      <c r="A221" s="60">
        <v>206.28</v>
      </c>
      <c r="B221" s="60">
        <v>206.28</v>
      </c>
    </row>
    <row r="222" ht="22.5" customHeight="1">
      <c r="A222" s="60">
        <v>147.89</v>
      </c>
      <c r="B222" s="60">
        <v>147.89</v>
      </c>
    </row>
    <row r="223" ht="22.5" customHeight="1">
      <c r="A223" s="60">
        <v>229.15</v>
      </c>
      <c r="B223" s="60">
        <v>229.15</v>
      </c>
    </row>
    <row r="224" ht="22.5" customHeight="1">
      <c r="A224" s="60">
        <v>203.88</v>
      </c>
      <c r="B224" s="60">
        <v>203.88</v>
      </c>
    </row>
    <row r="225" ht="22.5" customHeight="1">
      <c r="A225" s="60">
        <v>217.56</v>
      </c>
      <c r="B225" s="60">
        <v>217.56</v>
      </c>
    </row>
    <row r="226" ht="22.5" customHeight="1">
      <c r="A226" s="60">
        <v>199.67</v>
      </c>
      <c r="B226" s="60">
        <v>199.67</v>
      </c>
    </row>
    <row r="227" ht="22.5" customHeight="1">
      <c r="A227" s="60">
        <v>191.8</v>
      </c>
      <c r="B227" s="60">
        <v>191.8</v>
      </c>
    </row>
    <row r="228" ht="22.5" customHeight="1">
      <c r="A228" s="60">
        <v>276.125</v>
      </c>
      <c r="B228" s="60">
        <v>276.125</v>
      </c>
    </row>
    <row r="229" ht="22.5" customHeight="1">
      <c r="A229" s="60">
        <v>230.84</v>
      </c>
      <c r="B229" s="60">
        <v>230.84</v>
      </c>
    </row>
    <row r="230" ht="22.5" customHeight="1">
      <c r="A230" s="60">
        <v>225.525</v>
      </c>
      <c r="B230" s="60">
        <v>225.525</v>
      </c>
    </row>
    <row r="231" ht="22.5" customHeight="1">
      <c r="A231" s="60">
        <v>276.88</v>
      </c>
      <c r="B231" s="60">
        <v>276.88</v>
      </c>
    </row>
    <row r="232" ht="22.5" customHeight="1">
      <c r="A232" s="60">
        <v>279.37</v>
      </c>
      <c r="B232" s="60">
        <v>279.37</v>
      </c>
    </row>
    <row r="233" ht="22.5" customHeight="1">
      <c r="A233" s="60">
        <v>227.98</v>
      </c>
      <c r="B233" s="60">
        <v>227.98</v>
      </c>
    </row>
    <row r="234" ht="22.5" customHeight="1">
      <c r="A234" s="60">
        <v>224.31</v>
      </c>
      <c r="B234" s="60">
        <v>224.31</v>
      </c>
    </row>
    <row r="235" ht="22.5" customHeight="1">
      <c r="A235" s="60">
        <v>230.76</v>
      </c>
      <c r="B235" s="60">
        <v>230.76</v>
      </c>
    </row>
    <row r="236" ht="22.5" customHeight="1">
      <c r="A236" s="60">
        <v>175.06</v>
      </c>
      <c r="B236" s="60">
        <v>175.06</v>
      </c>
    </row>
    <row r="237" ht="22.5" customHeight="1">
      <c r="A237" s="60">
        <v>183.5</v>
      </c>
      <c r="B237" s="60">
        <v>183.5</v>
      </c>
    </row>
    <row r="238" ht="22.5" customHeight="1">
      <c r="A238" s="60">
        <v>225.96</v>
      </c>
      <c r="B238" s="60">
        <v>225.96</v>
      </c>
    </row>
    <row r="239" ht="22.5" customHeight="1">
      <c r="A239" s="60">
        <v>175.04</v>
      </c>
      <c r="B239" s="60">
        <v>175.04</v>
      </c>
    </row>
    <row r="240" ht="22.5" customHeight="1">
      <c r="A240" s="60">
        <v>328.75</v>
      </c>
      <c r="B240" s="60">
        <v>328.75</v>
      </c>
    </row>
    <row r="241" ht="22.5" customHeight="1">
      <c r="A241" s="60">
        <v>178.755</v>
      </c>
      <c r="B241" s="60">
        <v>178.755</v>
      </c>
    </row>
    <row r="242" ht="22.5" customHeight="1">
      <c r="A242" s="60">
        <v>156.09</v>
      </c>
      <c r="B242" s="60">
        <v>156.09</v>
      </c>
    </row>
    <row r="243" ht="22.5" customHeight="1">
      <c r="A243" s="60">
        <v>207.97</v>
      </c>
      <c r="B243" s="60">
        <v>207.97</v>
      </c>
    </row>
    <row r="244" ht="22.5" customHeight="1">
      <c r="A244" s="60">
        <v>229.525</v>
      </c>
      <c r="B244" s="60">
        <v>229.525</v>
      </c>
    </row>
    <row r="245" ht="22.5" customHeight="1">
      <c r="A245" s="60">
        <v>331.5</v>
      </c>
      <c r="B245" s="60">
        <v>331.5</v>
      </c>
    </row>
    <row r="246" ht="22.5" customHeight="1">
      <c r="A246" s="60">
        <v>207.81</v>
      </c>
      <c r="B246" s="60">
        <v>207.81</v>
      </c>
    </row>
    <row r="247" ht="22.5" customHeight="1">
      <c r="A247" s="60">
        <v>199.385</v>
      </c>
      <c r="B247" s="60">
        <v>199.385</v>
      </c>
    </row>
    <row r="248" ht="22.5" customHeight="1">
      <c r="A248" s="60">
        <v>261.32</v>
      </c>
      <c r="B248" s="60">
        <v>261.32</v>
      </c>
    </row>
    <row r="249" ht="22.5" customHeight="1">
      <c r="A249" s="60">
        <v>196.24</v>
      </c>
      <c r="B249" s="60">
        <v>196.24</v>
      </c>
    </row>
    <row r="250" ht="22.5" customHeight="1">
      <c r="A250" s="60">
        <v>174.98</v>
      </c>
      <c r="B250" s="60">
        <v>174.98</v>
      </c>
    </row>
    <row r="251" ht="22.5" customHeight="1">
      <c r="A251" s="60">
        <v>413.15</v>
      </c>
      <c r="B251" s="60">
        <v>413.15</v>
      </c>
    </row>
    <row r="252" ht="22.5" customHeight="1">
      <c r="A252" s="60">
        <v>176.84</v>
      </c>
      <c r="B252" s="60">
        <v>176.84</v>
      </c>
    </row>
    <row r="253" ht="22.5" customHeight="1">
      <c r="A253" s="60">
        <v>192.98</v>
      </c>
      <c r="B253" s="60">
        <v>192.98</v>
      </c>
    </row>
    <row r="254" ht="22.5" customHeight="1">
      <c r="A254" s="60">
        <v>178.13</v>
      </c>
      <c r="B254" s="60">
        <v>178.13</v>
      </c>
    </row>
    <row r="255" ht="22.5" customHeight="1">
      <c r="A255" s="60">
        <v>239.02</v>
      </c>
      <c r="B255" s="60">
        <v>239.02</v>
      </c>
    </row>
    <row r="256" ht="22.5" customHeight="1">
      <c r="A256" s="60">
        <v>197.88</v>
      </c>
      <c r="B256" s="60">
        <v>197.88</v>
      </c>
    </row>
    <row r="257" ht="22.5" customHeight="1">
      <c r="A257" s="60">
        <v>187.04</v>
      </c>
      <c r="B257" s="60">
        <v>187.04</v>
      </c>
    </row>
    <row r="258" ht="22.5" customHeight="1">
      <c r="A258" s="60">
        <v>175.0</v>
      </c>
      <c r="B258" s="60">
        <v>175.0</v>
      </c>
    </row>
    <row r="259" ht="22.5" customHeight="1">
      <c r="A259" s="60">
        <v>237.53</v>
      </c>
      <c r="B259" s="60">
        <v>237.53</v>
      </c>
    </row>
    <row r="260" ht="22.5" customHeight="1">
      <c r="A260" s="60">
        <v>233.0</v>
      </c>
      <c r="B260" s="60">
        <v>233.0</v>
      </c>
    </row>
    <row r="261" ht="22.5" customHeight="1">
      <c r="A261" s="60">
        <v>194.91</v>
      </c>
      <c r="B261" s="60">
        <v>194.91</v>
      </c>
    </row>
    <row r="262" ht="22.5" customHeight="1">
      <c r="A262" s="60">
        <v>245.93</v>
      </c>
      <c r="B262" s="60">
        <v>245.93</v>
      </c>
    </row>
    <row r="263" ht="22.5" customHeight="1">
      <c r="A263" s="60">
        <v>207.81</v>
      </c>
      <c r="B263" s="60">
        <v>207.81</v>
      </c>
    </row>
    <row r="264" ht="22.5" customHeight="1">
      <c r="A264" s="60">
        <v>237.135</v>
      </c>
      <c r="B264" s="60">
        <v>237.135</v>
      </c>
    </row>
    <row r="265" ht="22.5" customHeight="1">
      <c r="A265" s="60">
        <v>335.49</v>
      </c>
      <c r="B265" s="60">
        <v>335.49</v>
      </c>
    </row>
    <row r="266" ht="22.5" customHeight="1">
      <c r="A266" s="60">
        <v>246.81</v>
      </c>
      <c r="B266" s="60">
        <v>246.81</v>
      </c>
    </row>
    <row r="267" ht="22.5" customHeight="1">
      <c r="A267" s="60">
        <v>168.98</v>
      </c>
      <c r="B267" s="60">
        <v>168.98</v>
      </c>
    </row>
    <row r="268" ht="22.5" customHeight="1">
      <c r="A268" s="60">
        <v>190.52</v>
      </c>
      <c r="B268" s="60">
        <v>190.52</v>
      </c>
    </row>
    <row r="269" ht="22.5" customHeight="1">
      <c r="A269" s="60">
        <v>199.99</v>
      </c>
      <c r="B269" s="60">
        <v>199.99</v>
      </c>
    </row>
    <row r="270" ht="22.5" customHeight="1">
      <c r="A270" s="60">
        <v>205.5</v>
      </c>
      <c r="B270" s="60">
        <v>205.5</v>
      </c>
    </row>
    <row r="271" ht="22.5" customHeight="1">
      <c r="A271" s="60">
        <v>175.47</v>
      </c>
      <c r="B271" s="60">
        <v>175.47</v>
      </c>
    </row>
    <row r="272" ht="22.5" customHeight="1">
      <c r="A272" s="60">
        <v>232.92</v>
      </c>
      <c r="B272" s="60">
        <v>232.92</v>
      </c>
    </row>
    <row r="273" ht="22.5" customHeight="1">
      <c r="A273" s="60">
        <v>185.29</v>
      </c>
      <c r="B273" s="60">
        <v>185.29</v>
      </c>
    </row>
    <row r="274" ht="22.5" customHeight="1">
      <c r="A274" s="60">
        <v>220.09</v>
      </c>
      <c r="B274" s="60">
        <v>220.09</v>
      </c>
    </row>
    <row r="275" ht="22.5" customHeight="1">
      <c r="A275" s="60">
        <v>368.785</v>
      </c>
      <c r="B275" s="60">
        <v>368.785</v>
      </c>
    </row>
    <row r="276" ht="22.5" customHeight="1">
      <c r="A276" s="60">
        <v>201.1</v>
      </c>
      <c r="B276" s="60">
        <v>201.1</v>
      </c>
    </row>
    <row r="277" ht="22.5" customHeight="1">
      <c r="A277" s="60">
        <v>202.12</v>
      </c>
      <c r="B277" s="60">
        <v>202.12</v>
      </c>
    </row>
    <row r="278" ht="22.5" customHeight="1">
      <c r="A278" s="60">
        <v>207.82</v>
      </c>
      <c r="B278" s="60">
        <v>207.82</v>
      </c>
    </row>
    <row r="279" ht="22.5" customHeight="1">
      <c r="A279" s="60">
        <v>180.92</v>
      </c>
      <c r="B279" s="60">
        <v>180.92</v>
      </c>
    </row>
    <row r="280" ht="22.5" customHeight="1">
      <c r="A280" s="60">
        <v>175.94</v>
      </c>
      <c r="B280" s="60">
        <v>175.94</v>
      </c>
    </row>
    <row r="281" ht="22.5" customHeight="1">
      <c r="A281" s="60">
        <v>171.94</v>
      </c>
      <c r="B281" s="60">
        <v>171.94</v>
      </c>
    </row>
    <row r="282" ht="22.5" customHeight="1">
      <c r="A282" s="60">
        <v>173.59</v>
      </c>
      <c r="B282" s="60">
        <v>173.59</v>
      </c>
    </row>
    <row r="283" ht="22.5" customHeight="1">
      <c r="A283" s="60">
        <v>220.02</v>
      </c>
      <c r="B283" s="60">
        <v>220.02</v>
      </c>
    </row>
    <row r="284" ht="22.5" customHeight="1">
      <c r="A284" s="60">
        <v>194.67</v>
      </c>
      <c r="B284" s="60">
        <v>194.67</v>
      </c>
    </row>
    <row r="285" ht="22.5" customHeight="1">
      <c r="A285" s="60">
        <v>328.735</v>
      </c>
      <c r="B285" s="60">
        <v>328.735</v>
      </c>
    </row>
    <row r="286" ht="22.5" customHeight="1">
      <c r="A286" s="60">
        <v>233.82</v>
      </c>
      <c r="B286" s="60">
        <v>233.82</v>
      </c>
    </row>
    <row r="287" ht="22.5" customHeight="1">
      <c r="A287" s="60">
        <v>260.685</v>
      </c>
      <c r="B287" s="60">
        <v>260.685</v>
      </c>
    </row>
    <row r="288" ht="22.5" customHeight="1">
      <c r="A288" s="60">
        <v>123.28</v>
      </c>
      <c r="B288" s="60">
        <v>123.28</v>
      </c>
    </row>
    <row r="289" ht="22.5" customHeight="1">
      <c r="A289" s="60">
        <v>215.25</v>
      </c>
      <c r="B289" s="60">
        <v>215.25</v>
      </c>
    </row>
    <row r="290" ht="22.5" customHeight="1">
      <c r="A290" s="60">
        <v>260.09</v>
      </c>
      <c r="B290" s="60">
        <v>260.09</v>
      </c>
    </row>
    <row r="291" ht="22.5" customHeight="1">
      <c r="A291" s="60">
        <v>191.36</v>
      </c>
      <c r="B291" s="60">
        <v>191.36</v>
      </c>
    </row>
    <row r="292" ht="22.5" customHeight="1">
      <c r="A292" s="60">
        <v>356.15</v>
      </c>
      <c r="B292" s="60">
        <v>356.15</v>
      </c>
    </row>
    <row r="293" ht="22.5" customHeight="1">
      <c r="A293" s="60">
        <v>208.61</v>
      </c>
      <c r="B293" s="60">
        <v>208.61</v>
      </c>
    </row>
    <row r="294" ht="22.5" customHeight="1">
      <c r="A294" s="60">
        <v>147.37</v>
      </c>
      <c r="B294" s="60">
        <v>147.37</v>
      </c>
    </row>
    <row r="295" ht="22.5" customHeight="1">
      <c r="A295" s="60">
        <v>293.05</v>
      </c>
      <c r="B295" s="60">
        <v>293.05</v>
      </c>
    </row>
    <row r="296" ht="22.5" customHeight="1">
      <c r="A296" s="60">
        <v>211.88</v>
      </c>
      <c r="B296" s="60">
        <v>211.88</v>
      </c>
    </row>
    <row r="297" ht="22.5" customHeight="1">
      <c r="A297" s="60">
        <v>339.29</v>
      </c>
      <c r="B297" s="60">
        <v>339.29</v>
      </c>
    </row>
    <row r="298" ht="22.5" customHeight="1">
      <c r="A298" s="60">
        <v>174.99</v>
      </c>
      <c r="B298" s="60">
        <v>174.99</v>
      </c>
    </row>
    <row r="299" ht="22.5" customHeight="1">
      <c r="A299" s="60">
        <v>293.04</v>
      </c>
      <c r="B299" s="60">
        <v>293.04</v>
      </c>
    </row>
    <row r="300" ht="22.5" customHeight="1">
      <c r="A300" s="60">
        <v>207.81</v>
      </c>
      <c r="B300" s="60">
        <v>207.81</v>
      </c>
    </row>
    <row r="301" ht="22.5" customHeight="1">
      <c r="A301" s="60">
        <v>156.03</v>
      </c>
      <c r="B301" s="60">
        <v>156.03</v>
      </c>
    </row>
    <row r="302" ht="22.5" customHeight="1">
      <c r="A302" s="60">
        <v>168.02</v>
      </c>
      <c r="B302" s="60">
        <v>168.02</v>
      </c>
    </row>
    <row r="303" ht="22.5" customHeight="1">
      <c r="A303" s="60">
        <v>184.53</v>
      </c>
      <c r="B303" s="60">
        <v>184.53</v>
      </c>
    </row>
    <row r="304" ht="22.5" customHeight="1">
      <c r="A304" s="60">
        <v>181.88</v>
      </c>
      <c r="B304" s="60">
        <v>181.88</v>
      </c>
    </row>
    <row r="305" ht="22.5" customHeight="1">
      <c r="A305" s="60">
        <v>148.38</v>
      </c>
      <c r="B305" s="60">
        <v>148.38</v>
      </c>
    </row>
    <row r="306" ht="22.5" customHeight="1">
      <c r="A306" s="60">
        <v>159.935</v>
      </c>
      <c r="B306" s="60">
        <v>159.935</v>
      </c>
    </row>
    <row r="307" ht="22.5" customHeight="1">
      <c r="A307" s="60">
        <v>170.0</v>
      </c>
      <c r="B307" s="60">
        <v>170.0</v>
      </c>
    </row>
    <row r="308" ht="22.5" customHeight="1">
      <c r="A308" s="60">
        <v>163.94</v>
      </c>
      <c r="B308" s="60">
        <v>163.94</v>
      </c>
    </row>
    <row r="309" ht="22.5" customHeight="1">
      <c r="A309" s="60">
        <v>292.54</v>
      </c>
      <c r="B309" s="60">
        <v>292.54</v>
      </c>
    </row>
    <row r="310" ht="22.5" customHeight="1">
      <c r="A310" s="60">
        <v>220.085</v>
      </c>
      <c r="B310" s="60">
        <v>220.085</v>
      </c>
    </row>
    <row r="311" ht="22.5" customHeight="1">
      <c r="A311" s="60">
        <v>232.97</v>
      </c>
      <c r="B311" s="60">
        <v>232.97</v>
      </c>
    </row>
    <row r="312" ht="22.5" customHeight="1">
      <c r="A312" s="60">
        <v>189.3</v>
      </c>
      <c r="B312" s="60">
        <v>189.3</v>
      </c>
    </row>
    <row r="313" ht="22.5" customHeight="1">
      <c r="A313" s="60">
        <v>233.04</v>
      </c>
      <c r="B313" s="60">
        <v>233.04</v>
      </c>
    </row>
    <row r="314" ht="22.5" customHeight="1">
      <c r="A314" s="60">
        <v>207.82</v>
      </c>
      <c r="B314" s="60">
        <v>207.82</v>
      </c>
    </row>
    <row r="315" ht="22.5" customHeight="1">
      <c r="A315" s="60">
        <v>229.5</v>
      </c>
      <c r="B315" s="60">
        <v>229.5</v>
      </c>
    </row>
    <row r="316" ht="22.5" customHeight="1">
      <c r="A316" s="60">
        <v>237.44</v>
      </c>
      <c r="B316" s="60">
        <v>237.44</v>
      </c>
    </row>
    <row r="317" ht="22.5" customHeight="1">
      <c r="A317" s="60">
        <v>216.37</v>
      </c>
      <c r="B317" s="60">
        <v>216.37</v>
      </c>
    </row>
    <row r="318" ht="22.5" customHeight="1">
      <c r="A318" s="60">
        <v>227.3</v>
      </c>
      <c r="B318" s="60">
        <v>227.3</v>
      </c>
    </row>
    <row r="319" ht="22.5" customHeight="1">
      <c r="A319" s="60">
        <v>198.45</v>
      </c>
      <c r="B319" s="60">
        <v>198.45</v>
      </c>
    </row>
    <row r="320" ht="22.5" customHeight="1">
      <c r="A320" s="60">
        <v>159.46</v>
      </c>
      <c r="B320" s="60">
        <v>159.46</v>
      </c>
    </row>
    <row r="321" ht="22.5" customHeight="1">
      <c r="A321" s="60">
        <v>165.51</v>
      </c>
      <c r="B321" s="60">
        <v>165.51</v>
      </c>
    </row>
    <row r="322" ht="22.5" customHeight="1">
      <c r="A322" s="60">
        <v>174.17</v>
      </c>
      <c r="B322" s="60">
        <v>174.17</v>
      </c>
    </row>
    <row r="323" ht="22.5" customHeight="1">
      <c r="A323" s="60">
        <v>156.53</v>
      </c>
      <c r="B323" s="60">
        <v>156.53</v>
      </c>
    </row>
    <row r="324" ht="22.5" customHeight="1">
      <c r="A324" s="60">
        <v>233.14</v>
      </c>
      <c r="B324" s="60">
        <v>233.14</v>
      </c>
    </row>
    <row r="325" ht="22.5" customHeight="1">
      <c r="A325" s="60">
        <v>162.2</v>
      </c>
      <c r="B325" s="60">
        <v>162.2</v>
      </c>
    </row>
    <row r="326" ht="22.5" customHeight="1">
      <c r="A326" s="60">
        <v>173.77</v>
      </c>
      <c r="B326" s="60">
        <v>173.77</v>
      </c>
    </row>
    <row r="327" ht="22.5" customHeight="1">
      <c r="A327" s="60">
        <v>368.86</v>
      </c>
      <c r="B327" s="60">
        <v>368.86</v>
      </c>
    </row>
    <row r="328" ht="22.5" customHeight="1">
      <c r="A328" s="60">
        <v>188.295</v>
      </c>
      <c r="B328" s="60">
        <v>188.295</v>
      </c>
    </row>
    <row r="329" ht="22.5" customHeight="1">
      <c r="A329" s="60">
        <v>362.08</v>
      </c>
      <c r="B329" s="60">
        <v>362.08</v>
      </c>
    </row>
    <row r="330" ht="22.5" customHeight="1">
      <c r="A330" s="60">
        <v>224.95</v>
      </c>
      <c r="B330" s="60">
        <v>224.95</v>
      </c>
    </row>
    <row r="331" ht="22.5" customHeight="1">
      <c r="A331" s="60">
        <v>184.78</v>
      </c>
      <c r="B331" s="60">
        <v>184.78</v>
      </c>
    </row>
    <row r="332" ht="22.5" customHeight="1">
      <c r="A332" s="60">
        <v>246.41</v>
      </c>
      <c r="B332" s="60">
        <v>246.41</v>
      </c>
    </row>
    <row r="333" ht="22.5" customHeight="1">
      <c r="A333" s="60">
        <v>192.48</v>
      </c>
      <c r="B333" s="60">
        <v>192.48</v>
      </c>
    </row>
    <row r="334" ht="22.5" customHeight="1">
      <c r="A334" s="60">
        <v>235.05</v>
      </c>
      <c r="B334" s="60">
        <v>235.05</v>
      </c>
    </row>
    <row r="335" ht="22.5" customHeight="1">
      <c r="A335" s="60">
        <v>261.33</v>
      </c>
      <c r="B335" s="60">
        <v>261.33</v>
      </c>
    </row>
    <row r="336" ht="22.5" customHeight="1">
      <c r="A336" s="60">
        <v>241.22</v>
      </c>
      <c r="B336" s="60">
        <v>241.22</v>
      </c>
    </row>
    <row r="337" ht="22.5" customHeight="1">
      <c r="A337" s="60">
        <v>175.54</v>
      </c>
      <c r="B337" s="60">
        <v>175.54</v>
      </c>
    </row>
    <row r="338" ht="22.5" customHeight="1">
      <c r="A338" s="60">
        <v>261.41</v>
      </c>
      <c r="B338" s="60">
        <v>261.41</v>
      </c>
    </row>
    <row r="339" ht="22.5" customHeight="1">
      <c r="A339" s="60">
        <v>270.395</v>
      </c>
      <c r="B339" s="60">
        <v>270.395</v>
      </c>
    </row>
    <row r="340" ht="22.5" customHeight="1">
      <c r="A340" s="60">
        <v>367.15</v>
      </c>
      <c r="B340" s="60">
        <v>367.15</v>
      </c>
    </row>
    <row r="341" ht="22.5" customHeight="1">
      <c r="A341" s="60">
        <v>346.295</v>
      </c>
      <c r="B341" s="60">
        <v>346.295</v>
      </c>
    </row>
    <row r="342" ht="22.5" customHeight="1">
      <c r="A342" s="60">
        <v>328.41</v>
      </c>
      <c r="B342" s="60">
        <v>328.41</v>
      </c>
    </row>
    <row r="343" ht="22.5" customHeight="1">
      <c r="A343" s="60">
        <v>165.91</v>
      </c>
      <c r="B343" s="60">
        <v>165.91</v>
      </c>
    </row>
    <row r="344" ht="22.5" customHeight="1">
      <c r="A344" s="59"/>
      <c r="B344" s="59"/>
    </row>
    <row r="345" ht="22.5" customHeight="1">
      <c r="A345" s="60">
        <v>338.73</v>
      </c>
      <c r="B345" s="60">
        <v>338.73</v>
      </c>
    </row>
    <row r="346" ht="22.5" customHeight="1">
      <c r="A346" s="60">
        <v>188.095</v>
      </c>
      <c r="B346" s="60">
        <v>188.095</v>
      </c>
    </row>
    <row r="347" ht="22.5" customHeight="1">
      <c r="A347" s="60">
        <v>276.585</v>
      </c>
      <c r="B347" s="60">
        <v>276.585</v>
      </c>
    </row>
    <row r="348" ht="22.5" customHeight="1">
      <c r="A348" s="60">
        <v>210.575</v>
      </c>
      <c r="B348" s="60">
        <v>210.575</v>
      </c>
    </row>
    <row r="349" ht="22.5" customHeight="1">
      <c r="A349" s="60">
        <v>207.79</v>
      </c>
      <c r="B349" s="60">
        <v>207.79</v>
      </c>
    </row>
    <row r="350" ht="22.5" customHeight="1">
      <c r="A350" s="60">
        <v>235.91</v>
      </c>
      <c r="B350" s="60">
        <v>235.91</v>
      </c>
    </row>
    <row r="351" ht="22.5" customHeight="1">
      <c r="A351" s="60">
        <v>413.2</v>
      </c>
      <c r="B351" s="60">
        <v>413.2</v>
      </c>
    </row>
    <row r="352" ht="22.5" customHeight="1">
      <c r="A352" s="60">
        <v>238.98</v>
      </c>
      <c r="B352" s="60">
        <v>238.98</v>
      </c>
    </row>
    <row r="353" ht="22.5" customHeight="1">
      <c r="A353" s="60">
        <v>187.49</v>
      </c>
      <c r="B353" s="60">
        <v>187.49</v>
      </c>
    </row>
    <row r="354" ht="22.5" customHeight="1">
      <c r="A354" s="60">
        <v>208.82</v>
      </c>
      <c r="B354" s="60">
        <v>208.82</v>
      </c>
    </row>
    <row r="355" ht="22.5" customHeight="1">
      <c r="A355" s="60">
        <v>196.27</v>
      </c>
      <c r="B355" s="60">
        <v>196.27</v>
      </c>
    </row>
    <row r="356" ht="22.5" customHeight="1">
      <c r="A356" s="60">
        <v>379.61</v>
      </c>
      <c r="B356" s="60">
        <v>379.61</v>
      </c>
    </row>
    <row r="357" ht="22.5" customHeight="1">
      <c r="A357" s="60">
        <v>298.22</v>
      </c>
      <c r="B357" s="60">
        <v>298.22</v>
      </c>
    </row>
    <row r="358" ht="22.5" customHeight="1">
      <c r="A358" s="60">
        <v>336.29</v>
      </c>
      <c r="B358" s="60">
        <v>336.29</v>
      </c>
    </row>
    <row r="359" ht="22.5" customHeight="1">
      <c r="A359" s="60">
        <v>223.8</v>
      </c>
      <c r="B359" s="60">
        <v>223.8</v>
      </c>
    </row>
    <row r="360" ht="22.5" customHeight="1">
      <c r="A360" s="60">
        <v>181.8</v>
      </c>
      <c r="B360" s="60">
        <v>181.8</v>
      </c>
    </row>
    <row r="361" ht="22.5" customHeight="1">
      <c r="A361" s="60">
        <v>165.48</v>
      </c>
      <c r="B361" s="60">
        <v>165.48</v>
      </c>
    </row>
    <row r="362" ht="22.5" customHeight="1">
      <c r="A362" s="60">
        <v>200.03</v>
      </c>
      <c r="B362" s="60">
        <v>200.03</v>
      </c>
    </row>
    <row r="363" ht="22.5" customHeight="1">
      <c r="A363" s="60">
        <v>218.12</v>
      </c>
      <c r="B363" s="60">
        <v>218.12</v>
      </c>
    </row>
    <row r="364" ht="22.5" customHeight="1">
      <c r="A364" s="60">
        <v>220.07</v>
      </c>
      <c r="B364" s="60">
        <v>220.07</v>
      </c>
    </row>
    <row r="365" ht="22.5" customHeight="1">
      <c r="A365" s="60">
        <v>217.775</v>
      </c>
      <c r="B365" s="60">
        <v>217.775</v>
      </c>
    </row>
    <row r="366" ht="22.5" customHeight="1">
      <c r="A366" s="60">
        <v>214.38</v>
      </c>
      <c r="B366" s="60">
        <v>214.38</v>
      </c>
    </row>
    <row r="367" ht="22.5" customHeight="1">
      <c r="A367" s="60">
        <v>267.17</v>
      </c>
      <c r="B367" s="60">
        <v>267.17</v>
      </c>
    </row>
    <row r="368" ht="22.5" customHeight="1">
      <c r="A368" s="60">
        <v>252.23</v>
      </c>
      <c r="B368" s="60">
        <v>252.23</v>
      </c>
    </row>
    <row r="369" ht="22.5" customHeight="1">
      <c r="A369" s="60">
        <v>233.01</v>
      </c>
      <c r="B369" s="60">
        <v>233.01</v>
      </c>
    </row>
    <row r="370" ht="22.5" customHeight="1">
      <c r="A370" s="60">
        <v>224.37</v>
      </c>
      <c r="B370" s="60">
        <v>224.37</v>
      </c>
    </row>
    <row r="371" ht="22.5" customHeight="1">
      <c r="A371" s="60">
        <v>233.67</v>
      </c>
      <c r="B371" s="60">
        <v>233.67</v>
      </c>
    </row>
    <row r="372" ht="22.5" customHeight="1">
      <c r="A372" s="60">
        <v>156.01</v>
      </c>
      <c r="B372" s="60">
        <v>156.01</v>
      </c>
    </row>
    <row r="373" ht="22.5" customHeight="1">
      <c r="A373" s="60">
        <v>293.03</v>
      </c>
      <c r="B373" s="60">
        <v>293.03</v>
      </c>
    </row>
    <row r="374" ht="22.5" customHeight="1">
      <c r="A374" s="60">
        <v>262.74</v>
      </c>
      <c r="B374" s="60">
        <v>262.74</v>
      </c>
    </row>
    <row r="375" ht="22.5" customHeight="1">
      <c r="A375" s="60">
        <v>232.135</v>
      </c>
      <c r="B375" s="60">
        <v>232.135</v>
      </c>
    </row>
    <row r="376" ht="22.5" customHeight="1">
      <c r="A376" s="60">
        <v>211.35</v>
      </c>
      <c r="B376" s="60">
        <v>211.35</v>
      </c>
    </row>
    <row r="377" ht="22.5" customHeight="1">
      <c r="A377" s="60">
        <v>328.57</v>
      </c>
      <c r="B377" s="60">
        <v>328.57</v>
      </c>
    </row>
    <row r="378" ht="22.5" customHeight="1">
      <c r="A378" s="60">
        <v>229.23</v>
      </c>
      <c r="B378" s="60">
        <v>229.23</v>
      </c>
    </row>
    <row r="379" ht="22.5" customHeight="1">
      <c r="A379" s="60">
        <v>354.64</v>
      </c>
      <c r="B379" s="60">
        <v>354.64</v>
      </c>
    </row>
    <row r="380" ht="22.5" customHeight="1">
      <c r="A380" s="60">
        <v>141.87</v>
      </c>
      <c r="B380" s="60">
        <v>141.87</v>
      </c>
    </row>
    <row r="381" ht="22.5" customHeight="1">
      <c r="A381" s="60">
        <v>196.24</v>
      </c>
      <c r="B381" s="60">
        <v>196.24</v>
      </c>
    </row>
    <row r="382" ht="22.5" customHeight="1">
      <c r="A382" s="60">
        <v>156.28</v>
      </c>
      <c r="B382" s="60">
        <v>156.28</v>
      </c>
    </row>
    <row r="383" ht="22.5" customHeight="1">
      <c r="A383" s="60">
        <v>242.03</v>
      </c>
      <c r="B383" s="60">
        <v>242.03</v>
      </c>
    </row>
    <row r="384" ht="22.5" customHeight="1">
      <c r="A384" s="60">
        <v>190.06</v>
      </c>
      <c r="B384" s="60">
        <v>190.06</v>
      </c>
    </row>
    <row r="385" ht="22.5" customHeight="1">
      <c r="A385" s="60">
        <v>221.16</v>
      </c>
      <c r="B385" s="60">
        <v>221.16</v>
      </c>
    </row>
    <row r="386" ht="22.5" customHeight="1">
      <c r="A386" s="60">
        <v>215.88</v>
      </c>
      <c r="B386" s="60">
        <v>215.88</v>
      </c>
    </row>
    <row r="387" ht="22.5" customHeight="1">
      <c r="A387" s="60">
        <v>213.87</v>
      </c>
      <c r="B387" s="60">
        <v>213.87</v>
      </c>
    </row>
    <row r="388" ht="22.5" customHeight="1">
      <c r="A388" s="59"/>
      <c r="B388" s="59"/>
    </row>
    <row r="389" ht="22.5" customHeight="1">
      <c r="A389" s="60">
        <v>131.19</v>
      </c>
      <c r="B389" s="60">
        <v>131.19</v>
      </c>
    </row>
    <row r="390" ht="22.5" customHeight="1">
      <c r="A390" s="60">
        <v>199.99</v>
      </c>
      <c r="B390" s="60">
        <v>199.99</v>
      </c>
    </row>
    <row r="391" ht="22.5" customHeight="1">
      <c r="A391" s="60">
        <v>131.3</v>
      </c>
      <c r="B391" s="60">
        <v>131.3</v>
      </c>
    </row>
    <row r="392" ht="22.5" customHeight="1">
      <c r="A392" s="60">
        <v>147.38</v>
      </c>
      <c r="B392" s="60">
        <v>147.38</v>
      </c>
    </row>
    <row r="393" ht="22.5" customHeight="1">
      <c r="A393" s="60">
        <v>194.8</v>
      </c>
      <c r="B393" s="60">
        <v>194.8</v>
      </c>
    </row>
    <row r="394" ht="22.5" customHeight="1">
      <c r="A394" s="60">
        <v>185.28</v>
      </c>
      <c r="B394" s="60">
        <v>185.28</v>
      </c>
    </row>
    <row r="395" ht="22.5" customHeight="1">
      <c r="A395" s="60">
        <v>147.37</v>
      </c>
      <c r="B395" s="60">
        <v>147.37</v>
      </c>
    </row>
    <row r="396" ht="22.5" customHeight="1">
      <c r="A396" s="60">
        <v>181.7</v>
      </c>
      <c r="B396" s="60">
        <v>181.7</v>
      </c>
    </row>
    <row r="397" ht="22.5" customHeight="1">
      <c r="A397" s="60">
        <v>155.9</v>
      </c>
      <c r="B397" s="60">
        <v>155.9</v>
      </c>
    </row>
    <row r="398" ht="22.5" customHeight="1">
      <c r="A398" s="60">
        <v>200.44</v>
      </c>
      <c r="B398" s="60">
        <v>200.44</v>
      </c>
    </row>
    <row r="399" ht="22.5" customHeight="1">
      <c r="A399" s="60">
        <v>185.32</v>
      </c>
      <c r="B399" s="60">
        <v>185.32</v>
      </c>
    </row>
    <row r="400" ht="22.5" customHeight="1">
      <c r="A400" s="60">
        <v>184.56</v>
      </c>
      <c r="B400" s="60">
        <v>184.56</v>
      </c>
    </row>
    <row r="401" ht="22.5" customHeight="1">
      <c r="A401" s="60">
        <v>207.8</v>
      </c>
      <c r="B401" s="60">
        <v>207.8</v>
      </c>
    </row>
    <row r="402" ht="22.5" customHeight="1">
      <c r="A402" s="60">
        <v>155.62</v>
      </c>
      <c r="B402" s="60">
        <v>155.62</v>
      </c>
    </row>
    <row r="403" ht="22.5" customHeight="1">
      <c r="A403" s="60">
        <v>172.58</v>
      </c>
      <c r="B403" s="60">
        <v>172.58</v>
      </c>
    </row>
    <row r="404" ht="22.5" customHeight="1">
      <c r="A404" s="60">
        <v>232.1</v>
      </c>
      <c r="B404" s="60">
        <v>232.1</v>
      </c>
    </row>
    <row r="405" ht="22.5" customHeight="1">
      <c r="A405" s="60">
        <v>255.445</v>
      </c>
      <c r="B405" s="60">
        <v>255.445</v>
      </c>
    </row>
    <row r="406" ht="22.5" customHeight="1">
      <c r="A406" s="60">
        <v>335.12</v>
      </c>
      <c r="B406" s="60">
        <v>335.12</v>
      </c>
    </row>
    <row r="407" ht="22.5" customHeight="1">
      <c r="A407" s="60">
        <v>293.03</v>
      </c>
      <c r="B407" s="60">
        <v>293.03</v>
      </c>
    </row>
    <row r="408" ht="22.5" customHeight="1">
      <c r="A408" s="60">
        <v>235.835</v>
      </c>
      <c r="B408" s="60">
        <v>235.835</v>
      </c>
    </row>
    <row r="409" ht="22.5" customHeight="1">
      <c r="A409" s="60">
        <v>156.5</v>
      </c>
      <c r="B409" s="60">
        <v>156.5</v>
      </c>
    </row>
    <row r="410" ht="22.5" customHeight="1">
      <c r="A410" s="60">
        <v>243.14</v>
      </c>
      <c r="B410" s="60">
        <v>243.14</v>
      </c>
    </row>
    <row r="411" ht="22.5" customHeight="1">
      <c r="A411" s="60">
        <v>235.29</v>
      </c>
      <c r="B411" s="60">
        <v>235.29</v>
      </c>
    </row>
    <row r="412" ht="22.5" customHeight="1">
      <c r="A412" s="60">
        <v>218.4</v>
      </c>
      <c r="B412" s="60">
        <v>218.4</v>
      </c>
    </row>
    <row r="413" ht="22.5" customHeight="1">
      <c r="A413" s="60">
        <v>212.04</v>
      </c>
      <c r="B413" s="60">
        <v>212.04</v>
      </c>
    </row>
    <row r="414" ht="22.5" customHeight="1">
      <c r="A414" s="60">
        <v>188.96</v>
      </c>
      <c r="B414" s="60">
        <v>188.96</v>
      </c>
    </row>
    <row r="415" ht="22.5" customHeight="1">
      <c r="A415" s="60">
        <v>225.165</v>
      </c>
      <c r="B415" s="60">
        <v>225.165</v>
      </c>
    </row>
    <row r="416" ht="22.5" customHeight="1">
      <c r="A416" s="60">
        <v>196.215</v>
      </c>
      <c r="B416" s="60">
        <v>196.215</v>
      </c>
    </row>
    <row r="417" ht="22.5" customHeight="1">
      <c r="A417" s="60">
        <v>202.915</v>
      </c>
      <c r="B417" s="60">
        <v>202.915</v>
      </c>
    </row>
    <row r="418" ht="22.5" customHeight="1">
      <c r="A418" s="60">
        <v>203.88</v>
      </c>
      <c r="B418" s="60">
        <v>203.88</v>
      </c>
    </row>
    <row r="419" ht="22.5" customHeight="1">
      <c r="A419" s="60">
        <v>265.945</v>
      </c>
      <c r="B419" s="60">
        <v>265.945</v>
      </c>
    </row>
    <row r="420" ht="22.5" customHeight="1">
      <c r="A420" s="60">
        <v>198.1</v>
      </c>
      <c r="B420" s="60">
        <v>198.1</v>
      </c>
    </row>
    <row r="421" ht="22.5" customHeight="1">
      <c r="A421" s="60">
        <v>193.33</v>
      </c>
      <c r="B421" s="60">
        <v>193.33</v>
      </c>
    </row>
    <row r="422" ht="22.5" customHeight="1">
      <c r="A422" s="60">
        <v>191.69</v>
      </c>
      <c r="B422" s="60">
        <v>191.69</v>
      </c>
    </row>
    <row r="423" ht="22.5" customHeight="1">
      <c r="A423" s="60">
        <v>345.09</v>
      </c>
      <c r="B423" s="60">
        <v>345.09</v>
      </c>
    </row>
    <row r="424" ht="22.5" customHeight="1">
      <c r="A424" s="60">
        <v>246.86</v>
      </c>
      <c r="B424" s="60">
        <v>246.86</v>
      </c>
    </row>
    <row r="425" ht="22.5" customHeight="1">
      <c r="A425" s="60">
        <v>251.55</v>
      </c>
      <c r="B425" s="60">
        <v>251.55</v>
      </c>
    </row>
    <row r="426" ht="22.5" customHeight="1">
      <c r="A426" s="60">
        <v>179.82</v>
      </c>
      <c r="B426" s="60">
        <v>179.82</v>
      </c>
    </row>
    <row r="427" ht="22.5" customHeight="1">
      <c r="A427" s="60">
        <v>197.3</v>
      </c>
      <c r="B427" s="60">
        <v>197.3</v>
      </c>
    </row>
    <row r="428" ht="22.5" customHeight="1">
      <c r="A428" s="60">
        <v>233.9</v>
      </c>
      <c r="B428" s="60">
        <v>233.9</v>
      </c>
    </row>
    <row r="429" ht="22.5" customHeight="1">
      <c r="A429" s="60">
        <v>247.545</v>
      </c>
      <c r="B429" s="60">
        <v>247.545</v>
      </c>
    </row>
    <row r="430" ht="22.5" customHeight="1">
      <c r="A430" s="60">
        <v>185.36</v>
      </c>
      <c r="B430" s="60">
        <v>185.36</v>
      </c>
    </row>
    <row r="431" ht="22.5" customHeight="1">
      <c r="A431" s="60">
        <v>327.19</v>
      </c>
      <c r="B431" s="60">
        <v>327.19</v>
      </c>
    </row>
    <row r="432" ht="22.5" customHeight="1">
      <c r="A432" s="60">
        <v>262.48</v>
      </c>
      <c r="B432" s="60">
        <v>262.48</v>
      </c>
    </row>
    <row r="433" ht="22.5" customHeight="1">
      <c r="A433" s="60">
        <v>182.85</v>
      </c>
      <c r="B433" s="60">
        <v>182.85</v>
      </c>
    </row>
    <row r="434" ht="22.5" customHeight="1">
      <c r="A434" s="60">
        <v>176.16</v>
      </c>
      <c r="B434" s="60">
        <v>176.16</v>
      </c>
    </row>
    <row r="435" ht="22.5" customHeight="1">
      <c r="A435" s="60">
        <v>217.03</v>
      </c>
      <c r="B435" s="60">
        <v>217.03</v>
      </c>
    </row>
    <row r="436" ht="22.5" customHeight="1">
      <c r="A436" s="60">
        <v>216.92</v>
      </c>
      <c r="B436" s="60">
        <v>216.92</v>
      </c>
    </row>
    <row r="437" ht="22.5" customHeight="1">
      <c r="A437" s="60">
        <v>202.73</v>
      </c>
      <c r="B437" s="60">
        <v>202.73</v>
      </c>
    </row>
    <row r="438" ht="22.5" customHeight="1">
      <c r="A438" s="60">
        <v>182.79</v>
      </c>
      <c r="B438" s="60">
        <v>182.79</v>
      </c>
    </row>
    <row r="439" ht="22.5" customHeight="1">
      <c r="A439" s="60">
        <v>228.33</v>
      </c>
      <c r="B439" s="60">
        <v>228.33</v>
      </c>
    </row>
    <row r="440" ht="22.5" customHeight="1">
      <c r="A440" s="60">
        <v>204.885</v>
      </c>
      <c r="B440" s="60">
        <v>204.885</v>
      </c>
    </row>
    <row r="441" ht="22.5" customHeight="1">
      <c r="A441" s="60">
        <v>207.835</v>
      </c>
      <c r="B441" s="60">
        <v>207.835</v>
      </c>
    </row>
    <row r="442" ht="22.5" customHeight="1">
      <c r="A442" s="60">
        <v>188.9</v>
      </c>
      <c r="B442" s="60">
        <v>188.9</v>
      </c>
    </row>
    <row r="443" ht="22.5" customHeight="1">
      <c r="A443" s="60">
        <v>196.22</v>
      </c>
      <c r="B443" s="60">
        <v>196.22</v>
      </c>
    </row>
    <row r="444" ht="22.5" customHeight="1">
      <c r="A444" s="60">
        <v>180.645</v>
      </c>
      <c r="B444" s="60">
        <v>180.645</v>
      </c>
    </row>
    <row r="445" ht="22.5" customHeight="1">
      <c r="A445" s="60">
        <v>200.2</v>
      </c>
      <c r="B445" s="60">
        <v>200.2</v>
      </c>
    </row>
    <row r="446" ht="22.5" customHeight="1">
      <c r="A446" s="60">
        <v>192.91</v>
      </c>
      <c r="B446" s="60">
        <v>192.91</v>
      </c>
    </row>
    <row r="447" ht="22.5" customHeight="1">
      <c r="A447" s="60">
        <v>171.86</v>
      </c>
      <c r="B447" s="60">
        <v>171.86</v>
      </c>
    </row>
    <row r="448" ht="22.5" customHeight="1">
      <c r="A448" s="60">
        <v>211.36</v>
      </c>
      <c r="B448" s="60">
        <v>211.36</v>
      </c>
    </row>
    <row r="449" ht="22.5" customHeight="1">
      <c r="A449" s="60">
        <v>196.04</v>
      </c>
      <c r="B449" s="60">
        <v>196.04</v>
      </c>
    </row>
    <row r="450" ht="22.5" customHeight="1">
      <c r="A450" s="60">
        <v>226.555</v>
      </c>
      <c r="B450" s="60">
        <v>226.555</v>
      </c>
    </row>
    <row r="451" ht="22.5" customHeight="1">
      <c r="A451" s="60">
        <v>176.52</v>
      </c>
      <c r="B451" s="60">
        <v>176.52</v>
      </c>
    </row>
    <row r="452" ht="22.5" customHeight="1">
      <c r="A452" s="60">
        <v>207.115</v>
      </c>
      <c r="B452" s="60">
        <v>207.115</v>
      </c>
    </row>
    <row r="453" ht="22.5" customHeight="1">
      <c r="A453" s="60">
        <v>231.77</v>
      </c>
      <c r="B453" s="60">
        <v>231.77</v>
      </c>
    </row>
    <row r="454" ht="22.5" customHeight="1">
      <c r="A454" s="60">
        <v>168.85</v>
      </c>
      <c r="B454" s="60">
        <v>168.85</v>
      </c>
    </row>
    <row r="455" ht="22.5" customHeight="1">
      <c r="A455" s="60">
        <v>211.4</v>
      </c>
      <c r="B455" s="60">
        <v>211.4</v>
      </c>
    </row>
    <row r="456" ht="22.5" customHeight="1">
      <c r="A456" s="60">
        <v>203.88</v>
      </c>
      <c r="B456" s="60">
        <v>203.88</v>
      </c>
    </row>
    <row r="457" ht="22.5" customHeight="1">
      <c r="A457" s="60">
        <v>204.58</v>
      </c>
      <c r="B457" s="60">
        <v>204.58</v>
      </c>
    </row>
    <row r="458" ht="22.5" customHeight="1">
      <c r="A458" s="60">
        <v>216.02</v>
      </c>
      <c r="B458" s="60">
        <v>216.02</v>
      </c>
    </row>
    <row r="459" ht="22.5" customHeight="1">
      <c r="A459" s="60">
        <v>232.83</v>
      </c>
      <c r="B459" s="60">
        <v>232.83</v>
      </c>
    </row>
    <row r="460" ht="22.5" customHeight="1">
      <c r="A460" s="60">
        <v>369.08</v>
      </c>
      <c r="B460" s="60">
        <v>369.08</v>
      </c>
    </row>
    <row r="461" ht="22.5" customHeight="1">
      <c r="A461" s="60">
        <v>174.97</v>
      </c>
      <c r="B461" s="60">
        <v>174.97</v>
      </c>
    </row>
    <row r="462" ht="22.5" customHeight="1">
      <c r="A462" s="60">
        <v>210.22</v>
      </c>
      <c r="B462" s="60">
        <v>210.22</v>
      </c>
    </row>
    <row r="463" ht="22.5" customHeight="1">
      <c r="A463" s="60">
        <v>162.13</v>
      </c>
      <c r="B463" s="60">
        <v>162.13</v>
      </c>
    </row>
    <row r="464" ht="22.5" customHeight="1">
      <c r="A464" s="60">
        <v>235.13</v>
      </c>
      <c r="B464" s="60">
        <v>235.13</v>
      </c>
    </row>
    <row r="465" ht="22.5" customHeight="1">
      <c r="A465" s="60">
        <v>240.87</v>
      </c>
      <c r="B465" s="60">
        <v>240.87</v>
      </c>
    </row>
    <row r="466" ht="22.5" customHeight="1">
      <c r="A466" s="60">
        <v>215.94</v>
      </c>
      <c r="B466" s="60">
        <v>215.94</v>
      </c>
    </row>
    <row r="467" ht="22.5" customHeight="1">
      <c r="A467" s="60">
        <v>182.86</v>
      </c>
      <c r="B467" s="60">
        <v>182.86</v>
      </c>
    </row>
    <row r="468" ht="22.5" customHeight="1">
      <c r="A468" s="60">
        <v>264.345</v>
      </c>
      <c r="B468" s="60">
        <v>264.345</v>
      </c>
    </row>
    <row r="469" ht="22.5" customHeight="1">
      <c r="A469" s="60">
        <v>180.36</v>
      </c>
      <c r="B469" s="60">
        <v>180.36</v>
      </c>
    </row>
    <row r="470" ht="22.5" customHeight="1">
      <c r="A470" s="60">
        <v>175.01</v>
      </c>
      <c r="B470" s="60">
        <v>175.01</v>
      </c>
    </row>
    <row r="471" ht="22.5" customHeight="1">
      <c r="A471" s="60">
        <v>178.71</v>
      </c>
      <c r="B471" s="60">
        <v>178.71</v>
      </c>
    </row>
    <row r="472" ht="22.5" customHeight="1">
      <c r="A472" s="60">
        <v>156.74</v>
      </c>
      <c r="B472" s="60">
        <v>156.74</v>
      </c>
    </row>
    <row r="473" ht="22.5" customHeight="1">
      <c r="A473" s="60">
        <v>156.06</v>
      </c>
      <c r="B473" s="60">
        <v>156.06</v>
      </c>
    </row>
    <row r="474" ht="22.5" customHeight="1">
      <c r="A474" s="60">
        <v>175.0</v>
      </c>
      <c r="B474" s="60">
        <v>175.0</v>
      </c>
    </row>
    <row r="475" ht="22.5" customHeight="1">
      <c r="A475" s="60">
        <v>199.05</v>
      </c>
      <c r="B475" s="60">
        <v>199.05</v>
      </c>
    </row>
    <row r="476" ht="22.5" customHeight="1">
      <c r="A476" s="60">
        <v>178.38</v>
      </c>
      <c r="B476" s="60">
        <v>178.38</v>
      </c>
    </row>
    <row r="477" ht="22.5" customHeight="1">
      <c r="A477" s="60">
        <v>174.75</v>
      </c>
      <c r="B477" s="60">
        <v>174.75</v>
      </c>
    </row>
    <row r="478" ht="22.5" customHeight="1">
      <c r="A478" s="60">
        <v>368.55</v>
      </c>
      <c r="B478" s="60">
        <v>368.55</v>
      </c>
    </row>
    <row r="479" ht="22.5" customHeight="1">
      <c r="A479" s="60">
        <v>272.84</v>
      </c>
      <c r="B479" s="60">
        <v>272.84</v>
      </c>
    </row>
    <row r="480" ht="22.5" customHeight="1">
      <c r="A480" s="60">
        <v>254.66</v>
      </c>
      <c r="B480" s="60">
        <v>254.66</v>
      </c>
    </row>
    <row r="481" ht="22.5" customHeight="1">
      <c r="A481" s="60">
        <v>381.59</v>
      </c>
      <c r="B481" s="60">
        <v>381.59</v>
      </c>
    </row>
    <row r="482" ht="22.5" customHeight="1">
      <c r="A482" s="60">
        <v>147.38</v>
      </c>
      <c r="B482" s="60">
        <v>147.38</v>
      </c>
    </row>
    <row r="483" ht="22.5" customHeight="1">
      <c r="A483" s="60">
        <v>217.74</v>
      </c>
      <c r="B483" s="60">
        <v>217.74</v>
      </c>
    </row>
    <row r="484" ht="22.5" customHeight="1">
      <c r="A484" s="60">
        <v>200.0</v>
      </c>
      <c r="B484" s="60">
        <v>200.0</v>
      </c>
    </row>
    <row r="485" ht="22.5" customHeight="1">
      <c r="A485" s="60">
        <v>204.02</v>
      </c>
      <c r="B485" s="60">
        <v>204.02</v>
      </c>
    </row>
    <row r="486" ht="22.5" customHeight="1">
      <c r="A486" s="60">
        <v>167.69</v>
      </c>
      <c r="B486" s="60">
        <v>167.69</v>
      </c>
    </row>
    <row r="487" ht="22.5" customHeight="1">
      <c r="A487" s="60">
        <v>238.38</v>
      </c>
      <c r="B487" s="60">
        <v>238.38</v>
      </c>
    </row>
    <row r="488" ht="22.5" customHeight="1">
      <c r="A488" s="60">
        <v>171.25</v>
      </c>
      <c r="B488" s="60">
        <v>171.25</v>
      </c>
    </row>
    <row r="489" ht="22.5" customHeight="1">
      <c r="A489" s="60">
        <v>188.71</v>
      </c>
      <c r="B489" s="60">
        <v>188.71</v>
      </c>
    </row>
    <row r="490" ht="22.5" customHeight="1">
      <c r="A490" s="60">
        <v>228.61</v>
      </c>
      <c r="B490" s="60">
        <v>228.61</v>
      </c>
    </row>
    <row r="491" ht="22.5" customHeight="1">
      <c r="A491" s="60">
        <v>316.535</v>
      </c>
      <c r="B491" s="60">
        <v>316.535</v>
      </c>
    </row>
    <row r="492" ht="22.5" customHeight="1">
      <c r="A492" s="60">
        <v>140.89</v>
      </c>
      <c r="B492" s="60">
        <v>140.89</v>
      </c>
    </row>
    <row r="493" ht="22.5" customHeight="1">
      <c r="A493" s="60">
        <v>246.82</v>
      </c>
      <c r="B493" s="60">
        <v>246.82</v>
      </c>
    </row>
    <row r="494" ht="22.5" customHeight="1">
      <c r="A494" s="60">
        <v>141.275</v>
      </c>
      <c r="B494" s="60">
        <v>141.275</v>
      </c>
    </row>
    <row r="495" ht="22.5" customHeight="1">
      <c r="A495" s="60">
        <v>139.86</v>
      </c>
      <c r="B495" s="60">
        <v>139.86</v>
      </c>
    </row>
    <row r="496" ht="22.5" customHeight="1">
      <c r="A496" s="60">
        <v>220.14</v>
      </c>
      <c r="B496" s="60">
        <v>220.14</v>
      </c>
    </row>
    <row r="497" ht="22.5" customHeight="1">
      <c r="A497" s="60">
        <v>321.45</v>
      </c>
      <c r="B497" s="60">
        <v>321.45</v>
      </c>
    </row>
    <row r="498" ht="22.5" customHeight="1">
      <c r="A498" s="60">
        <v>256.38</v>
      </c>
      <c r="B498" s="60">
        <v>256.38</v>
      </c>
    </row>
    <row r="499" ht="22.5" customHeight="1">
      <c r="A499" s="60">
        <v>276.72</v>
      </c>
      <c r="B499" s="60">
        <v>276.72</v>
      </c>
    </row>
    <row r="500" ht="22.5" customHeight="1">
      <c r="A500" s="60">
        <v>194.44</v>
      </c>
      <c r="B500" s="60">
        <v>194.44</v>
      </c>
    </row>
    <row r="501" ht="22.5" customHeight="1">
      <c r="A501" s="60">
        <v>198.805</v>
      </c>
      <c r="B501" s="60">
        <v>198.805</v>
      </c>
    </row>
    <row r="502" ht="22.5" customHeight="1">
      <c r="A502" s="60">
        <v>142.615</v>
      </c>
      <c r="B502" s="60">
        <v>142.615</v>
      </c>
    </row>
    <row r="503" ht="22.5" customHeight="1">
      <c r="A503" s="60">
        <v>157.48</v>
      </c>
      <c r="B503" s="60">
        <v>157.48</v>
      </c>
    </row>
    <row r="504" ht="22.5" customHeight="1">
      <c r="A504" s="60">
        <v>141.84</v>
      </c>
      <c r="B504" s="60">
        <v>141.84</v>
      </c>
    </row>
    <row r="505" ht="22.5" customHeight="1">
      <c r="A505" s="60">
        <v>224.43</v>
      </c>
      <c r="B505" s="60">
        <v>224.43</v>
      </c>
    </row>
    <row r="506" ht="22.5" customHeight="1">
      <c r="A506" s="60">
        <v>147.26</v>
      </c>
      <c r="B506" s="60">
        <v>147.26</v>
      </c>
    </row>
    <row r="507" ht="22.5" customHeight="1">
      <c r="A507" s="60">
        <v>209.42</v>
      </c>
      <c r="B507" s="60">
        <v>209.42</v>
      </c>
    </row>
    <row r="508" ht="22.5" customHeight="1">
      <c r="A508" s="60">
        <v>413.21</v>
      </c>
      <c r="B508" s="60">
        <v>413.21</v>
      </c>
    </row>
    <row r="509" ht="22.5" customHeight="1">
      <c r="A509" s="60">
        <v>327.675</v>
      </c>
      <c r="B509" s="60">
        <v>327.675</v>
      </c>
    </row>
    <row r="510" ht="22.5" customHeight="1">
      <c r="A510" s="60">
        <v>445.115</v>
      </c>
      <c r="B510" s="60">
        <v>445.115</v>
      </c>
    </row>
    <row r="511" ht="22.5" customHeight="1">
      <c r="A511" s="60">
        <v>412.51</v>
      </c>
      <c r="B511" s="60">
        <v>412.51</v>
      </c>
    </row>
    <row r="512" ht="22.5" customHeight="1">
      <c r="A512" s="60">
        <v>261.51</v>
      </c>
      <c r="B512" s="60">
        <v>261.51</v>
      </c>
    </row>
    <row r="513" ht="22.5" customHeight="1">
      <c r="A513" s="60">
        <v>412.88</v>
      </c>
      <c r="B513" s="60">
        <v>412.88</v>
      </c>
    </row>
    <row r="514" ht="22.5" customHeight="1">
      <c r="A514" s="60">
        <v>347.97</v>
      </c>
      <c r="B514" s="60">
        <v>347.97</v>
      </c>
    </row>
    <row r="515" ht="22.5" customHeight="1">
      <c r="A515" s="60">
        <v>219.44</v>
      </c>
      <c r="B515" s="60">
        <v>219.44</v>
      </c>
    </row>
    <row r="516" ht="22.5" customHeight="1">
      <c r="A516" s="60">
        <v>171.72</v>
      </c>
      <c r="B516" s="60">
        <v>171.72</v>
      </c>
    </row>
    <row r="517" ht="22.5" customHeight="1">
      <c r="A517" s="60">
        <v>413.2</v>
      </c>
      <c r="B517" s="60">
        <v>413.2</v>
      </c>
    </row>
    <row r="518" ht="22.5" customHeight="1">
      <c r="A518" s="60">
        <v>178.29</v>
      </c>
      <c r="B518" s="60">
        <v>178.29</v>
      </c>
    </row>
    <row r="519" ht="22.5" customHeight="1">
      <c r="A519" s="60">
        <v>200.02</v>
      </c>
      <c r="B519" s="60">
        <v>200.02</v>
      </c>
    </row>
    <row r="520" ht="22.5" customHeight="1">
      <c r="A520" s="60">
        <v>175.0</v>
      </c>
      <c r="B520" s="60">
        <v>175.0</v>
      </c>
    </row>
    <row r="521" ht="22.5" customHeight="1">
      <c r="A521" s="60">
        <v>293.06</v>
      </c>
      <c r="B521" s="60">
        <v>293.06</v>
      </c>
    </row>
    <row r="522" ht="22.5" customHeight="1">
      <c r="A522" s="60">
        <v>156.15</v>
      </c>
      <c r="B522" s="60">
        <v>156.15</v>
      </c>
    </row>
    <row r="523" ht="22.5" customHeight="1">
      <c r="A523" s="60">
        <v>160.96</v>
      </c>
      <c r="B523" s="60">
        <v>160.96</v>
      </c>
    </row>
    <row r="524" ht="22.5" customHeight="1">
      <c r="A524" s="60">
        <v>328.38</v>
      </c>
      <c r="B524" s="60">
        <v>328.38</v>
      </c>
    </row>
    <row r="525" ht="22.5" customHeight="1">
      <c r="A525" s="60">
        <v>185.32</v>
      </c>
      <c r="B525" s="60">
        <v>185.32</v>
      </c>
    </row>
    <row r="526" ht="22.5" customHeight="1">
      <c r="A526" s="60">
        <v>156.05</v>
      </c>
      <c r="B526" s="60">
        <v>156.05</v>
      </c>
    </row>
    <row r="527" ht="22.5" customHeight="1">
      <c r="A527" s="60">
        <v>175.93</v>
      </c>
      <c r="B527" s="60">
        <v>175.93</v>
      </c>
    </row>
    <row r="528" ht="22.5" customHeight="1">
      <c r="A528" s="60">
        <v>139.17</v>
      </c>
      <c r="B528" s="60">
        <v>139.17</v>
      </c>
    </row>
    <row r="529" ht="22.5" customHeight="1">
      <c r="A529" s="60">
        <v>152.97</v>
      </c>
      <c r="B529" s="60">
        <v>152.97</v>
      </c>
    </row>
    <row r="530" ht="22.5" customHeight="1">
      <c r="A530" s="60">
        <v>160.91</v>
      </c>
      <c r="B530" s="60">
        <v>160.91</v>
      </c>
    </row>
    <row r="531" ht="22.5" customHeight="1">
      <c r="A531" s="60">
        <v>276.525</v>
      </c>
      <c r="B531" s="60">
        <v>276.525</v>
      </c>
    </row>
    <row r="532" ht="22.5" customHeight="1">
      <c r="A532" s="60">
        <v>158.52</v>
      </c>
      <c r="B532" s="60">
        <v>158.52</v>
      </c>
    </row>
    <row r="533" ht="22.5" customHeight="1">
      <c r="A533" s="60">
        <v>260.475</v>
      </c>
      <c r="B533" s="60">
        <v>260.475</v>
      </c>
    </row>
    <row r="534" ht="22.5" customHeight="1">
      <c r="A534" s="60">
        <v>266.72</v>
      </c>
      <c r="B534" s="60">
        <v>266.72</v>
      </c>
    </row>
    <row r="535" ht="22.5" customHeight="1">
      <c r="A535" s="60">
        <v>281.56</v>
      </c>
      <c r="B535" s="60">
        <v>281.56</v>
      </c>
    </row>
    <row r="536" ht="22.5" customHeight="1">
      <c r="A536" s="60">
        <v>261.33</v>
      </c>
      <c r="B536" s="60">
        <v>261.33</v>
      </c>
    </row>
    <row r="537" ht="22.5" customHeight="1">
      <c r="A537" s="60">
        <v>154.575</v>
      </c>
      <c r="B537" s="60">
        <v>154.575</v>
      </c>
    </row>
    <row r="538" ht="22.5" customHeight="1">
      <c r="A538" s="60">
        <v>261.465</v>
      </c>
      <c r="B538" s="60">
        <v>261.465</v>
      </c>
    </row>
    <row r="539" ht="22.5" customHeight="1">
      <c r="A539" s="60">
        <v>139.17</v>
      </c>
      <c r="B539" s="60">
        <v>139.17</v>
      </c>
    </row>
    <row r="540" ht="22.5" customHeight="1">
      <c r="A540" s="60">
        <v>216.77</v>
      </c>
      <c r="B540" s="60">
        <v>216.77</v>
      </c>
    </row>
    <row r="541" ht="22.5" customHeight="1">
      <c r="A541" s="60">
        <v>233.03</v>
      </c>
      <c r="B541" s="60">
        <v>233.03</v>
      </c>
    </row>
    <row r="542" ht="22.5" customHeight="1">
      <c r="A542" s="60">
        <v>165.24</v>
      </c>
      <c r="B542" s="60">
        <v>165.24</v>
      </c>
    </row>
    <row r="543" ht="22.5" customHeight="1">
      <c r="A543" s="60">
        <v>233.02</v>
      </c>
      <c r="B543" s="60">
        <v>233.02</v>
      </c>
    </row>
    <row r="544" ht="22.5" customHeight="1">
      <c r="A544" s="60">
        <v>177.185</v>
      </c>
      <c r="B544" s="60">
        <v>177.185</v>
      </c>
    </row>
    <row r="545" ht="22.5" customHeight="1">
      <c r="A545" s="60">
        <v>164.3</v>
      </c>
      <c r="B545" s="60">
        <v>164.3</v>
      </c>
    </row>
    <row r="546" ht="22.5" customHeight="1">
      <c r="A546" s="60">
        <v>201.56</v>
      </c>
      <c r="B546" s="60">
        <v>201.56</v>
      </c>
    </row>
    <row r="547" ht="22.5" customHeight="1">
      <c r="A547" s="60">
        <v>275.235</v>
      </c>
      <c r="B547" s="60">
        <v>275.235</v>
      </c>
    </row>
    <row r="548" ht="22.5" customHeight="1">
      <c r="A548" s="60">
        <v>147.46</v>
      </c>
      <c r="B548" s="60">
        <v>147.46</v>
      </c>
    </row>
    <row r="549" ht="22.5" customHeight="1">
      <c r="A549" s="60">
        <v>139.03</v>
      </c>
      <c r="B549" s="60">
        <v>139.03</v>
      </c>
    </row>
    <row r="550" ht="22.5" customHeight="1">
      <c r="A550" s="60">
        <v>244.35</v>
      </c>
      <c r="B550" s="60">
        <v>244.35</v>
      </c>
    </row>
    <row r="551" ht="22.5" customHeight="1">
      <c r="A551" s="60">
        <v>147.43</v>
      </c>
      <c r="B551" s="60">
        <v>147.43</v>
      </c>
    </row>
    <row r="552" ht="22.5" customHeight="1">
      <c r="A552" s="60">
        <v>316.02</v>
      </c>
      <c r="B552" s="60">
        <v>316.02</v>
      </c>
    </row>
    <row r="553" ht="22.5" customHeight="1">
      <c r="A553" s="60">
        <v>253.04</v>
      </c>
      <c r="B553" s="60">
        <v>253.04</v>
      </c>
    </row>
    <row r="554" ht="22.5" customHeight="1">
      <c r="A554" s="60">
        <v>330.22</v>
      </c>
      <c r="B554" s="60">
        <v>330.22</v>
      </c>
    </row>
    <row r="555" ht="22.5" customHeight="1">
      <c r="A555" s="60">
        <v>188.88</v>
      </c>
      <c r="B555" s="60">
        <v>188.88</v>
      </c>
    </row>
    <row r="556" ht="22.5" customHeight="1">
      <c r="A556" s="60">
        <v>189.51</v>
      </c>
      <c r="B556" s="60">
        <v>189.51</v>
      </c>
    </row>
    <row r="557" ht="22.5" customHeight="1">
      <c r="A557" s="60">
        <v>256.39</v>
      </c>
      <c r="B557" s="60">
        <v>256.39</v>
      </c>
    </row>
    <row r="558" ht="22.5" customHeight="1">
      <c r="A558" s="60">
        <v>158.92</v>
      </c>
      <c r="B558" s="60">
        <v>158.92</v>
      </c>
    </row>
    <row r="559" ht="22.5" customHeight="1">
      <c r="A559" s="60">
        <v>234.94</v>
      </c>
      <c r="B559" s="60">
        <v>234.94</v>
      </c>
    </row>
    <row r="560" ht="22.5" customHeight="1">
      <c r="A560" s="60">
        <v>321.255</v>
      </c>
      <c r="B560" s="60">
        <v>321.255</v>
      </c>
    </row>
    <row r="561" ht="22.5" customHeight="1">
      <c r="A561" s="60">
        <v>186.555</v>
      </c>
      <c r="B561" s="60">
        <v>186.555</v>
      </c>
    </row>
    <row r="562" ht="22.5" customHeight="1">
      <c r="A562" s="60">
        <v>193.83</v>
      </c>
      <c r="B562" s="60">
        <v>193.83</v>
      </c>
    </row>
    <row r="563" ht="22.5" customHeight="1">
      <c r="A563" s="60">
        <v>276.82</v>
      </c>
      <c r="B563" s="60">
        <v>276.82</v>
      </c>
    </row>
    <row r="564" ht="22.5" customHeight="1">
      <c r="A564" s="60">
        <v>259.175</v>
      </c>
      <c r="B564" s="60">
        <v>259.175</v>
      </c>
    </row>
    <row r="565" ht="22.5" customHeight="1">
      <c r="A565" s="60">
        <v>293.04</v>
      </c>
      <c r="B565" s="60">
        <v>293.04</v>
      </c>
    </row>
    <row r="566" ht="22.5" customHeight="1">
      <c r="A566" s="60">
        <v>196.24</v>
      </c>
      <c r="B566" s="60">
        <v>196.24</v>
      </c>
    </row>
    <row r="567" ht="22.5" customHeight="1">
      <c r="A567" s="60">
        <v>271.0</v>
      </c>
      <c r="B567" s="60">
        <v>271.0</v>
      </c>
    </row>
    <row r="568" ht="22.5" customHeight="1">
      <c r="A568" s="60">
        <v>195.74</v>
      </c>
      <c r="B568" s="60">
        <v>195.74</v>
      </c>
    </row>
    <row r="569" ht="22.5" customHeight="1">
      <c r="A569" s="60">
        <v>256.08</v>
      </c>
      <c r="B569" s="60">
        <v>256.08</v>
      </c>
    </row>
    <row r="570" ht="22.5" customHeight="1">
      <c r="A570" s="60">
        <v>334.97</v>
      </c>
      <c r="B570" s="60">
        <v>334.97</v>
      </c>
    </row>
    <row r="571" ht="22.5" customHeight="1">
      <c r="A571" s="60">
        <v>204.64</v>
      </c>
      <c r="B571" s="60">
        <v>204.64</v>
      </c>
    </row>
    <row r="572" ht="22.5" customHeight="1">
      <c r="A572" s="60">
        <v>181.94</v>
      </c>
      <c r="B572" s="60">
        <v>181.94</v>
      </c>
    </row>
    <row r="573" ht="22.5" customHeight="1">
      <c r="A573" s="60">
        <v>174.6</v>
      </c>
      <c r="B573" s="60">
        <v>174.6</v>
      </c>
    </row>
    <row r="574" ht="22.5" customHeight="1">
      <c r="A574" s="60">
        <v>330.16</v>
      </c>
      <c r="B574" s="60">
        <v>330.16</v>
      </c>
    </row>
    <row r="575" ht="22.5" customHeight="1">
      <c r="A575" s="60">
        <v>388.21</v>
      </c>
      <c r="B575" s="60">
        <v>388.21</v>
      </c>
    </row>
    <row r="576" ht="22.5" customHeight="1">
      <c r="A576" s="60">
        <v>288.84</v>
      </c>
      <c r="B576" s="60">
        <v>288.84</v>
      </c>
    </row>
    <row r="577" ht="22.5" customHeight="1">
      <c r="A577" s="60">
        <v>181.85</v>
      </c>
      <c r="B577" s="60">
        <v>181.85</v>
      </c>
    </row>
    <row r="578" ht="22.5" customHeight="1">
      <c r="A578" s="60">
        <v>220.36</v>
      </c>
      <c r="B578" s="60">
        <v>220.36</v>
      </c>
    </row>
    <row r="579" ht="22.5" customHeight="1">
      <c r="A579" s="60">
        <v>260.59</v>
      </c>
      <c r="B579" s="60">
        <v>260.59</v>
      </c>
    </row>
    <row r="580" ht="22.5" customHeight="1">
      <c r="A580" s="60">
        <v>292.865</v>
      </c>
      <c r="B580" s="60">
        <v>292.865</v>
      </c>
    </row>
    <row r="581" ht="22.5" customHeight="1">
      <c r="A581" s="60">
        <v>286.52</v>
      </c>
      <c r="B581" s="60">
        <v>286.52</v>
      </c>
    </row>
    <row r="582" ht="22.5" customHeight="1">
      <c r="A582" s="60">
        <v>312.48</v>
      </c>
      <c r="B582" s="60">
        <v>312.48</v>
      </c>
    </row>
    <row r="583" ht="22.5" customHeight="1">
      <c r="A583" s="60">
        <v>196.15</v>
      </c>
      <c r="B583" s="60">
        <v>196.15</v>
      </c>
    </row>
    <row r="584" ht="22.5" customHeight="1">
      <c r="A584" s="60">
        <v>315.88</v>
      </c>
      <c r="B584" s="60">
        <v>315.88</v>
      </c>
    </row>
    <row r="585" ht="22.5" customHeight="1">
      <c r="A585" s="60">
        <v>209.95</v>
      </c>
      <c r="B585" s="60">
        <v>209.95</v>
      </c>
    </row>
    <row r="586" ht="22.5" customHeight="1">
      <c r="A586" s="60">
        <v>316.35</v>
      </c>
      <c r="B586" s="60">
        <v>316.35</v>
      </c>
    </row>
    <row r="587" ht="22.5" customHeight="1">
      <c r="A587" s="60">
        <v>397.57</v>
      </c>
      <c r="B587" s="60">
        <v>397.57</v>
      </c>
    </row>
    <row r="588" ht="22.5" customHeight="1">
      <c r="A588" s="60">
        <v>322.98</v>
      </c>
      <c r="B588" s="60">
        <v>322.98</v>
      </c>
    </row>
    <row r="589" ht="22.5" customHeight="1">
      <c r="A589" s="60">
        <v>173.26</v>
      </c>
      <c r="B589" s="60">
        <v>173.26</v>
      </c>
    </row>
    <row r="590" ht="22.5" customHeight="1">
      <c r="A590" s="60">
        <v>156.02</v>
      </c>
      <c r="B590" s="60">
        <v>156.02</v>
      </c>
    </row>
    <row r="591" ht="22.5" customHeight="1">
      <c r="A591" s="60">
        <v>244.6</v>
      </c>
      <c r="B591" s="60">
        <v>244.6</v>
      </c>
    </row>
    <row r="592" ht="22.5" customHeight="1">
      <c r="A592" s="60">
        <v>446.98</v>
      </c>
      <c r="B592" s="60">
        <v>446.98</v>
      </c>
    </row>
    <row r="593" ht="22.5" customHeight="1">
      <c r="A593" s="60">
        <v>255.03</v>
      </c>
      <c r="B593" s="60">
        <v>255.03</v>
      </c>
    </row>
    <row r="594" ht="22.5" customHeight="1">
      <c r="A594" s="60">
        <v>196.01</v>
      </c>
      <c r="B594" s="60">
        <v>196.01</v>
      </c>
    </row>
    <row r="595" ht="22.5" customHeight="1">
      <c r="A595" s="60">
        <v>243.94</v>
      </c>
      <c r="B595" s="60">
        <v>243.94</v>
      </c>
    </row>
    <row r="596" ht="22.5" customHeight="1">
      <c r="A596" s="60">
        <v>242.205</v>
      </c>
      <c r="B596" s="60">
        <v>242.205</v>
      </c>
    </row>
    <row r="597" ht="22.5" customHeight="1">
      <c r="A597" s="60">
        <v>254.84</v>
      </c>
      <c r="B597" s="60">
        <v>254.84</v>
      </c>
    </row>
    <row r="598" ht="22.5" customHeight="1">
      <c r="A598" s="60">
        <v>220.09</v>
      </c>
      <c r="B598" s="60">
        <v>220.09</v>
      </c>
    </row>
    <row r="599" ht="22.5" customHeight="1">
      <c r="A599" s="60">
        <v>347.45</v>
      </c>
      <c r="B599" s="60">
        <v>347.45</v>
      </c>
    </row>
    <row r="600" ht="22.5" customHeight="1">
      <c r="A600" s="60">
        <v>334.92</v>
      </c>
      <c r="B600" s="60">
        <v>334.92</v>
      </c>
    </row>
    <row r="601" ht="22.5" customHeight="1">
      <c r="A601" s="60">
        <v>347.96</v>
      </c>
      <c r="B601" s="60">
        <v>347.96</v>
      </c>
    </row>
    <row r="602" ht="22.5" customHeight="1">
      <c r="A602" s="60">
        <v>207.82</v>
      </c>
      <c r="B602" s="60">
        <v>207.82</v>
      </c>
    </row>
    <row r="603" ht="22.5" customHeight="1">
      <c r="A603" s="60">
        <v>332.19</v>
      </c>
      <c r="B603" s="60">
        <v>332.19</v>
      </c>
    </row>
    <row r="604" ht="22.5" customHeight="1">
      <c r="A604" s="60">
        <v>194.26</v>
      </c>
      <c r="B604" s="60">
        <v>194.26</v>
      </c>
    </row>
    <row r="605" ht="22.5" customHeight="1">
      <c r="A605" s="60">
        <v>139.17</v>
      </c>
      <c r="B605" s="60">
        <v>139.17</v>
      </c>
    </row>
    <row r="606" ht="22.5" customHeight="1">
      <c r="A606" s="60">
        <v>347.97</v>
      </c>
      <c r="B606" s="60">
        <v>347.97</v>
      </c>
    </row>
    <row r="607" ht="22.5" customHeight="1">
      <c r="A607" s="60">
        <v>235.51</v>
      </c>
      <c r="B607" s="60">
        <v>235.51</v>
      </c>
    </row>
    <row r="608" ht="22.5" customHeight="1">
      <c r="A608" s="60">
        <v>136.25</v>
      </c>
      <c r="B608" s="60">
        <v>136.25</v>
      </c>
    </row>
    <row r="609" ht="22.5" customHeight="1">
      <c r="A609" s="60">
        <v>223.15</v>
      </c>
      <c r="B609" s="60">
        <v>223.15</v>
      </c>
    </row>
    <row r="610" ht="22.5" customHeight="1">
      <c r="A610" s="60">
        <v>207.46</v>
      </c>
      <c r="B610" s="60">
        <v>207.46</v>
      </c>
    </row>
    <row r="611" ht="22.5" customHeight="1">
      <c r="A611" s="60">
        <v>174.82</v>
      </c>
      <c r="B611" s="60">
        <v>174.82</v>
      </c>
    </row>
    <row r="612" ht="22.5" customHeight="1">
      <c r="A612" s="60">
        <v>246.42</v>
      </c>
      <c r="B612" s="60">
        <v>246.42</v>
      </c>
    </row>
    <row r="613" ht="22.5" customHeight="1">
      <c r="A613" s="60">
        <v>260.44</v>
      </c>
      <c r="B613" s="60">
        <v>260.44</v>
      </c>
    </row>
    <row r="614" ht="22.5" customHeight="1">
      <c r="A614" s="60">
        <v>275.39</v>
      </c>
      <c r="B614" s="60">
        <v>275.39</v>
      </c>
    </row>
    <row r="615" ht="22.5" customHeight="1">
      <c r="A615" s="60">
        <v>198.67</v>
      </c>
      <c r="B615" s="60">
        <v>198.67</v>
      </c>
    </row>
    <row r="616" ht="22.5" customHeight="1">
      <c r="A616" s="60">
        <v>220.755</v>
      </c>
      <c r="B616" s="60">
        <v>220.755</v>
      </c>
    </row>
    <row r="617" ht="22.5" customHeight="1">
      <c r="A617" s="60">
        <v>220.76</v>
      </c>
      <c r="B617" s="60">
        <v>220.76</v>
      </c>
    </row>
    <row r="618" ht="22.5" customHeight="1">
      <c r="A618" s="60">
        <v>168.45</v>
      </c>
      <c r="B618" s="60">
        <v>168.45</v>
      </c>
    </row>
    <row r="619" ht="22.5" customHeight="1">
      <c r="A619" s="60">
        <v>200.67</v>
      </c>
      <c r="B619" s="60">
        <v>200.67</v>
      </c>
    </row>
    <row r="620" ht="22.5" customHeight="1">
      <c r="A620" s="60">
        <v>324.63</v>
      </c>
      <c r="B620" s="60">
        <v>324.63</v>
      </c>
    </row>
    <row r="621" ht="22.5" customHeight="1">
      <c r="A621" s="60">
        <v>207.48</v>
      </c>
      <c r="B621" s="60">
        <v>207.48</v>
      </c>
    </row>
    <row r="622" ht="22.5" customHeight="1">
      <c r="A622" s="60">
        <v>338.46</v>
      </c>
      <c r="B622" s="60">
        <v>338.46</v>
      </c>
    </row>
    <row r="623" ht="22.5" customHeight="1">
      <c r="A623" s="60">
        <v>161.76</v>
      </c>
      <c r="B623" s="60">
        <v>161.76</v>
      </c>
    </row>
    <row r="624" ht="22.5" customHeight="1">
      <c r="A624" s="60">
        <v>182.46</v>
      </c>
      <c r="B624" s="60">
        <v>182.46</v>
      </c>
    </row>
    <row r="625" ht="22.5" customHeight="1">
      <c r="A625" s="60">
        <v>220.06</v>
      </c>
      <c r="B625" s="60">
        <v>220.06</v>
      </c>
    </row>
    <row r="626" ht="22.5" customHeight="1">
      <c r="A626" s="60">
        <v>303.85</v>
      </c>
      <c r="B626" s="60">
        <v>303.85</v>
      </c>
    </row>
    <row r="627" ht="22.5" customHeight="1">
      <c r="A627" s="60">
        <v>246.77</v>
      </c>
      <c r="B627" s="60">
        <v>246.77</v>
      </c>
    </row>
    <row r="628" ht="22.5" customHeight="1">
      <c r="A628" s="60">
        <v>276.82</v>
      </c>
      <c r="B628" s="60">
        <v>276.82</v>
      </c>
    </row>
    <row r="629" ht="22.5" customHeight="1">
      <c r="A629" s="60">
        <v>160.38</v>
      </c>
      <c r="B629" s="60">
        <v>160.38</v>
      </c>
    </row>
    <row r="630" ht="22.5" customHeight="1">
      <c r="A630" s="60">
        <v>280.24</v>
      </c>
      <c r="B630" s="60">
        <v>280.24</v>
      </c>
    </row>
    <row r="631" ht="22.5" customHeight="1">
      <c r="A631" s="60">
        <v>147.37</v>
      </c>
      <c r="B631" s="60">
        <v>147.37</v>
      </c>
    </row>
    <row r="632" ht="22.5" customHeight="1">
      <c r="A632" s="60">
        <v>150.16</v>
      </c>
      <c r="B632" s="60">
        <v>150.16</v>
      </c>
    </row>
    <row r="633" ht="22.5" customHeight="1">
      <c r="A633" s="60">
        <v>137.63</v>
      </c>
      <c r="B633" s="60">
        <v>137.63</v>
      </c>
    </row>
    <row r="634" ht="22.5" customHeight="1">
      <c r="A634" s="60">
        <v>150.15</v>
      </c>
      <c r="B634" s="60">
        <v>150.15</v>
      </c>
    </row>
    <row r="635" ht="22.5" customHeight="1">
      <c r="A635" s="60">
        <v>200.93</v>
      </c>
      <c r="B635" s="60">
        <v>200.93</v>
      </c>
    </row>
    <row r="636" ht="22.5" customHeight="1">
      <c r="A636" s="60">
        <v>224.3</v>
      </c>
      <c r="B636" s="60">
        <v>224.3</v>
      </c>
    </row>
    <row r="637" ht="22.5" customHeight="1">
      <c r="A637" s="60">
        <v>175.0</v>
      </c>
      <c r="B637" s="60">
        <v>175.0</v>
      </c>
    </row>
    <row r="638" ht="22.5" customHeight="1">
      <c r="A638" s="60">
        <v>183.42</v>
      </c>
      <c r="B638" s="60">
        <v>183.42</v>
      </c>
    </row>
    <row r="639" ht="22.5" customHeight="1">
      <c r="A639" s="60">
        <v>147.38</v>
      </c>
      <c r="B639" s="60">
        <v>147.38</v>
      </c>
    </row>
    <row r="640" ht="22.5" customHeight="1">
      <c r="A640" s="60">
        <v>233.03</v>
      </c>
      <c r="B640" s="60">
        <v>233.03</v>
      </c>
    </row>
    <row r="641" ht="22.5" customHeight="1">
      <c r="A641" s="60">
        <v>233.15</v>
      </c>
      <c r="B641" s="60">
        <v>233.15</v>
      </c>
    </row>
    <row r="642" ht="22.5" customHeight="1">
      <c r="A642" s="60">
        <v>156.84</v>
      </c>
      <c r="B642" s="60">
        <v>156.84</v>
      </c>
    </row>
    <row r="643" ht="22.5" customHeight="1">
      <c r="A643" s="60">
        <v>296.565</v>
      </c>
      <c r="B643" s="60">
        <v>296.565</v>
      </c>
    </row>
    <row r="644" ht="22.5" customHeight="1">
      <c r="A644" s="60">
        <v>310.08</v>
      </c>
      <c r="B644" s="60">
        <v>310.08</v>
      </c>
    </row>
    <row r="645" ht="22.5" customHeight="1">
      <c r="A645" s="60">
        <v>188.485</v>
      </c>
      <c r="B645" s="60">
        <v>188.485</v>
      </c>
    </row>
    <row r="646" ht="22.5" customHeight="1">
      <c r="A646" s="60">
        <v>322.62</v>
      </c>
      <c r="B646" s="60">
        <v>322.62</v>
      </c>
    </row>
    <row r="647" ht="22.5" customHeight="1">
      <c r="A647" s="60">
        <v>200.025</v>
      </c>
      <c r="B647" s="60">
        <v>200.025</v>
      </c>
    </row>
    <row r="648" ht="22.5" customHeight="1">
      <c r="A648" s="60">
        <v>178.41</v>
      </c>
      <c r="B648" s="60">
        <v>178.41</v>
      </c>
    </row>
    <row r="649" ht="22.5" customHeight="1">
      <c r="A649" s="60">
        <v>192.56</v>
      </c>
      <c r="B649" s="60">
        <v>192.56</v>
      </c>
    </row>
    <row r="650" ht="22.5" customHeight="1">
      <c r="A650" s="60">
        <v>193.19</v>
      </c>
      <c r="B650" s="60">
        <v>193.19</v>
      </c>
    </row>
    <row r="651" ht="22.5" customHeight="1">
      <c r="A651" s="60">
        <v>234.59</v>
      </c>
      <c r="B651" s="60">
        <v>234.59</v>
      </c>
    </row>
    <row r="652" ht="22.5" customHeight="1">
      <c r="A652" s="60">
        <v>187.075</v>
      </c>
      <c r="B652" s="60">
        <v>187.075</v>
      </c>
    </row>
    <row r="653" ht="22.5" customHeight="1">
      <c r="A653" s="60">
        <v>238.26</v>
      </c>
      <c r="B653" s="60">
        <v>238.26</v>
      </c>
    </row>
    <row r="654" ht="22.5" customHeight="1">
      <c r="A654" s="60">
        <v>147.14</v>
      </c>
      <c r="B654" s="60">
        <v>147.14</v>
      </c>
    </row>
    <row r="655" ht="22.5" customHeight="1">
      <c r="A655" s="60">
        <v>310.31</v>
      </c>
      <c r="B655" s="60">
        <v>310.31</v>
      </c>
    </row>
    <row r="656" ht="22.5" customHeight="1">
      <c r="A656" s="60">
        <v>323.24</v>
      </c>
      <c r="B656" s="60">
        <v>323.24</v>
      </c>
    </row>
    <row r="657" ht="22.5" customHeight="1">
      <c r="A657" s="60">
        <v>316.28</v>
      </c>
      <c r="B657" s="60">
        <v>316.28</v>
      </c>
    </row>
    <row r="658" ht="22.5" customHeight="1">
      <c r="A658" s="60">
        <v>171.2</v>
      </c>
      <c r="B658" s="60">
        <v>171.2</v>
      </c>
    </row>
    <row r="659" ht="22.5" customHeight="1">
      <c r="A659" s="60">
        <v>147.37</v>
      </c>
      <c r="B659" s="60">
        <v>147.37</v>
      </c>
    </row>
    <row r="660" ht="22.5" customHeight="1">
      <c r="A660" s="60">
        <v>261.23</v>
      </c>
      <c r="B660" s="60">
        <v>261.23</v>
      </c>
    </row>
    <row r="661" ht="22.5" customHeight="1">
      <c r="A661" s="60">
        <v>232.69</v>
      </c>
      <c r="B661" s="60">
        <v>232.69</v>
      </c>
    </row>
    <row r="662" ht="22.5" customHeight="1">
      <c r="A662" s="60">
        <v>139.17</v>
      </c>
      <c r="B662" s="60">
        <v>139.17</v>
      </c>
    </row>
    <row r="663" ht="22.5" customHeight="1">
      <c r="A663" s="60">
        <v>161.56</v>
      </c>
      <c r="B663" s="60">
        <v>161.56</v>
      </c>
    </row>
    <row r="664" ht="22.5" customHeight="1">
      <c r="A664" s="60">
        <v>228.64</v>
      </c>
      <c r="B664" s="60">
        <v>228.64</v>
      </c>
    </row>
    <row r="665" ht="22.5" customHeight="1">
      <c r="A665" s="60">
        <v>141.87</v>
      </c>
      <c r="B665" s="60">
        <v>141.87</v>
      </c>
    </row>
    <row r="666" ht="22.5" customHeight="1">
      <c r="A666" s="60">
        <v>218.63</v>
      </c>
      <c r="B666" s="60">
        <v>218.63</v>
      </c>
    </row>
    <row r="667" ht="22.5" customHeight="1">
      <c r="A667" s="60">
        <v>319.28</v>
      </c>
      <c r="B667" s="60">
        <v>319.28</v>
      </c>
    </row>
    <row r="668" ht="22.5" customHeight="1">
      <c r="A668" s="60">
        <v>212.7</v>
      </c>
      <c r="B668" s="60">
        <v>212.7</v>
      </c>
    </row>
    <row r="669" ht="22.5" customHeight="1">
      <c r="A669" s="60">
        <v>329.65</v>
      </c>
      <c r="B669" s="60">
        <v>329.65</v>
      </c>
    </row>
    <row r="670" ht="22.5" customHeight="1">
      <c r="A670" s="60">
        <v>224.08</v>
      </c>
      <c r="B670" s="60">
        <v>224.08</v>
      </c>
    </row>
    <row r="671" ht="22.5" customHeight="1">
      <c r="A671" s="60">
        <v>251.57</v>
      </c>
      <c r="B671" s="60">
        <v>251.57</v>
      </c>
    </row>
    <row r="672" ht="22.5" customHeight="1">
      <c r="A672" s="60">
        <v>216.83</v>
      </c>
      <c r="B672" s="60">
        <v>216.83</v>
      </c>
    </row>
    <row r="673" ht="22.5" customHeight="1">
      <c r="A673" s="60">
        <v>465.6</v>
      </c>
      <c r="B673" s="60">
        <v>465.6</v>
      </c>
    </row>
    <row r="674" ht="22.5" customHeight="1">
      <c r="A674" s="60">
        <v>216.21</v>
      </c>
      <c r="B674" s="60">
        <v>216.21</v>
      </c>
    </row>
    <row r="675" ht="22.5" customHeight="1">
      <c r="A675" s="60">
        <v>368.48</v>
      </c>
      <c r="B675" s="60">
        <v>368.48</v>
      </c>
    </row>
    <row r="676" ht="22.5" customHeight="1">
      <c r="A676" s="60">
        <v>261.72</v>
      </c>
      <c r="B676" s="60">
        <v>261.72</v>
      </c>
    </row>
    <row r="677" ht="22.5" customHeight="1">
      <c r="A677" s="60">
        <v>293.04</v>
      </c>
      <c r="B677" s="60">
        <v>293.04</v>
      </c>
    </row>
    <row r="678" ht="22.5" customHeight="1">
      <c r="A678" s="60">
        <v>196.67</v>
      </c>
      <c r="B678" s="60">
        <v>196.67</v>
      </c>
    </row>
    <row r="679" ht="22.5" customHeight="1">
      <c r="A679" s="60">
        <v>284.26</v>
      </c>
      <c r="B679" s="60">
        <v>284.26</v>
      </c>
    </row>
    <row r="680" ht="22.5" customHeight="1">
      <c r="A680" s="60">
        <v>223.72</v>
      </c>
      <c r="B680" s="60">
        <v>223.72</v>
      </c>
    </row>
    <row r="681" ht="22.5" customHeight="1">
      <c r="A681" s="60">
        <v>195.815</v>
      </c>
      <c r="B681" s="60">
        <v>195.815</v>
      </c>
    </row>
    <row r="682" ht="22.5" customHeight="1">
      <c r="A682" s="60">
        <v>202.13</v>
      </c>
      <c r="B682" s="60">
        <v>202.13</v>
      </c>
    </row>
    <row r="683" ht="22.5" customHeight="1">
      <c r="A683" s="60">
        <v>273.72</v>
      </c>
      <c r="B683" s="60">
        <v>273.72</v>
      </c>
    </row>
    <row r="684" ht="22.5" customHeight="1">
      <c r="A684" s="60">
        <v>328.7</v>
      </c>
      <c r="B684" s="60">
        <v>328.7</v>
      </c>
    </row>
    <row r="685" ht="22.5" customHeight="1">
      <c r="A685" s="60">
        <v>175.57</v>
      </c>
      <c r="B685" s="60">
        <v>175.57</v>
      </c>
    </row>
    <row r="686" ht="22.5" customHeight="1">
      <c r="A686" s="60">
        <v>184.81</v>
      </c>
      <c r="B686" s="60">
        <v>184.81</v>
      </c>
    </row>
    <row r="687" ht="22.5" customHeight="1">
      <c r="A687" s="60">
        <v>201.5</v>
      </c>
      <c r="B687" s="60">
        <v>201.5</v>
      </c>
    </row>
    <row r="688" ht="22.5" customHeight="1">
      <c r="A688" s="60">
        <v>185.28</v>
      </c>
      <c r="B688" s="60">
        <v>185.28</v>
      </c>
    </row>
    <row r="689" ht="22.5" customHeight="1">
      <c r="A689" s="60">
        <v>219.2</v>
      </c>
      <c r="B689" s="60">
        <v>219.2</v>
      </c>
    </row>
    <row r="690" ht="22.5" customHeight="1">
      <c r="A690" s="60">
        <v>390.07</v>
      </c>
      <c r="B690" s="60">
        <v>390.07</v>
      </c>
    </row>
    <row r="691" ht="22.5" customHeight="1">
      <c r="A691" s="60">
        <v>413.63</v>
      </c>
      <c r="B691" s="60">
        <v>413.63</v>
      </c>
    </row>
    <row r="692" ht="22.5" customHeight="1">
      <c r="A692" s="60">
        <v>180.905</v>
      </c>
      <c r="B692" s="60">
        <v>180.905</v>
      </c>
    </row>
    <row r="693" ht="22.5" customHeight="1">
      <c r="A693" s="60">
        <v>168.27</v>
      </c>
      <c r="B693" s="60">
        <v>168.27</v>
      </c>
    </row>
    <row r="694" ht="22.5" customHeight="1">
      <c r="A694" s="60">
        <v>226.59</v>
      </c>
      <c r="B694" s="60">
        <v>226.59</v>
      </c>
    </row>
    <row r="695" ht="22.5" customHeight="1">
      <c r="A695" s="60">
        <v>168.45</v>
      </c>
      <c r="B695" s="60">
        <v>168.45</v>
      </c>
    </row>
    <row r="696" ht="22.5" customHeight="1">
      <c r="A696" s="60">
        <v>171.73</v>
      </c>
      <c r="B696" s="60">
        <v>171.73</v>
      </c>
    </row>
    <row r="697" ht="22.5" customHeight="1">
      <c r="A697" s="60">
        <v>161.46</v>
      </c>
      <c r="B697" s="60">
        <v>161.46</v>
      </c>
    </row>
    <row r="698" ht="22.5" customHeight="1">
      <c r="A698" s="60">
        <v>156.04</v>
      </c>
      <c r="B698" s="60">
        <v>156.04</v>
      </c>
    </row>
    <row r="699" ht="22.5" customHeight="1">
      <c r="A699" s="60">
        <v>156.06</v>
      </c>
      <c r="B699" s="60">
        <v>156.06</v>
      </c>
    </row>
    <row r="700" ht="22.5" customHeight="1">
      <c r="A700" s="60">
        <v>159.06</v>
      </c>
      <c r="B700" s="60">
        <v>159.06</v>
      </c>
    </row>
    <row r="701" ht="22.5" customHeight="1">
      <c r="A701" s="60">
        <v>162.06</v>
      </c>
      <c r="B701" s="60">
        <v>162.06</v>
      </c>
    </row>
    <row r="702" ht="22.5" customHeight="1">
      <c r="A702" s="60">
        <v>242.54</v>
      </c>
      <c r="B702" s="60">
        <v>242.54</v>
      </c>
    </row>
    <row r="703" ht="22.5" customHeight="1">
      <c r="A703" s="60">
        <v>271.16</v>
      </c>
      <c r="B703" s="60">
        <v>271.16</v>
      </c>
    </row>
    <row r="704" ht="22.5" customHeight="1">
      <c r="A704" s="60">
        <v>155.93</v>
      </c>
      <c r="B704" s="60">
        <v>155.93</v>
      </c>
    </row>
    <row r="705" ht="22.5" customHeight="1">
      <c r="A705" s="60">
        <v>178.46</v>
      </c>
      <c r="B705" s="60">
        <v>178.46</v>
      </c>
    </row>
    <row r="706" ht="22.5" customHeight="1">
      <c r="A706" s="60">
        <v>167.76</v>
      </c>
      <c r="B706" s="60">
        <v>167.76</v>
      </c>
    </row>
    <row r="707" ht="22.5" customHeight="1">
      <c r="A707" s="60">
        <v>165.26</v>
      </c>
      <c r="B707" s="60">
        <v>165.26</v>
      </c>
    </row>
    <row r="708" ht="22.5" customHeight="1">
      <c r="A708" s="60">
        <v>203.59</v>
      </c>
      <c r="B708" s="60">
        <v>203.59</v>
      </c>
    </row>
    <row r="709" ht="22.5" customHeight="1">
      <c r="A709" s="60">
        <v>212.15</v>
      </c>
      <c r="B709" s="60">
        <v>212.15</v>
      </c>
    </row>
    <row r="710" ht="22.5" customHeight="1">
      <c r="A710" s="60">
        <v>162.485</v>
      </c>
      <c r="B710" s="60">
        <v>162.485</v>
      </c>
    </row>
    <row r="711" ht="22.5" customHeight="1">
      <c r="A711" s="60">
        <v>413.33</v>
      </c>
      <c r="B711" s="60">
        <v>413.33</v>
      </c>
    </row>
    <row r="712" ht="22.5" customHeight="1">
      <c r="A712" s="60">
        <v>328.72</v>
      </c>
      <c r="B712" s="60">
        <v>328.72</v>
      </c>
    </row>
    <row r="713" ht="22.5" customHeight="1">
      <c r="A713" s="60">
        <v>316.095</v>
      </c>
      <c r="B713" s="60">
        <v>316.095</v>
      </c>
    </row>
    <row r="714" ht="22.5" customHeight="1">
      <c r="A714" s="60">
        <v>233.96</v>
      </c>
      <c r="B714" s="60">
        <v>233.96</v>
      </c>
    </row>
    <row r="715" ht="22.5" customHeight="1">
      <c r="A715" s="60">
        <v>245.0</v>
      </c>
      <c r="B715" s="60">
        <v>245.0</v>
      </c>
    </row>
    <row r="716" ht="22.5" customHeight="1">
      <c r="A716" s="60">
        <v>225.165</v>
      </c>
      <c r="B716" s="60">
        <v>225.165</v>
      </c>
    </row>
    <row r="717" ht="22.5" customHeight="1">
      <c r="A717" s="60">
        <v>239.4</v>
      </c>
      <c r="B717" s="60">
        <v>239.4</v>
      </c>
    </row>
    <row r="718" ht="22.5" customHeight="1">
      <c r="A718" s="60">
        <v>220.08</v>
      </c>
      <c r="B718" s="60">
        <v>220.08</v>
      </c>
    </row>
    <row r="719" ht="22.5" customHeight="1">
      <c r="A719" s="60">
        <v>156.58</v>
      </c>
      <c r="B719" s="60">
        <v>156.58</v>
      </c>
    </row>
    <row r="720" ht="22.5" customHeight="1">
      <c r="A720" s="60">
        <v>261.395</v>
      </c>
      <c r="B720" s="60">
        <v>261.395</v>
      </c>
    </row>
    <row r="721" ht="22.5" customHeight="1">
      <c r="A721" s="60">
        <v>293.03</v>
      </c>
      <c r="B721" s="60">
        <v>293.03</v>
      </c>
    </row>
    <row r="722" ht="22.5" customHeight="1">
      <c r="A722" s="60">
        <v>168.4</v>
      </c>
      <c r="B722" s="60">
        <v>168.4</v>
      </c>
    </row>
    <row r="723" ht="22.5" customHeight="1">
      <c r="A723" s="60">
        <v>237.71</v>
      </c>
      <c r="B723" s="60">
        <v>237.71</v>
      </c>
    </row>
    <row r="724" ht="22.5" customHeight="1">
      <c r="A724" s="60">
        <v>165.25</v>
      </c>
      <c r="B724" s="60">
        <v>165.25</v>
      </c>
    </row>
    <row r="725" ht="22.5" customHeight="1">
      <c r="A725" s="60">
        <v>237.12</v>
      </c>
      <c r="B725" s="60">
        <v>237.12</v>
      </c>
    </row>
    <row r="726" ht="22.5" customHeight="1">
      <c r="A726" s="60">
        <v>233.26</v>
      </c>
      <c r="B726" s="60">
        <v>233.26</v>
      </c>
    </row>
    <row r="727" ht="22.5" customHeight="1">
      <c r="A727" s="60">
        <v>157.78</v>
      </c>
      <c r="B727" s="60">
        <v>157.78</v>
      </c>
    </row>
    <row r="728" ht="22.5" customHeight="1">
      <c r="A728" s="60">
        <v>171.72</v>
      </c>
      <c r="B728" s="60">
        <v>171.72</v>
      </c>
    </row>
    <row r="729" ht="22.5" customHeight="1">
      <c r="A729" s="60">
        <v>203.515</v>
      </c>
      <c r="B729" s="60">
        <v>203.515</v>
      </c>
    </row>
    <row r="730" ht="22.5" customHeight="1">
      <c r="A730" s="60">
        <v>316.21</v>
      </c>
      <c r="B730" s="60">
        <v>316.21</v>
      </c>
    </row>
    <row r="731" ht="22.5" customHeight="1">
      <c r="A731" s="60">
        <v>276.72</v>
      </c>
      <c r="B731" s="60">
        <v>276.72</v>
      </c>
    </row>
    <row r="732" ht="22.5" customHeight="1">
      <c r="A732" s="60">
        <v>281.49</v>
      </c>
      <c r="B732" s="60">
        <v>281.49</v>
      </c>
    </row>
    <row r="733" ht="22.5" customHeight="1">
      <c r="A733" s="60">
        <v>232.98</v>
      </c>
      <c r="B733" s="60">
        <v>232.98</v>
      </c>
    </row>
    <row r="734" ht="22.5" customHeight="1">
      <c r="A734" s="60">
        <v>221.39</v>
      </c>
      <c r="B734" s="60">
        <v>221.39</v>
      </c>
    </row>
    <row r="735" ht="22.5" customHeight="1">
      <c r="A735" s="60">
        <v>307.685</v>
      </c>
      <c r="B735" s="60">
        <v>307.685</v>
      </c>
    </row>
    <row r="736" ht="22.5" customHeight="1">
      <c r="A736" s="60">
        <v>247.22</v>
      </c>
      <c r="B736" s="60">
        <v>247.22</v>
      </c>
    </row>
    <row r="737" ht="22.5" customHeight="1">
      <c r="A737" s="60">
        <v>282.31</v>
      </c>
      <c r="B737" s="60">
        <v>282.31</v>
      </c>
    </row>
    <row r="738" ht="22.5" customHeight="1">
      <c r="A738" s="60">
        <v>308.52</v>
      </c>
      <c r="B738" s="60">
        <v>308.52</v>
      </c>
    </row>
    <row r="739" ht="22.5" customHeight="1">
      <c r="A739" s="60">
        <v>297.23</v>
      </c>
      <c r="B739" s="60">
        <v>297.23</v>
      </c>
    </row>
    <row r="740" ht="22.5" customHeight="1">
      <c r="A740" s="60">
        <v>429.98</v>
      </c>
      <c r="B740" s="60">
        <v>429.98</v>
      </c>
    </row>
    <row r="741" ht="22.5" customHeight="1">
      <c r="A741" s="60">
        <v>262.98</v>
      </c>
      <c r="B741" s="60">
        <v>262.98</v>
      </c>
    </row>
    <row r="742" ht="22.5" customHeight="1">
      <c r="A742" s="60">
        <v>322.16</v>
      </c>
      <c r="B742" s="60">
        <v>322.16</v>
      </c>
    </row>
    <row r="743" ht="22.5" customHeight="1">
      <c r="A743" s="60">
        <v>413.335</v>
      </c>
      <c r="B743" s="60">
        <v>413.335</v>
      </c>
    </row>
    <row r="744" ht="22.5" customHeight="1">
      <c r="A744" s="60">
        <v>440.62</v>
      </c>
      <c r="B744" s="60">
        <v>440.62</v>
      </c>
    </row>
    <row r="745" ht="22.5" customHeight="1">
      <c r="A745" s="60">
        <v>292.96</v>
      </c>
      <c r="B745" s="60">
        <v>292.96</v>
      </c>
    </row>
    <row r="746" ht="22.5" customHeight="1">
      <c r="A746" s="60">
        <v>242.005</v>
      </c>
      <c r="B746" s="60">
        <v>242.005</v>
      </c>
    </row>
    <row r="747" ht="22.5" customHeight="1">
      <c r="A747" s="60">
        <v>233.69</v>
      </c>
      <c r="B747" s="60">
        <v>233.69</v>
      </c>
    </row>
    <row r="748" ht="22.5" customHeight="1">
      <c r="A748" s="60">
        <v>261.515</v>
      </c>
      <c r="B748" s="60">
        <v>261.515</v>
      </c>
    </row>
    <row r="749" ht="22.5" customHeight="1">
      <c r="A749" s="60">
        <v>376.32</v>
      </c>
      <c r="B749" s="60">
        <v>376.32</v>
      </c>
    </row>
    <row r="750" ht="22.5" customHeight="1">
      <c r="A750" s="60">
        <v>352.57</v>
      </c>
      <c r="B750" s="60">
        <v>352.57</v>
      </c>
    </row>
    <row r="751" ht="22.5" customHeight="1">
      <c r="A751" s="60">
        <v>233.32</v>
      </c>
      <c r="B751" s="60">
        <v>233.32</v>
      </c>
    </row>
    <row r="752" ht="22.5" customHeight="1">
      <c r="A752" s="60">
        <v>207.87</v>
      </c>
      <c r="B752" s="60">
        <v>207.87</v>
      </c>
    </row>
    <row r="753" ht="22.5" customHeight="1">
      <c r="A753" s="60">
        <v>248.06</v>
      </c>
      <c r="B753" s="60">
        <v>248.06</v>
      </c>
    </row>
    <row r="754" ht="22.5" customHeight="1">
      <c r="A754" s="60">
        <v>193.005</v>
      </c>
      <c r="B754" s="60">
        <v>193.005</v>
      </c>
    </row>
    <row r="755" ht="22.5" customHeight="1">
      <c r="A755" s="60">
        <v>195.68</v>
      </c>
      <c r="B755" s="60">
        <v>195.68</v>
      </c>
    </row>
    <row r="756" ht="22.5" customHeight="1">
      <c r="A756" s="60">
        <v>582.625</v>
      </c>
      <c r="B756" s="60">
        <v>582.625</v>
      </c>
    </row>
    <row r="757" ht="22.5" customHeight="1">
      <c r="A757" s="60">
        <v>211.76</v>
      </c>
      <c r="B757" s="60">
        <v>211.76</v>
      </c>
    </row>
    <row r="758" ht="22.5" customHeight="1">
      <c r="A758" s="60">
        <v>481.35</v>
      </c>
      <c r="B758" s="60">
        <v>481.35</v>
      </c>
    </row>
    <row r="759" ht="22.5" customHeight="1">
      <c r="A759" s="60">
        <v>297.72</v>
      </c>
      <c r="B759" s="60">
        <v>297.72</v>
      </c>
    </row>
    <row r="760" ht="22.5" customHeight="1">
      <c r="A760" s="60">
        <v>249.45</v>
      </c>
      <c r="B760" s="60">
        <v>249.45</v>
      </c>
    </row>
    <row r="761" ht="22.5" customHeight="1">
      <c r="A761" s="60">
        <v>241.17</v>
      </c>
      <c r="B761" s="60">
        <v>241.17</v>
      </c>
    </row>
    <row r="762" ht="22.5" customHeight="1">
      <c r="A762" s="60">
        <v>324.04</v>
      </c>
      <c r="B762" s="60">
        <v>324.04</v>
      </c>
    </row>
    <row r="763" ht="22.5" customHeight="1">
      <c r="A763" s="60">
        <v>504.53</v>
      </c>
      <c r="B763" s="60">
        <v>504.53</v>
      </c>
    </row>
    <row r="764" ht="22.5" customHeight="1">
      <c r="A764" s="60">
        <v>347.6</v>
      </c>
      <c r="B764" s="60">
        <v>347.6</v>
      </c>
    </row>
    <row r="765" ht="22.5" customHeight="1">
      <c r="A765" s="60">
        <v>293.04</v>
      </c>
      <c r="B765" s="60">
        <v>293.04</v>
      </c>
    </row>
    <row r="766" ht="22.5" customHeight="1">
      <c r="A766" s="60">
        <v>292.97</v>
      </c>
      <c r="B766" s="60">
        <v>292.97</v>
      </c>
    </row>
    <row r="767" ht="22.5" customHeight="1">
      <c r="A767" s="60">
        <v>276.72</v>
      </c>
      <c r="B767" s="60">
        <v>276.72</v>
      </c>
    </row>
    <row r="768" ht="22.5" customHeight="1">
      <c r="A768" s="60">
        <v>196.06</v>
      </c>
      <c r="B768" s="60">
        <v>196.06</v>
      </c>
    </row>
    <row r="769" ht="22.5" customHeight="1">
      <c r="A769" s="60">
        <v>166.55</v>
      </c>
      <c r="B769" s="60">
        <v>166.55</v>
      </c>
    </row>
    <row r="770" ht="22.5" customHeight="1">
      <c r="A770" s="60">
        <v>241.5</v>
      </c>
      <c r="B770" s="60">
        <v>241.5</v>
      </c>
    </row>
    <row r="771" ht="22.5" customHeight="1">
      <c r="A771" s="60">
        <v>276.75</v>
      </c>
      <c r="B771" s="60">
        <v>276.75</v>
      </c>
    </row>
    <row r="772" ht="22.5" customHeight="1">
      <c r="A772" s="60">
        <v>153.24</v>
      </c>
      <c r="B772" s="60">
        <v>153.24</v>
      </c>
    </row>
    <row r="773" ht="22.5" customHeight="1">
      <c r="A773" s="60">
        <v>185.35</v>
      </c>
      <c r="B773" s="60">
        <v>185.35</v>
      </c>
    </row>
    <row r="774" ht="22.5" customHeight="1">
      <c r="A774" s="60">
        <v>164.84</v>
      </c>
      <c r="B774" s="60">
        <v>164.84</v>
      </c>
    </row>
    <row r="775" ht="22.5" customHeight="1">
      <c r="A775" s="60">
        <v>192.4</v>
      </c>
      <c r="B775" s="60">
        <v>192.4</v>
      </c>
    </row>
    <row r="776" ht="22.5" customHeight="1">
      <c r="A776" s="60">
        <v>157.95</v>
      </c>
      <c r="B776" s="60">
        <v>157.95</v>
      </c>
    </row>
    <row r="777" ht="22.5" customHeight="1">
      <c r="A777" s="60">
        <v>196.19</v>
      </c>
      <c r="B777" s="60">
        <v>196.19</v>
      </c>
    </row>
    <row r="778" ht="22.5" customHeight="1">
      <c r="A778" s="60">
        <v>139.55</v>
      </c>
      <c r="B778" s="60">
        <v>139.55</v>
      </c>
    </row>
    <row r="779" ht="22.5" customHeight="1">
      <c r="A779" s="60">
        <v>262.11</v>
      </c>
      <c r="B779" s="60">
        <v>262.11</v>
      </c>
    </row>
    <row r="780" ht="22.5" customHeight="1">
      <c r="A780" s="60">
        <v>278.45</v>
      </c>
      <c r="B780" s="60">
        <v>278.45</v>
      </c>
    </row>
    <row r="781" ht="22.5" customHeight="1">
      <c r="A781" s="60">
        <v>196.24</v>
      </c>
      <c r="B781" s="60">
        <v>196.24</v>
      </c>
    </row>
    <row r="782" ht="22.5" customHeight="1">
      <c r="A782" s="60">
        <v>293.03</v>
      </c>
      <c r="B782" s="60">
        <v>293.03</v>
      </c>
    </row>
  </sheetData>
  <mergeCells count="2">
    <mergeCell ref="A1:E1"/>
    <mergeCell ref="F1:J1"/>
  </mergeCells>
  <dataValidations>
    <dataValidation type="custom" allowBlank="1" showDropDown="1" sqref="A4:B782">
      <formula1>AND(ISNUMBER(A4),(NOT(OR(NOT(ISERROR(DATEVALUE(A4))), AND(ISNUMBER(A4), LEFT(CELL("format", A4))="D")))))</formula1>
    </dataValidation>
  </dataValidations>
  <drawing r:id="rId1"/>
  <tableParts count="1">
    <tablePart r:id="rId3"/>
  </tableParts>
</worksheet>
</file>